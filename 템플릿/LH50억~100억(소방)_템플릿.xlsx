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-120" yWindow="-120" windowWidth="29040" windowHeight="15720"/>
  </bookViews>
  <sheets>
    <sheet name="양식" sheetId="15" r:id="rId1"/>
  </sheets>
  <definedNames>
    <definedName name="_xlnm.Print_Area" localSheetId="0">양식!$A$1:$AZ$145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9" i="15" l="1"/>
  <c r="AM5" i="15"/>
  <c r="I2" i="15" l="1"/>
  <c r="AZ145" i="15"/>
  <c r="AY145" i="15"/>
  <c r="AP145" i="15"/>
  <c r="AQ145" i="15" s="1"/>
  <c r="U145" i="15"/>
  <c r="V145" i="15" s="1"/>
  <c r="N145" i="15"/>
  <c r="AZ144" i="15"/>
  <c r="AY144" i="15"/>
  <c r="AP144" i="15"/>
  <c r="AQ144" i="15" s="1"/>
  <c r="U144" i="15"/>
  <c r="V144" i="15" s="1"/>
  <c r="N144" i="15"/>
  <c r="AZ143" i="15"/>
  <c r="AY143" i="15"/>
  <c r="AP143" i="15"/>
  <c r="AQ143" i="15" s="1"/>
  <c r="V143" i="15"/>
  <c r="U143" i="15"/>
  <c r="N143" i="15"/>
  <c r="AZ142" i="15"/>
  <c r="AY142" i="15"/>
  <c r="AP142" i="15"/>
  <c r="AQ142" i="15" s="1"/>
  <c r="AB142" i="15"/>
  <c r="AC142" i="15" s="1"/>
  <c r="AE142" i="15" s="1"/>
  <c r="U142" i="15"/>
  <c r="V142" i="15" s="1"/>
  <c r="N142" i="15"/>
  <c r="AZ141" i="15"/>
  <c r="AY141" i="15"/>
  <c r="AP141" i="15"/>
  <c r="AQ141" i="15" s="1"/>
  <c r="U141" i="15"/>
  <c r="V141" i="15" s="1"/>
  <c r="N141" i="15"/>
  <c r="AZ140" i="15"/>
  <c r="AY140" i="15"/>
  <c r="AQ140" i="15"/>
  <c r="AP140" i="15"/>
  <c r="U140" i="15"/>
  <c r="V140" i="15" s="1"/>
  <c r="N140" i="15"/>
  <c r="AZ139" i="15"/>
  <c r="AY139" i="15"/>
  <c r="AP139" i="15"/>
  <c r="AQ139" i="15" s="1"/>
  <c r="AB139" i="15"/>
  <c r="AC139" i="15" s="1"/>
  <c r="AE139" i="15" s="1"/>
  <c r="U139" i="15"/>
  <c r="V139" i="15" s="1"/>
  <c r="N139" i="15"/>
  <c r="AZ138" i="15"/>
  <c r="AY138" i="15"/>
  <c r="AQ138" i="15"/>
  <c r="AP138" i="15"/>
  <c r="AB138" i="15"/>
  <c r="AC138" i="15" s="1"/>
  <c r="AE138" i="15" s="1"/>
  <c r="U138" i="15"/>
  <c r="V138" i="15" s="1"/>
  <c r="N138" i="15"/>
  <c r="AZ137" i="15"/>
  <c r="AY137" i="15"/>
  <c r="AP137" i="15"/>
  <c r="AQ137" i="15" s="1"/>
  <c r="U137" i="15"/>
  <c r="V137" i="15" s="1"/>
  <c r="N137" i="15"/>
  <c r="AZ136" i="15"/>
  <c r="AY136" i="15"/>
  <c r="AP136" i="15"/>
  <c r="AQ136" i="15" s="1"/>
  <c r="AB136" i="15"/>
  <c r="AC136" i="15" s="1"/>
  <c r="AE136" i="15" s="1"/>
  <c r="V136" i="15"/>
  <c r="U136" i="15"/>
  <c r="N136" i="15"/>
  <c r="AZ135" i="15"/>
  <c r="AY135" i="15"/>
  <c r="AP135" i="15"/>
  <c r="AQ135" i="15" s="1"/>
  <c r="AB135" i="15"/>
  <c r="AC135" i="15" s="1"/>
  <c r="AE135" i="15" s="1"/>
  <c r="U135" i="15"/>
  <c r="V135" i="15" s="1"/>
  <c r="N135" i="15"/>
  <c r="AZ134" i="15"/>
  <c r="AY134" i="15"/>
  <c r="AP134" i="15"/>
  <c r="AQ134" i="15" s="1"/>
  <c r="U134" i="15"/>
  <c r="V134" i="15" s="1"/>
  <c r="N134" i="15"/>
  <c r="AZ133" i="15"/>
  <c r="AY133" i="15"/>
  <c r="AP133" i="15"/>
  <c r="AQ133" i="15" s="1"/>
  <c r="V133" i="15"/>
  <c r="U133" i="15"/>
  <c r="N133" i="15"/>
  <c r="AZ132" i="15"/>
  <c r="AY132" i="15"/>
  <c r="AP132" i="15"/>
  <c r="AQ132" i="15" s="1"/>
  <c r="AB132" i="15"/>
  <c r="AC132" i="15" s="1"/>
  <c r="AE132" i="15" s="1"/>
  <c r="U132" i="15"/>
  <c r="V132" i="15" s="1"/>
  <c r="N132" i="15"/>
  <c r="AZ131" i="15"/>
  <c r="AY131" i="15"/>
  <c r="AP131" i="15"/>
  <c r="AQ131" i="15" s="1"/>
  <c r="U131" i="15"/>
  <c r="V131" i="15" s="1"/>
  <c r="N131" i="15"/>
  <c r="AZ130" i="15"/>
  <c r="AY130" i="15"/>
  <c r="AQ130" i="15"/>
  <c r="AP130" i="15"/>
  <c r="U130" i="15"/>
  <c r="V130" i="15" s="1"/>
  <c r="N130" i="15"/>
  <c r="AZ129" i="15"/>
  <c r="AY129" i="15"/>
  <c r="AP129" i="15"/>
  <c r="AQ129" i="15" s="1"/>
  <c r="AB129" i="15"/>
  <c r="AC129" i="15" s="1"/>
  <c r="AE129" i="15" s="1"/>
  <c r="U129" i="15"/>
  <c r="V129" i="15" s="1"/>
  <c r="N129" i="15"/>
  <c r="AZ128" i="15"/>
  <c r="AY128" i="15"/>
  <c r="AQ128" i="15"/>
  <c r="AP128" i="15"/>
  <c r="AB128" i="15"/>
  <c r="AC128" i="15" s="1"/>
  <c r="AE128" i="15" s="1"/>
  <c r="U128" i="15"/>
  <c r="V128" i="15" s="1"/>
  <c r="N128" i="15"/>
  <c r="AZ127" i="15"/>
  <c r="AY127" i="15"/>
  <c r="AP127" i="15"/>
  <c r="AQ127" i="15" s="1"/>
  <c r="U127" i="15"/>
  <c r="V127" i="15" s="1"/>
  <c r="N127" i="15"/>
  <c r="AZ126" i="15"/>
  <c r="AY126" i="15"/>
  <c r="AP126" i="15"/>
  <c r="AQ126" i="15" s="1"/>
  <c r="AB126" i="15"/>
  <c r="AC126" i="15" s="1"/>
  <c r="AE126" i="15" s="1"/>
  <c r="V126" i="15"/>
  <c r="U126" i="15"/>
  <c r="N126" i="15"/>
  <c r="AZ125" i="15"/>
  <c r="AY125" i="15"/>
  <c r="AP125" i="15"/>
  <c r="AQ125" i="15" s="1"/>
  <c r="AB125" i="15"/>
  <c r="AC125" i="15" s="1"/>
  <c r="AE125" i="15" s="1"/>
  <c r="U125" i="15"/>
  <c r="V125" i="15" s="1"/>
  <c r="N125" i="15"/>
  <c r="AZ124" i="15"/>
  <c r="AY124" i="15"/>
  <c r="AP124" i="15"/>
  <c r="AQ124" i="15" s="1"/>
  <c r="U124" i="15"/>
  <c r="V124" i="15" s="1"/>
  <c r="N124" i="15"/>
  <c r="AZ123" i="15"/>
  <c r="AY123" i="15"/>
  <c r="AP123" i="15"/>
  <c r="AQ123" i="15" s="1"/>
  <c r="V123" i="15"/>
  <c r="U123" i="15"/>
  <c r="N123" i="15"/>
  <c r="AZ122" i="15"/>
  <c r="AY122" i="15"/>
  <c r="AP122" i="15"/>
  <c r="AQ122" i="15" s="1"/>
  <c r="AB122" i="15"/>
  <c r="AC122" i="15" s="1"/>
  <c r="AE122" i="15" s="1"/>
  <c r="U122" i="15"/>
  <c r="V122" i="15" s="1"/>
  <c r="N122" i="15"/>
  <c r="AZ121" i="15"/>
  <c r="AY121" i="15"/>
  <c r="AP121" i="15"/>
  <c r="AQ121" i="15" s="1"/>
  <c r="U121" i="15"/>
  <c r="V121" i="15" s="1"/>
  <c r="N121" i="15"/>
  <c r="AZ120" i="15"/>
  <c r="AY120" i="15"/>
  <c r="AQ120" i="15"/>
  <c r="AP120" i="15"/>
  <c r="U120" i="15"/>
  <c r="V120" i="15" s="1"/>
  <c r="N120" i="15"/>
  <c r="AZ119" i="15"/>
  <c r="AY119" i="15"/>
  <c r="AP119" i="15"/>
  <c r="AQ119" i="15" s="1"/>
  <c r="AB119" i="15"/>
  <c r="AC119" i="15" s="1"/>
  <c r="AE119" i="15" s="1"/>
  <c r="U119" i="15"/>
  <c r="V119" i="15" s="1"/>
  <c r="N119" i="15"/>
  <c r="AZ118" i="15"/>
  <c r="AY118" i="15"/>
  <c r="AQ118" i="15"/>
  <c r="AP118" i="15"/>
  <c r="AB118" i="15"/>
  <c r="AC118" i="15" s="1"/>
  <c r="AE118" i="15" s="1"/>
  <c r="U118" i="15"/>
  <c r="V118" i="15" s="1"/>
  <c r="N118" i="15"/>
  <c r="AZ117" i="15"/>
  <c r="AY117" i="15"/>
  <c r="AP117" i="15"/>
  <c r="AQ117" i="15" s="1"/>
  <c r="U117" i="15"/>
  <c r="V117" i="15" s="1"/>
  <c r="N117" i="15"/>
  <c r="AZ116" i="15"/>
  <c r="AY116" i="15"/>
  <c r="AP116" i="15"/>
  <c r="AQ116" i="15" s="1"/>
  <c r="AB116" i="15"/>
  <c r="AC116" i="15" s="1"/>
  <c r="AE116" i="15" s="1"/>
  <c r="V116" i="15"/>
  <c r="U116" i="15"/>
  <c r="N116" i="15"/>
  <c r="AZ115" i="15"/>
  <c r="AY115" i="15"/>
  <c r="AP115" i="15"/>
  <c r="AQ115" i="15" s="1"/>
  <c r="AB115" i="15"/>
  <c r="AC115" i="15" s="1"/>
  <c r="AE115" i="15" s="1"/>
  <c r="V115" i="15"/>
  <c r="U115" i="15"/>
  <c r="N115" i="15"/>
  <c r="AZ114" i="15"/>
  <c r="AY114" i="15"/>
  <c r="AP114" i="15"/>
  <c r="AQ114" i="15" s="1"/>
  <c r="U114" i="15"/>
  <c r="V114" i="15" s="1"/>
  <c r="N114" i="15"/>
  <c r="AZ113" i="15"/>
  <c r="AY113" i="15"/>
  <c r="AP113" i="15"/>
  <c r="AQ113" i="15" s="1"/>
  <c r="V113" i="15"/>
  <c r="U113" i="15"/>
  <c r="N113" i="15"/>
  <c r="AZ112" i="15"/>
  <c r="AY112" i="15"/>
  <c r="AP112" i="15"/>
  <c r="AQ112" i="15" s="1"/>
  <c r="AB112" i="15"/>
  <c r="AC112" i="15" s="1"/>
  <c r="AE112" i="15" s="1"/>
  <c r="U112" i="15"/>
  <c r="V112" i="15" s="1"/>
  <c r="N112" i="15"/>
  <c r="AZ111" i="15"/>
  <c r="AY111" i="15"/>
  <c r="AP111" i="15"/>
  <c r="AQ111" i="15" s="1"/>
  <c r="U111" i="15"/>
  <c r="V111" i="15" s="1"/>
  <c r="N111" i="15"/>
  <c r="AZ110" i="15"/>
  <c r="AY110" i="15"/>
  <c r="AP110" i="15"/>
  <c r="AQ110" i="15" s="1"/>
  <c r="U110" i="15"/>
  <c r="V110" i="15" s="1"/>
  <c r="N110" i="15"/>
  <c r="AZ109" i="15"/>
  <c r="AY109" i="15"/>
  <c r="AP109" i="15"/>
  <c r="AQ109" i="15" s="1"/>
  <c r="AB109" i="15"/>
  <c r="AC109" i="15" s="1"/>
  <c r="AE109" i="15" s="1"/>
  <c r="V109" i="15"/>
  <c r="U109" i="15"/>
  <c r="N109" i="15"/>
  <c r="AZ108" i="15"/>
  <c r="AY108" i="15"/>
  <c r="AQ108" i="15"/>
  <c r="AP108" i="15"/>
  <c r="AB108" i="15"/>
  <c r="AC108" i="15" s="1"/>
  <c r="AE108" i="15" s="1"/>
  <c r="U108" i="15"/>
  <c r="V108" i="15" s="1"/>
  <c r="N108" i="15"/>
  <c r="AZ107" i="15"/>
  <c r="AY107" i="15"/>
  <c r="AP107" i="15"/>
  <c r="AQ107" i="15" s="1"/>
  <c r="U107" i="15"/>
  <c r="V107" i="15" s="1"/>
  <c r="N107" i="15"/>
  <c r="AZ106" i="15"/>
  <c r="AY106" i="15"/>
  <c r="AP106" i="15"/>
  <c r="AQ106" i="15" s="1"/>
  <c r="AB106" i="15"/>
  <c r="AC106" i="15" s="1"/>
  <c r="AE106" i="15" s="1"/>
  <c r="V106" i="15"/>
  <c r="U106" i="15"/>
  <c r="N106" i="15"/>
  <c r="AZ105" i="15"/>
  <c r="AY105" i="15"/>
  <c r="AP105" i="15"/>
  <c r="AQ105" i="15" s="1"/>
  <c r="U105" i="15"/>
  <c r="V105" i="15" s="1"/>
  <c r="N105" i="15"/>
  <c r="AZ104" i="15"/>
  <c r="AY104" i="15"/>
  <c r="AP104" i="15"/>
  <c r="AQ104" i="15" s="1"/>
  <c r="U104" i="15"/>
  <c r="V104" i="15" s="1"/>
  <c r="N104" i="15"/>
  <c r="AZ103" i="15"/>
  <c r="AY103" i="15"/>
  <c r="AP103" i="15"/>
  <c r="AQ103" i="15" s="1"/>
  <c r="V103" i="15"/>
  <c r="U103" i="15"/>
  <c r="N103" i="15"/>
  <c r="AZ102" i="15"/>
  <c r="AY102" i="15"/>
  <c r="AP102" i="15"/>
  <c r="AQ102" i="15" s="1"/>
  <c r="U102" i="15"/>
  <c r="V102" i="15" s="1"/>
  <c r="N102" i="15"/>
  <c r="AZ101" i="15"/>
  <c r="AY101" i="15"/>
  <c r="AP101" i="15"/>
  <c r="AQ101" i="15" s="1"/>
  <c r="V101" i="15"/>
  <c r="U101" i="15"/>
  <c r="N101" i="15"/>
  <c r="AZ100" i="15"/>
  <c r="AY100" i="15"/>
  <c r="AP100" i="15"/>
  <c r="AQ100" i="15" s="1"/>
  <c r="U100" i="15"/>
  <c r="V100" i="15" s="1"/>
  <c r="N100" i="15"/>
  <c r="AZ99" i="15"/>
  <c r="AY99" i="15"/>
  <c r="AP99" i="15"/>
  <c r="AQ99" i="15" s="1"/>
  <c r="AB99" i="15"/>
  <c r="AC99" i="15" s="1"/>
  <c r="AE99" i="15" s="1"/>
  <c r="U99" i="15"/>
  <c r="V99" i="15" s="1"/>
  <c r="N99" i="15"/>
  <c r="AZ98" i="15"/>
  <c r="AY98" i="15"/>
  <c r="AP98" i="15"/>
  <c r="AQ98" i="15" s="1"/>
  <c r="AB98" i="15"/>
  <c r="AC98" i="15" s="1"/>
  <c r="AE98" i="15" s="1"/>
  <c r="U98" i="15"/>
  <c r="V98" i="15" s="1"/>
  <c r="N98" i="15"/>
  <c r="AZ97" i="15"/>
  <c r="AY97" i="15"/>
  <c r="AP97" i="15"/>
  <c r="AQ97" i="15" s="1"/>
  <c r="U97" i="15"/>
  <c r="V97" i="15" s="1"/>
  <c r="N97" i="15"/>
  <c r="AZ96" i="15"/>
  <c r="AY96" i="15"/>
  <c r="AP96" i="15"/>
  <c r="AQ96" i="15" s="1"/>
  <c r="V96" i="15"/>
  <c r="U96" i="15"/>
  <c r="N96" i="15"/>
  <c r="AZ95" i="15"/>
  <c r="AY95" i="15"/>
  <c r="AP95" i="15"/>
  <c r="AQ95" i="15" s="1"/>
  <c r="AB95" i="15"/>
  <c r="AC95" i="15" s="1"/>
  <c r="AE95" i="15" s="1"/>
  <c r="U95" i="15"/>
  <c r="V95" i="15" s="1"/>
  <c r="N95" i="15"/>
  <c r="AZ94" i="15"/>
  <c r="AY94" i="15"/>
  <c r="AP94" i="15"/>
  <c r="AQ94" i="15" s="1"/>
  <c r="U94" i="15"/>
  <c r="V94" i="15" s="1"/>
  <c r="N94" i="15"/>
  <c r="AZ93" i="15"/>
  <c r="AY93" i="15"/>
  <c r="AP93" i="15"/>
  <c r="AQ93" i="15" s="1"/>
  <c r="V93" i="15"/>
  <c r="U93" i="15"/>
  <c r="N93" i="15"/>
  <c r="AZ92" i="15"/>
  <c r="AY92" i="15"/>
  <c r="AP92" i="15"/>
  <c r="AQ92" i="15" s="1"/>
  <c r="AB92" i="15"/>
  <c r="AC92" i="15" s="1"/>
  <c r="AE92" i="15" s="1"/>
  <c r="U92" i="15"/>
  <c r="V92" i="15" s="1"/>
  <c r="N92" i="15"/>
  <c r="AZ91" i="15"/>
  <c r="AY91" i="15"/>
  <c r="AP91" i="15"/>
  <c r="AQ91" i="15" s="1"/>
  <c r="U91" i="15"/>
  <c r="V91" i="15" s="1"/>
  <c r="N91" i="15"/>
  <c r="AZ90" i="15"/>
  <c r="AY90" i="15"/>
  <c r="AP90" i="15"/>
  <c r="AQ90" i="15" s="1"/>
  <c r="U90" i="15"/>
  <c r="V90" i="15" s="1"/>
  <c r="N90" i="15"/>
  <c r="AZ89" i="15"/>
  <c r="AY89" i="15"/>
  <c r="AP89" i="15"/>
  <c r="AQ89" i="15" s="1"/>
  <c r="AB89" i="15"/>
  <c r="AC89" i="15" s="1"/>
  <c r="AE89" i="15" s="1"/>
  <c r="U89" i="15"/>
  <c r="V89" i="15" s="1"/>
  <c r="N89" i="15"/>
  <c r="AZ88" i="15"/>
  <c r="N88" i="15"/>
  <c r="AZ87" i="15"/>
  <c r="AY87" i="15"/>
  <c r="AP87" i="15"/>
  <c r="AQ87" i="15" s="1"/>
  <c r="AB87" i="15"/>
  <c r="AC87" i="15" s="1"/>
  <c r="AE87" i="15" s="1"/>
  <c r="U87" i="15"/>
  <c r="V87" i="15" s="1"/>
  <c r="N87" i="15"/>
  <c r="AZ86" i="15"/>
  <c r="N86" i="15"/>
  <c r="AZ85" i="15"/>
  <c r="AY85" i="15"/>
  <c r="AP85" i="15"/>
  <c r="AQ85" i="15" s="1"/>
  <c r="V85" i="15"/>
  <c r="U85" i="15"/>
  <c r="N85" i="15"/>
  <c r="AZ84" i="15"/>
  <c r="N84" i="15"/>
  <c r="AZ83" i="15"/>
  <c r="AY83" i="15"/>
  <c r="AP83" i="15"/>
  <c r="AQ83" i="15" s="1"/>
  <c r="U83" i="15"/>
  <c r="V83" i="15" s="1"/>
  <c r="N83" i="15"/>
  <c r="AZ82" i="15"/>
  <c r="N82" i="15"/>
  <c r="AZ81" i="15"/>
  <c r="AY81" i="15"/>
  <c r="AP81" i="15"/>
  <c r="AQ81" i="15" s="1"/>
  <c r="V81" i="15"/>
  <c r="U81" i="15"/>
  <c r="N81" i="15"/>
  <c r="AZ80" i="15"/>
  <c r="N80" i="15"/>
  <c r="AZ79" i="15"/>
  <c r="AY79" i="15"/>
  <c r="AP79" i="15"/>
  <c r="AQ79" i="15" s="1"/>
  <c r="AB79" i="15"/>
  <c r="AC79" i="15" s="1"/>
  <c r="AE79" i="15" s="1"/>
  <c r="U79" i="15"/>
  <c r="V79" i="15" s="1"/>
  <c r="N79" i="15"/>
  <c r="AZ78" i="15"/>
  <c r="N78" i="15"/>
  <c r="AZ77" i="15"/>
  <c r="AY77" i="15"/>
  <c r="AP77" i="15"/>
  <c r="AQ77" i="15" s="1"/>
  <c r="AB77" i="15"/>
  <c r="AC77" i="15" s="1"/>
  <c r="AE77" i="15" s="1"/>
  <c r="V77" i="15"/>
  <c r="U77" i="15"/>
  <c r="N77" i="15"/>
  <c r="AZ76" i="15"/>
  <c r="N76" i="15"/>
  <c r="AZ75" i="15"/>
  <c r="AY75" i="15"/>
  <c r="AP75" i="15"/>
  <c r="AQ75" i="15" s="1"/>
  <c r="U75" i="15"/>
  <c r="V75" i="15" s="1"/>
  <c r="N75" i="15"/>
  <c r="AZ74" i="15"/>
  <c r="N74" i="15"/>
  <c r="AZ73" i="15"/>
  <c r="AY73" i="15"/>
  <c r="AP73" i="15"/>
  <c r="AQ73" i="15" s="1"/>
  <c r="U73" i="15"/>
  <c r="V73" i="15" s="1"/>
  <c r="N73" i="15"/>
  <c r="AZ72" i="15"/>
  <c r="N72" i="15"/>
  <c r="AZ71" i="15"/>
  <c r="AY71" i="15"/>
  <c r="AP71" i="15"/>
  <c r="AQ71" i="15" s="1"/>
  <c r="V71" i="15"/>
  <c r="U71" i="15"/>
  <c r="N71" i="15"/>
  <c r="AZ70" i="15"/>
  <c r="N70" i="15"/>
  <c r="AZ69" i="15"/>
  <c r="AY69" i="15"/>
  <c r="AP69" i="15"/>
  <c r="AQ69" i="15" s="1"/>
  <c r="AB69" i="15"/>
  <c r="AC69" i="15" s="1"/>
  <c r="AE69" i="15" s="1"/>
  <c r="U69" i="15"/>
  <c r="V69" i="15" s="1"/>
  <c r="N69" i="15"/>
  <c r="AZ68" i="15"/>
  <c r="N68" i="15"/>
  <c r="AZ67" i="15"/>
  <c r="AY67" i="15"/>
  <c r="AP67" i="15"/>
  <c r="AQ67" i="15" s="1"/>
  <c r="AB67" i="15"/>
  <c r="AC67" i="15" s="1"/>
  <c r="AE67" i="15" s="1"/>
  <c r="U67" i="15"/>
  <c r="V67" i="15" s="1"/>
  <c r="N67" i="15"/>
  <c r="AZ66" i="15"/>
  <c r="N66" i="15"/>
  <c r="AZ65" i="15"/>
  <c r="AY65" i="15"/>
  <c r="AP65" i="15"/>
  <c r="AQ65" i="15" s="1"/>
  <c r="U65" i="15"/>
  <c r="V65" i="15" s="1"/>
  <c r="N65" i="15"/>
  <c r="AZ64" i="15"/>
  <c r="N64" i="15"/>
  <c r="AZ63" i="15"/>
  <c r="AY63" i="15"/>
  <c r="AP63" i="15"/>
  <c r="AQ63" i="15" s="1"/>
  <c r="U63" i="15"/>
  <c r="V63" i="15" s="1"/>
  <c r="N63" i="15"/>
  <c r="AZ62" i="15"/>
  <c r="N62" i="15"/>
  <c r="AZ61" i="15"/>
  <c r="AY61" i="15"/>
  <c r="AP61" i="15"/>
  <c r="U61" i="15"/>
  <c r="V61" i="15" s="1"/>
  <c r="N61" i="15"/>
  <c r="AZ60" i="15"/>
  <c r="N60" i="15"/>
  <c r="AZ59" i="15"/>
  <c r="AY59" i="15"/>
  <c r="AQ59" i="15"/>
  <c r="AB59" i="15"/>
  <c r="AC59" i="15" s="1"/>
  <c r="AE59" i="15" s="1"/>
  <c r="U59" i="15"/>
  <c r="V59" i="15" s="1"/>
  <c r="N59" i="15"/>
  <c r="AZ58" i="15"/>
  <c r="N58" i="15"/>
  <c r="AZ57" i="15"/>
  <c r="AY57" i="15"/>
  <c r="U57" i="15"/>
  <c r="V57" i="15" s="1"/>
  <c r="N57" i="15"/>
  <c r="AZ56" i="15"/>
  <c r="N56" i="15"/>
  <c r="AZ55" i="15"/>
  <c r="AY55" i="15"/>
  <c r="U55" i="15"/>
  <c r="V55" i="15" s="1"/>
  <c r="N55" i="15"/>
  <c r="AZ54" i="15"/>
  <c r="N54" i="15"/>
  <c r="AZ53" i="15"/>
  <c r="AY53" i="15"/>
  <c r="AB53" i="15"/>
  <c r="AC53" i="15" s="1"/>
  <c r="AE53" i="15" s="1"/>
  <c r="V53" i="15"/>
  <c r="U53" i="15"/>
  <c r="N53" i="15"/>
  <c r="AZ52" i="15"/>
  <c r="N52" i="15"/>
  <c r="AZ51" i="15"/>
  <c r="AY51" i="15"/>
  <c r="AQ51" i="15"/>
  <c r="AB51" i="15"/>
  <c r="AC51" i="15" s="1"/>
  <c r="AE51" i="15" s="1"/>
  <c r="V51" i="15"/>
  <c r="U51" i="15"/>
  <c r="N51" i="15"/>
  <c r="AZ50" i="15"/>
  <c r="N50" i="15"/>
  <c r="AZ49" i="15"/>
  <c r="AY49" i="15"/>
  <c r="U49" i="15"/>
  <c r="V49" i="15" s="1"/>
  <c r="N49" i="15"/>
  <c r="AZ48" i="15"/>
  <c r="N48" i="15"/>
  <c r="AZ47" i="15"/>
  <c r="AY47" i="15"/>
  <c r="AP47" i="15"/>
  <c r="V47" i="15"/>
  <c r="U47" i="15"/>
  <c r="N47" i="15"/>
  <c r="AZ46" i="15"/>
  <c r="N46" i="15"/>
  <c r="AZ45" i="15"/>
  <c r="AY45" i="15"/>
  <c r="AQ45" i="15"/>
  <c r="AB45" i="15"/>
  <c r="AC45" i="15" s="1"/>
  <c r="AE45" i="15" s="1"/>
  <c r="U45" i="15"/>
  <c r="V45" i="15" s="1"/>
  <c r="N45" i="15"/>
  <c r="AZ44" i="15"/>
  <c r="N44" i="15"/>
  <c r="AZ43" i="15"/>
  <c r="AY43" i="15"/>
  <c r="AQ43" i="15"/>
  <c r="AF43" i="15"/>
  <c r="AB43" i="15"/>
  <c r="AC43" i="15" s="1"/>
  <c r="AE43" i="15" s="1"/>
  <c r="V43" i="15"/>
  <c r="U43" i="15"/>
  <c r="N43" i="15"/>
  <c r="AZ42" i="15"/>
  <c r="N42" i="15"/>
  <c r="AZ41" i="15"/>
  <c r="AY41" i="15"/>
  <c r="AQ41" i="15"/>
  <c r="AP41" i="15"/>
  <c r="U41" i="15"/>
  <c r="V41" i="15" s="1"/>
  <c r="N41" i="15"/>
  <c r="AZ40" i="15"/>
  <c r="N40" i="15"/>
  <c r="AZ39" i="15"/>
  <c r="AY39" i="15"/>
  <c r="U39" i="15"/>
  <c r="V39" i="15" s="1"/>
  <c r="N39" i="15"/>
  <c r="AZ38" i="15"/>
  <c r="N38" i="15"/>
  <c r="AZ37" i="15"/>
  <c r="AY37" i="15"/>
  <c r="U37" i="15"/>
  <c r="V37" i="15" s="1"/>
  <c r="N37" i="15"/>
  <c r="AZ36" i="15"/>
  <c r="N36" i="15"/>
  <c r="AZ35" i="15"/>
  <c r="AY35" i="15"/>
  <c r="U35" i="15"/>
  <c r="V35" i="15" s="1"/>
  <c r="N35" i="15"/>
  <c r="AZ34" i="15"/>
  <c r="N34" i="15"/>
  <c r="AZ33" i="15"/>
  <c r="AY33" i="15"/>
  <c r="U33" i="15"/>
  <c r="V33" i="15" s="1"/>
  <c r="N33" i="15"/>
  <c r="AZ32" i="15"/>
  <c r="N32" i="15"/>
  <c r="AZ31" i="15"/>
  <c r="AY31" i="15"/>
  <c r="AB31" i="15"/>
  <c r="AC31" i="15" s="1"/>
  <c r="AE31" i="15" s="1"/>
  <c r="U31" i="15"/>
  <c r="V31" i="15" s="1"/>
  <c r="N31" i="15"/>
  <c r="AZ30" i="15"/>
  <c r="N30" i="15"/>
  <c r="AZ29" i="15"/>
  <c r="AY29" i="15"/>
  <c r="AP29" i="15"/>
  <c r="AQ29" i="15" s="1"/>
  <c r="AB29" i="15"/>
  <c r="AC29" i="15" s="1"/>
  <c r="AE29" i="15" s="1"/>
  <c r="V29" i="15"/>
  <c r="U29" i="15"/>
  <c r="N29" i="15"/>
  <c r="AZ28" i="15"/>
  <c r="N28" i="15"/>
  <c r="AZ27" i="15"/>
  <c r="AY27" i="15"/>
  <c r="U27" i="15"/>
  <c r="V27" i="15" s="1"/>
  <c r="N27" i="15"/>
  <c r="AZ26" i="15"/>
  <c r="N26" i="15"/>
  <c r="AZ25" i="15"/>
  <c r="AY25" i="15"/>
  <c r="AB25" i="15"/>
  <c r="AC25" i="15" s="1"/>
  <c r="AE25" i="15" s="1"/>
  <c r="U25" i="15"/>
  <c r="V25" i="15" s="1"/>
  <c r="N25" i="15"/>
  <c r="AZ24" i="15"/>
  <c r="N24" i="15"/>
  <c r="AZ23" i="15"/>
  <c r="AY23" i="15"/>
  <c r="U23" i="15"/>
  <c r="V23" i="15" s="1"/>
  <c r="N23" i="15"/>
  <c r="AZ22" i="15"/>
  <c r="N22" i="15"/>
  <c r="AZ21" i="15"/>
  <c r="AY21" i="15"/>
  <c r="AB21" i="15"/>
  <c r="AC21" i="15" s="1"/>
  <c r="AE21" i="15" s="1"/>
  <c r="U21" i="15"/>
  <c r="V21" i="15" s="1"/>
  <c r="N21" i="15"/>
  <c r="AZ20" i="15"/>
  <c r="N20" i="15"/>
  <c r="AZ19" i="15"/>
  <c r="AY19" i="15"/>
  <c r="U19" i="15"/>
  <c r="V19" i="15" s="1"/>
  <c r="N19" i="15"/>
  <c r="AZ18" i="15"/>
  <c r="N18" i="15"/>
  <c r="AZ17" i="15"/>
  <c r="AY17" i="15"/>
  <c r="AQ17" i="15"/>
  <c r="AB17" i="15"/>
  <c r="AC17" i="15" s="1"/>
  <c r="AE17" i="15" s="1"/>
  <c r="V17" i="15"/>
  <c r="U17" i="15"/>
  <c r="N17" i="15"/>
  <c r="AZ16" i="15"/>
  <c r="N16" i="15"/>
  <c r="AZ15" i="15"/>
  <c r="AY15" i="15"/>
  <c r="AP15" i="15"/>
  <c r="AQ15" i="15" s="1"/>
  <c r="AB15" i="15"/>
  <c r="AC15" i="15" s="1"/>
  <c r="AE15" i="15" s="1"/>
  <c r="V15" i="15"/>
  <c r="U15" i="15"/>
  <c r="N15" i="15"/>
  <c r="AZ14" i="15"/>
  <c r="N14" i="15"/>
  <c r="AZ13" i="15"/>
  <c r="AY13" i="15"/>
  <c r="U13" i="15"/>
  <c r="V13" i="15" s="1"/>
  <c r="N13" i="15"/>
  <c r="AZ12" i="15"/>
  <c r="N12" i="15"/>
  <c r="AZ11" i="15"/>
  <c r="AY11" i="15"/>
  <c r="AP11" i="15"/>
  <c r="U11" i="15"/>
  <c r="V11" i="15" s="1"/>
  <c r="N11" i="15"/>
  <c r="AZ10" i="15"/>
  <c r="N10" i="15"/>
  <c r="AZ9" i="15"/>
  <c r="AY9" i="15"/>
  <c r="AQ9" i="15"/>
  <c r="V9" i="15"/>
  <c r="U9" i="15"/>
  <c r="N9" i="15"/>
  <c r="AZ8" i="15"/>
  <c r="N8" i="15"/>
  <c r="AZ7" i="15"/>
  <c r="AY7" i="15"/>
  <c r="AP7" i="15"/>
  <c r="AB7" i="15"/>
  <c r="AC7" i="15" s="1"/>
  <c r="AE7" i="15" s="1"/>
  <c r="V7" i="15"/>
  <c r="U7" i="15"/>
  <c r="N7" i="15"/>
  <c r="AZ6" i="15"/>
  <c r="N6" i="15"/>
  <c r="AZ5" i="15"/>
  <c r="AY5" i="15"/>
  <c r="AQ5" i="15"/>
  <c r="AP5" i="15"/>
  <c r="U5" i="15"/>
  <c r="V5" i="15" s="1"/>
  <c r="N5" i="15"/>
  <c r="AU2" i="15"/>
  <c r="AA2" i="15"/>
  <c r="Y2" i="15"/>
  <c r="AG1" i="15"/>
  <c r="AL95" i="15" l="1"/>
  <c r="AH95" i="15"/>
  <c r="AL132" i="15"/>
  <c r="AH132" i="15"/>
  <c r="AL87" i="15"/>
  <c r="AH87" i="15"/>
  <c r="AL99" i="15"/>
  <c r="AH99" i="15"/>
  <c r="AL89" i="15"/>
  <c r="AH89" i="15"/>
  <c r="AH112" i="15"/>
  <c r="AL112" i="15"/>
  <c r="AL106" i="15"/>
  <c r="AH106" i="15"/>
  <c r="AL31" i="15"/>
  <c r="AH31" i="15"/>
  <c r="AL122" i="15"/>
  <c r="AH122" i="15"/>
  <c r="AL45" i="15"/>
  <c r="AH45" i="15"/>
  <c r="AL69" i="15"/>
  <c r="AH69" i="15"/>
  <c r="AL59" i="15"/>
  <c r="AH59" i="15"/>
  <c r="AL128" i="15"/>
  <c r="AH128" i="15"/>
  <c r="AL118" i="15"/>
  <c r="AH118" i="15"/>
  <c r="AL79" i="15"/>
  <c r="AH79" i="15"/>
  <c r="AH75" i="15"/>
  <c r="AL75" i="15"/>
  <c r="AL108" i="15"/>
  <c r="AH108" i="15"/>
  <c r="AH138" i="15"/>
  <c r="AL138" i="15"/>
  <c r="AL65" i="15"/>
  <c r="AL142" i="15"/>
  <c r="AH142" i="15"/>
  <c r="AL119" i="15"/>
  <c r="AH119" i="15"/>
  <c r="AL126" i="15"/>
  <c r="AH126" i="15"/>
  <c r="AH43" i="15"/>
  <c r="AL43" i="15"/>
  <c r="AL17" i="15"/>
  <c r="AH17" i="15"/>
  <c r="AH98" i="15"/>
  <c r="AL98" i="15"/>
  <c r="AH21" i="15"/>
  <c r="AL21" i="15"/>
  <c r="AH135" i="15"/>
  <c r="AL135" i="15"/>
  <c r="AL85" i="15"/>
  <c r="AH85" i="15"/>
  <c r="AL104" i="15"/>
  <c r="AH104" i="15"/>
  <c r="AH125" i="15"/>
  <c r="AL125" i="15"/>
  <c r="AL109" i="15"/>
  <c r="AH109" i="15"/>
  <c r="AL116" i="15"/>
  <c r="AH116" i="15"/>
  <c r="AL7" i="15"/>
  <c r="AH7" i="15"/>
  <c r="AL53" i="15"/>
  <c r="AH53" i="15"/>
  <c r="AL29" i="15"/>
  <c r="AH29" i="15"/>
  <c r="AL67" i="15"/>
  <c r="AH67" i="15"/>
  <c r="AH105" i="15"/>
  <c r="AL129" i="15"/>
  <c r="AH129" i="15"/>
  <c r="AL25" i="15"/>
  <c r="AH25" i="15"/>
  <c r="AL51" i="15"/>
  <c r="AH51" i="15"/>
  <c r="AL136" i="15"/>
  <c r="AH136" i="15"/>
  <c r="AH15" i="15"/>
  <c r="AL15" i="15"/>
  <c r="AL139" i="15"/>
  <c r="AH139" i="15"/>
  <c r="AL77" i="15"/>
  <c r="AH77" i="15"/>
  <c r="AL92" i="15"/>
  <c r="AH92" i="15"/>
  <c r="AB140" i="15"/>
  <c r="AC140" i="15" s="1"/>
  <c r="AE140" i="15" s="1"/>
  <c r="AH140" i="15" s="1"/>
  <c r="AB130" i="15"/>
  <c r="AC130" i="15" s="1"/>
  <c r="AE130" i="15" s="1"/>
  <c r="AH130" i="15" s="1"/>
  <c r="AB120" i="15"/>
  <c r="AC120" i="15" s="1"/>
  <c r="AE120" i="15" s="1"/>
  <c r="AL120" i="15" s="1"/>
  <c r="AB110" i="15"/>
  <c r="AC110" i="15" s="1"/>
  <c r="AE110" i="15" s="1"/>
  <c r="AL110" i="15" s="1"/>
  <c r="AB100" i="15"/>
  <c r="AC100" i="15" s="1"/>
  <c r="AE100" i="15" s="1"/>
  <c r="AB90" i="15"/>
  <c r="AC90" i="15" s="1"/>
  <c r="AE90" i="15" s="1"/>
  <c r="AL90" i="15" s="1"/>
  <c r="AB55" i="15"/>
  <c r="AC55" i="15" s="1"/>
  <c r="AE55" i="15" s="1"/>
  <c r="AH55" i="15" s="1"/>
  <c r="AB134" i="15"/>
  <c r="AC134" i="15" s="1"/>
  <c r="AE134" i="15" s="1"/>
  <c r="AL134" i="15" s="1"/>
  <c r="AB114" i="15"/>
  <c r="AC114" i="15" s="1"/>
  <c r="AE114" i="15" s="1"/>
  <c r="AL114" i="15" s="1"/>
  <c r="AB27" i="15"/>
  <c r="AC27" i="15" s="1"/>
  <c r="AE27" i="15" s="1"/>
  <c r="AL27" i="15" s="1"/>
  <c r="AB91" i="15"/>
  <c r="AC91" i="15" s="1"/>
  <c r="AE91" i="15" s="1"/>
  <c r="AL91" i="15" s="1"/>
  <c r="AB85" i="15"/>
  <c r="AC85" i="15" s="1"/>
  <c r="AE85" i="15" s="1"/>
  <c r="AB75" i="15"/>
  <c r="AC75" i="15" s="1"/>
  <c r="AE75" i="15" s="1"/>
  <c r="AB65" i="15"/>
  <c r="AC65" i="15" s="1"/>
  <c r="AE65" i="15" s="1"/>
  <c r="AH65" i="15" s="1"/>
  <c r="AB33" i="15"/>
  <c r="AC33" i="15" s="1"/>
  <c r="AE33" i="15" s="1"/>
  <c r="AL33" i="15" s="1"/>
  <c r="AB19" i="15"/>
  <c r="AC19" i="15" s="1"/>
  <c r="AE19" i="15" s="1"/>
  <c r="AL19" i="15" s="1"/>
  <c r="AB11" i="15"/>
  <c r="AC11" i="15" s="1"/>
  <c r="AE11" i="15" s="1"/>
  <c r="AL11" i="15" s="1"/>
  <c r="AB144" i="15"/>
  <c r="AC144" i="15" s="1"/>
  <c r="AE144" i="15" s="1"/>
  <c r="AL144" i="15" s="1"/>
  <c r="AB141" i="15"/>
  <c r="AC141" i="15" s="1"/>
  <c r="AE141" i="15" s="1"/>
  <c r="AH141" i="15" s="1"/>
  <c r="AB101" i="15"/>
  <c r="AC101" i="15" s="1"/>
  <c r="AE101" i="15" s="1"/>
  <c r="AH101" i="15" s="1"/>
  <c r="AB137" i="15"/>
  <c r="AC137" i="15" s="1"/>
  <c r="AE137" i="15" s="1"/>
  <c r="AH137" i="15" s="1"/>
  <c r="AB127" i="15"/>
  <c r="AC127" i="15" s="1"/>
  <c r="AE127" i="15" s="1"/>
  <c r="AL127" i="15" s="1"/>
  <c r="AB117" i="15"/>
  <c r="AC117" i="15" s="1"/>
  <c r="AE117" i="15" s="1"/>
  <c r="AL117" i="15" s="1"/>
  <c r="AB107" i="15"/>
  <c r="AC107" i="15" s="1"/>
  <c r="AE107" i="15" s="1"/>
  <c r="AH107" i="15" s="1"/>
  <c r="AB97" i="15"/>
  <c r="AC97" i="15" s="1"/>
  <c r="AE97" i="15" s="1"/>
  <c r="AH97" i="15" s="1"/>
  <c r="AB83" i="15"/>
  <c r="AC83" i="15" s="1"/>
  <c r="AE83" i="15" s="1"/>
  <c r="AH83" i="15" s="1"/>
  <c r="AB73" i="15"/>
  <c r="AC73" i="15" s="1"/>
  <c r="AE73" i="15" s="1"/>
  <c r="AH73" i="15" s="1"/>
  <c r="AB63" i="15"/>
  <c r="AC63" i="15" s="1"/>
  <c r="AE63" i="15" s="1"/>
  <c r="AH63" i="15" s="1"/>
  <c r="AB49" i="15"/>
  <c r="AC49" i="15" s="1"/>
  <c r="AE49" i="15" s="1"/>
  <c r="AL49" i="15" s="1"/>
  <c r="AB111" i="15"/>
  <c r="AC111" i="15" s="1"/>
  <c r="AE111" i="15" s="1"/>
  <c r="AL111" i="15" s="1"/>
  <c r="AB57" i="15"/>
  <c r="AC57" i="15" s="1"/>
  <c r="AE57" i="15" s="1"/>
  <c r="AH57" i="15" s="1"/>
  <c r="AB124" i="15"/>
  <c r="AC124" i="15" s="1"/>
  <c r="AE124" i="15" s="1"/>
  <c r="AL124" i="15" s="1"/>
  <c r="AB104" i="15"/>
  <c r="AC104" i="15" s="1"/>
  <c r="AE104" i="15" s="1"/>
  <c r="AB94" i="15"/>
  <c r="AC94" i="15" s="1"/>
  <c r="AE94" i="15" s="1"/>
  <c r="AL94" i="15" s="1"/>
  <c r="AB41" i="15"/>
  <c r="AC41" i="15" s="1"/>
  <c r="AE41" i="15" s="1"/>
  <c r="AL41" i="15" s="1"/>
  <c r="AB131" i="15"/>
  <c r="AC131" i="15" s="1"/>
  <c r="AE131" i="15" s="1"/>
  <c r="AH131" i="15" s="1"/>
  <c r="AB121" i="15"/>
  <c r="AC121" i="15" s="1"/>
  <c r="AE121" i="15" s="1"/>
  <c r="AB13" i="15"/>
  <c r="AC13" i="15" s="1"/>
  <c r="AE13" i="15" s="1"/>
  <c r="AL13" i="15" s="1"/>
  <c r="AB145" i="15"/>
  <c r="AC145" i="15" s="1"/>
  <c r="AE145" i="15" s="1"/>
  <c r="AH145" i="15" s="1"/>
  <c r="AB143" i="15"/>
  <c r="AC143" i="15" s="1"/>
  <c r="AE143" i="15" s="1"/>
  <c r="AH143" i="15" s="1"/>
  <c r="AB133" i="15"/>
  <c r="AC133" i="15" s="1"/>
  <c r="AE133" i="15" s="1"/>
  <c r="AH133" i="15" s="1"/>
  <c r="AB123" i="15"/>
  <c r="AC123" i="15" s="1"/>
  <c r="AE123" i="15" s="1"/>
  <c r="AL123" i="15" s="1"/>
  <c r="AB113" i="15"/>
  <c r="AC113" i="15" s="1"/>
  <c r="AE113" i="15" s="1"/>
  <c r="AH113" i="15" s="1"/>
  <c r="AB103" i="15"/>
  <c r="AC103" i="15" s="1"/>
  <c r="AE103" i="15" s="1"/>
  <c r="AB93" i="15"/>
  <c r="AC93" i="15" s="1"/>
  <c r="AE93" i="15" s="1"/>
  <c r="AL93" i="15" s="1"/>
  <c r="AB81" i="15"/>
  <c r="AC81" i="15" s="1"/>
  <c r="AE81" i="15" s="1"/>
  <c r="AB71" i="15"/>
  <c r="AC71" i="15" s="1"/>
  <c r="AE71" i="15" s="1"/>
  <c r="AB47" i="15"/>
  <c r="AC47" i="15" s="1"/>
  <c r="AE47" i="15" s="1"/>
  <c r="AB35" i="15"/>
  <c r="AC35" i="15" s="1"/>
  <c r="AE35" i="15" s="1"/>
  <c r="AH35" i="15" s="1"/>
  <c r="AL97" i="15"/>
  <c r="AB39" i="15"/>
  <c r="AC39" i="15" s="1"/>
  <c r="AE39" i="15" s="1"/>
  <c r="AB105" i="15"/>
  <c r="AC105" i="15" s="1"/>
  <c r="AE105" i="15" s="1"/>
  <c r="AL105" i="15" s="1"/>
  <c r="AL115" i="15"/>
  <c r="AB5" i="15"/>
  <c r="AC5" i="15" s="1"/>
  <c r="AE5" i="15" s="1"/>
  <c r="AH5" i="15" s="1"/>
  <c r="AB37" i="15"/>
  <c r="AC37" i="15" s="1"/>
  <c r="AE37" i="15" s="1"/>
  <c r="AL37" i="15" s="1"/>
  <c r="AB96" i="15"/>
  <c r="AC96" i="15" s="1"/>
  <c r="AE96" i="15" s="1"/>
  <c r="AH115" i="15"/>
  <c r="AL121" i="15"/>
  <c r="AH121" i="15"/>
  <c r="AH33" i="15"/>
  <c r="AB61" i="15"/>
  <c r="AC61" i="15" s="1"/>
  <c r="AE61" i="15" s="1"/>
  <c r="AB102" i="15"/>
  <c r="AC102" i="15" s="1"/>
  <c r="AE102" i="15" s="1"/>
  <c r="AL102" i="15" s="1"/>
  <c r="AB9" i="15"/>
  <c r="AC9" i="15" s="1"/>
  <c r="AE9" i="15" s="1"/>
  <c r="AB23" i="15"/>
  <c r="AC23" i="15" s="1"/>
  <c r="AE23" i="15" s="1"/>
  <c r="AL23" i="15" s="1"/>
  <c r="AL137" i="15" l="1"/>
  <c r="AH124" i="15"/>
  <c r="AL5" i="15"/>
  <c r="AH144" i="15"/>
  <c r="AH41" i="15"/>
  <c r="AH13" i="15"/>
  <c r="AN13" i="15" s="1"/>
  <c r="AL101" i="15"/>
  <c r="AH94" i="15"/>
  <c r="AL131" i="15"/>
  <c r="AH127" i="15"/>
  <c r="AN127" i="15" s="1"/>
  <c r="AH114" i="15"/>
  <c r="AM114" i="15" s="1"/>
  <c r="AL130" i="15"/>
  <c r="AH110" i="15"/>
  <c r="AM110" i="15" s="1"/>
  <c r="AH123" i="15"/>
  <c r="AL145" i="15"/>
  <c r="AH27" i="15"/>
  <c r="AM27" i="15" s="1"/>
  <c r="AH19" i="15"/>
  <c r="AN19" i="15" s="1"/>
  <c r="AL133" i="15"/>
  <c r="AN35" i="15"/>
  <c r="AM35" i="15"/>
  <c r="AM143" i="15"/>
  <c r="AN143" i="15"/>
  <c r="AN73" i="15"/>
  <c r="AM73" i="15"/>
  <c r="AM133" i="15"/>
  <c r="AN133" i="15"/>
  <c r="AN137" i="15"/>
  <c r="AM137" i="15"/>
  <c r="AN141" i="15"/>
  <c r="AM141" i="15"/>
  <c r="AN131" i="15"/>
  <c r="AM131" i="15"/>
  <c r="AN55" i="15"/>
  <c r="AM55" i="15"/>
  <c r="AN83" i="15"/>
  <c r="AM83" i="15"/>
  <c r="AN97" i="15"/>
  <c r="AM97" i="15"/>
  <c r="AN113" i="15"/>
  <c r="AM113" i="15"/>
  <c r="AM140" i="15"/>
  <c r="AN140" i="15"/>
  <c r="AN57" i="15"/>
  <c r="AM57" i="15"/>
  <c r="AH47" i="15"/>
  <c r="AL47" i="15"/>
  <c r="AM130" i="15"/>
  <c r="AN130" i="15"/>
  <c r="AM123" i="15"/>
  <c r="AN123" i="15"/>
  <c r="AN107" i="15"/>
  <c r="AM107" i="15"/>
  <c r="AH117" i="15"/>
  <c r="AN21" i="15"/>
  <c r="AM21" i="15"/>
  <c r="AL83" i="15"/>
  <c r="AM115" i="15"/>
  <c r="AN115" i="15"/>
  <c r="AM41" i="15"/>
  <c r="AN41" i="15"/>
  <c r="AM29" i="15"/>
  <c r="AN29" i="15"/>
  <c r="AN109" i="15"/>
  <c r="AM109" i="15"/>
  <c r="AL143" i="15"/>
  <c r="AL113" i="15"/>
  <c r="AN128" i="15"/>
  <c r="AM128" i="15"/>
  <c r="AN99" i="15"/>
  <c r="AM99" i="15"/>
  <c r="AH39" i="15"/>
  <c r="AL39" i="15"/>
  <c r="AN122" i="15"/>
  <c r="AM122" i="15"/>
  <c r="AN25" i="15"/>
  <c r="AM25" i="15"/>
  <c r="AN85" i="15"/>
  <c r="AM85" i="15"/>
  <c r="AM63" i="15"/>
  <c r="AN63" i="15"/>
  <c r="AM139" i="15"/>
  <c r="AN139" i="15"/>
  <c r="AN144" i="15"/>
  <c r="AM144" i="15"/>
  <c r="AM106" i="15"/>
  <c r="AN106" i="15"/>
  <c r="AH91" i="15"/>
  <c r="AN121" i="15"/>
  <c r="AM121" i="15"/>
  <c r="AH134" i="15"/>
  <c r="AN118" i="15"/>
  <c r="AM118" i="15"/>
  <c r="AH96" i="15"/>
  <c r="AL96" i="15"/>
  <c r="AH61" i="15"/>
  <c r="AL61" i="15"/>
  <c r="AN75" i="15"/>
  <c r="AM75" i="15"/>
  <c r="AN124" i="15"/>
  <c r="AM124" i="15"/>
  <c r="AH71" i="15"/>
  <c r="AL71" i="15"/>
  <c r="AH81" i="15"/>
  <c r="AL81" i="15"/>
  <c r="AN105" i="15"/>
  <c r="AM105" i="15"/>
  <c r="AN145" i="15"/>
  <c r="AM145" i="15"/>
  <c r="AL100" i="15"/>
  <c r="AH100" i="15"/>
  <c r="AN67" i="15"/>
  <c r="AM67" i="15"/>
  <c r="AH103" i="15"/>
  <c r="AL103" i="15"/>
  <c r="AM135" i="15"/>
  <c r="AN135" i="15"/>
  <c r="AN119" i="15"/>
  <c r="AM119" i="15"/>
  <c r="AN5" i="15"/>
  <c r="AM89" i="15"/>
  <c r="AN89" i="15"/>
  <c r="AH120" i="15"/>
  <c r="AL73" i="15"/>
  <c r="AH23" i="15"/>
  <c r="AM98" i="15"/>
  <c r="AN98" i="15"/>
  <c r="AH102" i="15"/>
  <c r="AH90" i="15"/>
  <c r="AH37" i="15"/>
  <c r="AH49" i="15"/>
  <c r="AM132" i="15"/>
  <c r="AN132" i="15"/>
  <c r="AH93" i="15"/>
  <c r="AH111" i="15"/>
  <c r="AH11" i="15"/>
  <c r="AL57" i="15"/>
  <c r="AL140" i="15"/>
  <c r="AN138" i="15"/>
  <c r="AM138" i="15"/>
  <c r="AN45" i="15"/>
  <c r="AM45" i="15"/>
  <c r="AN95" i="15"/>
  <c r="AM95" i="15"/>
  <c r="AN126" i="15"/>
  <c r="AM126" i="15"/>
  <c r="AN101" i="15"/>
  <c r="AM101" i="15"/>
  <c r="AM31" i="15"/>
  <c r="AN31" i="15"/>
  <c r="AN33" i="15"/>
  <c r="AM33" i="15"/>
  <c r="AN129" i="15"/>
  <c r="AM129" i="15"/>
  <c r="AN79" i="15"/>
  <c r="AM79" i="15"/>
  <c r="AN116" i="15"/>
  <c r="AM116" i="15"/>
  <c r="AN112" i="15"/>
  <c r="AM112" i="15"/>
  <c r="AN15" i="15"/>
  <c r="AM15" i="15"/>
  <c r="AL9" i="15"/>
  <c r="AN94" i="15"/>
  <c r="AM94" i="15"/>
  <c r="AN136" i="15"/>
  <c r="AM136" i="15"/>
  <c r="AN59" i="15"/>
  <c r="AM59" i="15"/>
  <c r="AN92" i="15"/>
  <c r="AM92" i="15"/>
  <c r="AN53" i="15"/>
  <c r="AM53" i="15"/>
  <c r="AN17" i="15"/>
  <c r="AM17" i="15"/>
  <c r="AN142" i="15"/>
  <c r="AM142" i="15"/>
  <c r="AL55" i="15"/>
  <c r="AN125" i="15"/>
  <c r="AM125" i="15"/>
  <c r="AN87" i="15"/>
  <c r="AM87" i="15"/>
  <c r="AL141" i="15"/>
  <c r="AL35" i="15"/>
  <c r="AN104" i="15"/>
  <c r="AM104" i="15"/>
  <c r="AN65" i="15"/>
  <c r="AM65" i="15"/>
  <c r="AN69" i="15"/>
  <c r="AM69" i="15"/>
  <c r="AL107" i="15"/>
  <c r="AN43" i="15"/>
  <c r="AM43" i="15"/>
  <c r="AL63" i="15"/>
  <c r="AN77" i="15"/>
  <c r="AM77" i="15"/>
  <c r="AN51" i="15"/>
  <c r="AM51" i="15"/>
  <c r="AN7" i="15"/>
  <c r="AM7" i="15"/>
  <c r="AN108" i="15"/>
  <c r="AM108" i="15"/>
  <c r="AN110" i="15" l="1"/>
  <c r="AN27" i="15"/>
  <c r="AN114" i="15"/>
  <c r="AM127" i="15"/>
  <c r="AM13" i="15"/>
  <c r="AM19" i="15"/>
  <c r="AN100" i="15"/>
  <c r="AM100" i="15"/>
  <c r="AN9" i="15"/>
  <c r="AM9" i="15"/>
  <c r="AN47" i="15"/>
  <c r="AM47" i="15"/>
  <c r="AN71" i="15"/>
  <c r="AM71" i="15"/>
  <c r="AN91" i="15"/>
  <c r="AM91" i="15"/>
  <c r="AN102" i="15"/>
  <c r="AM102" i="15"/>
  <c r="AN23" i="15"/>
  <c r="AM23" i="15"/>
  <c r="AN81" i="15"/>
  <c r="AM81" i="15"/>
  <c r="AN103" i="15"/>
  <c r="AM103" i="15"/>
  <c r="AN37" i="15"/>
  <c r="AM37" i="15"/>
  <c r="AN39" i="15"/>
  <c r="AM39" i="15"/>
  <c r="AN134" i="15"/>
  <c r="AM134" i="15"/>
  <c r="AM120" i="15"/>
  <c r="AN120" i="15"/>
  <c r="AN11" i="15"/>
  <c r="AM11" i="15"/>
  <c r="AN111" i="15"/>
  <c r="AM111" i="15"/>
  <c r="AN93" i="15"/>
  <c r="AM93" i="15"/>
  <c r="AM49" i="15"/>
  <c r="AN49" i="15"/>
  <c r="AM61" i="15"/>
  <c r="AN61" i="15"/>
  <c r="AN90" i="15"/>
  <c r="AM90" i="15"/>
  <c r="AM96" i="15"/>
  <c r="AN96" i="15"/>
  <c r="AN117" i="15"/>
  <c r="AM117" i="15"/>
</calcChain>
</file>

<file path=xl/sharedStrings.xml><?xml version="1.0" encoding="utf-8"?>
<sst xmlns="http://schemas.openxmlformats.org/spreadsheetml/2006/main" count="114" uniqueCount="68">
  <si>
    <t>참여가능비율</t>
  </si>
  <si>
    <t>실적         (13점만점)</t>
    <phoneticPr fontId="3" type="noConversion"/>
  </si>
  <si>
    <t>시공능력</t>
    <phoneticPr fontId="3" type="noConversion"/>
  </si>
  <si>
    <t>추정가격</t>
    <phoneticPr fontId="3" type="noConversion"/>
  </si>
  <si>
    <t>추정금액
(시공비율)</t>
    <phoneticPr fontId="3" type="noConversion"/>
  </si>
  <si>
    <t>공고명/공고번호</t>
    <phoneticPr fontId="3" type="noConversion"/>
  </si>
  <si>
    <t>시평기준</t>
    <phoneticPr fontId="3" type="noConversion"/>
  </si>
  <si>
    <t>입찰참가자격</t>
    <phoneticPr fontId="3" type="noConversion"/>
  </si>
  <si>
    <t>단순
합산</t>
    <phoneticPr fontId="3" type="noConversion"/>
  </si>
  <si>
    <t>설계금액</t>
    <phoneticPr fontId="3" type="noConversion"/>
  </si>
  <si>
    <t>실적만점</t>
    <phoneticPr fontId="3" type="noConversion"/>
  </si>
  <si>
    <t>입찰</t>
    <phoneticPr fontId="3" type="noConversion"/>
  </si>
  <si>
    <t>날짜</t>
    <phoneticPr fontId="3" type="noConversion"/>
  </si>
  <si>
    <t>2025.06.16</t>
    <phoneticPr fontId="3" type="noConversion"/>
  </si>
  <si>
    <t>참가자격
시평제한</t>
    <phoneticPr fontId="3" type="noConversion"/>
  </si>
  <si>
    <t>연번</t>
    <phoneticPr fontId="3" type="noConversion"/>
  </si>
  <si>
    <t>승인여부</t>
    <phoneticPr fontId="3" type="noConversion"/>
  </si>
  <si>
    <t>업 체 명</t>
    <phoneticPr fontId="3" type="noConversion"/>
  </si>
  <si>
    <t>지 분</t>
    <phoneticPr fontId="3" type="noConversion"/>
  </si>
  <si>
    <t>합산
지분</t>
    <phoneticPr fontId="3" type="noConversion"/>
  </si>
  <si>
    <t>가점</t>
    <phoneticPr fontId="3" type="noConversion"/>
  </si>
  <si>
    <t>경영상태(부채,유동,영업기간)</t>
    <phoneticPr fontId="3" type="noConversion"/>
  </si>
  <si>
    <t>시공경험(최근5년간 2배수, 품질평가점수)</t>
    <phoneticPr fontId="3" type="noConversion"/>
  </si>
  <si>
    <t>투찰율[%]  소수점3째자리 반올림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</si>
  <si>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</si>
  <si>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</si>
  <si>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</si>
  <si>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</si>
  <si>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</si>
  <si>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시공능력대표사</t>
    <phoneticPr fontId="3" type="noConversion"/>
  </si>
  <si>
    <t>시공능력구성사1</t>
    <phoneticPr fontId="3" type="noConversion"/>
  </si>
  <si>
    <t>시공능력구성사2</t>
    <phoneticPr fontId="3" type="noConversion"/>
  </si>
  <si>
    <t>시공능력구성사3</t>
    <phoneticPr fontId="3" type="noConversion"/>
  </si>
  <si>
    <t>시공능력구성사4</t>
    <phoneticPr fontId="3" type="noConversion"/>
  </si>
  <si>
    <t>시공능력
단순합산</t>
    <phoneticPr fontId="3" type="noConversion"/>
  </si>
  <si>
    <t>시공능력
*시공비율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</si>
  <si>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</si>
  <si>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</si>
  <si>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</si>
  <si>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</si>
  <si>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구성원3</t>
    <phoneticPr fontId="3" type="noConversion"/>
  </si>
  <si>
    <t>구성원4</t>
    <phoneticPr fontId="3" type="noConversion"/>
  </si>
  <si>
    <t>구성원4</t>
    <phoneticPr fontId="3" type="noConversion"/>
  </si>
  <si>
    <t>비고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</si>
  <si>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</si>
  <si>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</si>
  <si>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</si>
  <si>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구성원1</t>
    <phoneticPr fontId="3" type="noConversion"/>
  </si>
  <si>
    <t>구성원2</t>
    <phoneticPr fontId="3" type="noConversion"/>
  </si>
  <si>
    <t>구성원4</t>
    <phoneticPr fontId="3" type="noConversion"/>
  </si>
  <si>
    <t>경영          (15점만점)</t>
    <phoneticPr fontId="3" type="noConversion"/>
  </si>
  <si>
    <t>경영적용점수</t>
    <phoneticPr fontId="3" type="noConversion"/>
  </si>
  <si>
    <t>실적점수적용</t>
    <phoneticPr fontId="3" type="noConversion"/>
  </si>
  <si>
    <t>시공품질(2점기본)</t>
    <phoneticPr fontId="3" type="noConversion"/>
  </si>
  <si>
    <t>시공실적점수</t>
    <phoneticPr fontId="3" type="noConversion"/>
  </si>
  <si>
    <t>신인도</t>
    <phoneticPr fontId="3" type="noConversion"/>
  </si>
  <si>
    <t>순공사
점수</t>
    <phoneticPr fontId="3" type="noConversion"/>
  </si>
  <si>
    <t>수행능력
점수</t>
    <phoneticPr fontId="3" type="noConversion"/>
  </si>
  <si>
    <t>하도급</t>
    <phoneticPr fontId="3" type="noConversion"/>
  </si>
  <si>
    <t>자재</t>
    <phoneticPr fontId="3" type="noConversion"/>
  </si>
  <si>
    <t>입찰점수</t>
    <phoneticPr fontId="3" type="noConversion"/>
  </si>
  <si>
    <t>예상점수</t>
    <phoneticPr fontId="3" type="noConversion"/>
  </si>
  <si>
    <t xml:space="preserve">88점이상:3점/85점이상:2점/83점이상:1.5점/80점이상:1점 </t>
    <phoneticPr fontId="3" type="noConversion"/>
  </si>
  <si>
    <t xml:space="preserve">88점이상:3점/85점이상:2점/83점이상:1.5점/80점이상:1점 </t>
    <phoneticPr fontId="3" type="noConversion"/>
  </si>
  <si>
    <t xml:space="preserve">  </t>
    <phoneticPr fontId="3" type="noConversion"/>
  </si>
  <si>
    <t xml:space="preserve"> </t>
    <phoneticPr fontId="3" type="noConversion"/>
  </si>
  <si>
    <t xml:space="preserve">88점이상:3점/85점이상:2점/83점이상:1.5점/80점이상:1점 </t>
    <phoneticPr fontId="3" type="noConversion"/>
  </si>
  <si>
    <t>5년3배수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</si>
</sst>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_-* #,##0_-;\-* #,##0_-;_-* \-_-;_-@_-"/>
    <numFmt numFmtId="177" formatCode="_(* #,##0_);_(* \(#,##0\);_(* &quot;-&quot;_);_(@_)"/>
    <numFmt numFmtId="178" formatCode="0.0%"/>
    <numFmt numFmtId="179" formatCode="_-* #,##0.00_-;\-* #,##0.00_-;_-* \-_-;_-@_-"/>
    <numFmt numFmtId="180" formatCode="_-* #,##0.00_-;\-* #,##0.00_-;_-* &quot;-&quot;_-;_-@_-"/>
    <numFmt numFmtId="181" formatCode="0.00_ "/>
    <numFmt numFmtId="182" formatCode="0.000%"/>
    <numFmt numFmtId="183" formatCode="_(* #,##0.00_);_(* \(#,##0.00\);_(* &quot;-&quot;??_);_(@_)"/>
    <numFmt numFmtId="184" formatCode="_(* #,##0.00_);_(* \(#,##0.00\);_(* &quot;-&quot;_);_(@_)"/>
  </numFmts>
  <fonts count="2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b/>
      <sz val="8"/>
      <name val="굴림체"/>
      <family val="3"/>
      <charset val="129"/>
    </font>
    <font>
      <b/>
      <sz val="16"/>
      <name val="굴림체"/>
      <family val="3"/>
      <charset val="129"/>
    </font>
    <font>
      <b/>
      <sz val="14"/>
      <name val="굴림체"/>
      <family val="3"/>
      <charset val="129"/>
    </font>
    <font>
      <b/>
      <sz val="18"/>
      <name val="굴림체"/>
      <family val="3"/>
      <charset val="129"/>
    </font>
    <font>
      <b/>
      <sz val="12"/>
      <name val="굴림체"/>
      <family val="3"/>
      <charset val="129"/>
    </font>
    <font>
      <sz val="10"/>
      <color rgb="FFFF0000"/>
      <name val="굴림체"/>
      <family val="3"/>
      <charset val="129"/>
    </font>
    <font>
      <b/>
      <sz val="16"/>
      <color rgb="FFFF0000"/>
      <name val="굴림체"/>
      <family val="3"/>
      <charset val="129"/>
    </font>
    <font>
      <b/>
      <sz val="12"/>
      <color theme="1"/>
      <name val="굴림체"/>
      <family val="3"/>
      <charset val="129"/>
    </font>
    <font>
      <b/>
      <sz val="11"/>
      <color rgb="FF0070C0"/>
      <name val="굴림체"/>
      <family val="3"/>
      <charset val="129"/>
    </font>
    <font>
      <b/>
      <sz val="11"/>
      <name val="굴림체"/>
      <family val="3"/>
      <charset val="129"/>
    </font>
    <font>
      <sz val="10"/>
      <name val="굴림체"/>
      <family val="3"/>
      <charset val="129"/>
    </font>
    <font>
      <sz val="9"/>
      <color rgb="FFFF0000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sz val="10"/>
      <color rgb="FF00B0F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2"/>
      <color rgb="FF0070C0"/>
      <name val="굴림체"/>
      <family val="3"/>
      <charset val="129"/>
    </font>
    <font>
      <b/>
      <sz val="10"/>
      <color rgb="FF000000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Border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8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177" fontId="4" fillId="2" borderId="2" xfId="3" applyFont="1" applyFill="1" applyBorder="1" applyAlignment="1">
      <alignment vertical="center" wrapText="1"/>
    </xf>
    <xf numFmtId="177" fontId="4" fillId="2" borderId="3" xfId="3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2" borderId="11" xfId="0" applyFont="1" applyFill="1" applyBorder="1" applyAlignment="1">
      <alignment vertical="center" wrapText="1"/>
    </xf>
    <xf numFmtId="177" fontId="9" fillId="2" borderId="0" xfId="3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77" fontId="4" fillId="2" borderId="12" xfId="3" applyFont="1" applyFill="1" applyBorder="1" applyAlignment="1">
      <alignment vertical="center"/>
    </xf>
    <xf numFmtId="177" fontId="4" fillId="2" borderId="13" xfId="3" applyFont="1" applyFill="1" applyBorder="1" applyAlignment="1">
      <alignment vertical="center"/>
    </xf>
    <xf numFmtId="0" fontId="10" fillId="2" borderId="4" xfId="3" applyNumberFormat="1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2" fillId="2" borderId="0" xfId="0" applyFont="1" applyFill="1">
      <alignment vertical="center"/>
    </xf>
    <xf numFmtId="10" fontId="13" fillId="2" borderId="0" xfId="1" applyNumberFormat="1" applyFont="1" applyFill="1" applyBorder="1" applyAlignment="1">
      <alignment horizontal="left" vertical="center"/>
    </xf>
    <xf numFmtId="0" fontId="14" fillId="2" borderId="0" xfId="0" applyFont="1" applyFill="1">
      <alignment vertical="center"/>
    </xf>
    <xf numFmtId="10" fontId="9" fillId="5" borderId="0" xfId="1" applyNumberFormat="1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15" fillId="3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6" fillId="2" borderId="10" xfId="0" applyFont="1" applyFill="1" applyBorder="1" applyAlignment="1">
      <alignment horizontal="center" vertical="center" wrapText="1"/>
    </xf>
    <xf numFmtId="177" fontId="15" fillId="2" borderId="0" xfId="0" applyNumberFormat="1" applyFont="1" applyFill="1">
      <alignment vertical="center"/>
    </xf>
    <xf numFmtId="0" fontId="15" fillId="2" borderId="0" xfId="0" applyFont="1" applyFill="1" applyAlignment="1">
      <alignment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0" fontId="15" fillId="2" borderId="33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15" fillId="2" borderId="35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 shrinkToFit="1"/>
    </xf>
    <xf numFmtId="0" fontId="15" fillId="0" borderId="38" xfId="0" applyFont="1" applyBorder="1" applyAlignment="1">
      <alignment horizontal="center" vertical="center" wrapText="1" shrinkToFit="1"/>
    </xf>
    <xf numFmtId="0" fontId="15" fillId="2" borderId="39" xfId="0" applyFont="1" applyFill="1" applyBorder="1" applyAlignment="1">
      <alignment horizontal="center" vertical="center" wrapText="1"/>
    </xf>
    <xf numFmtId="0" fontId="15" fillId="4" borderId="35" xfId="0" applyFont="1" applyFill="1" applyBorder="1" applyAlignment="1">
      <alignment horizontal="center" vertical="center" wrapText="1" shrinkToFit="1"/>
    </xf>
    <xf numFmtId="0" fontId="15" fillId="0" borderId="36" xfId="0" applyFont="1" applyBorder="1" applyAlignment="1">
      <alignment horizontal="center" vertical="center" wrapText="1" shrinkToFit="1"/>
    </xf>
    <xf numFmtId="0" fontId="15" fillId="4" borderId="36" xfId="0" applyFont="1" applyFill="1" applyBorder="1" applyAlignment="1">
      <alignment horizontal="center" vertical="center" wrapText="1" shrinkToFit="1"/>
    </xf>
    <xf numFmtId="0" fontId="15" fillId="8" borderId="33" xfId="0" applyFont="1" applyFill="1" applyBorder="1" applyAlignment="1">
      <alignment horizontal="center" vertical="center" wrapText="1" shrinkToFit="1"/>
    </xf>
    <xf numFmtId="0" fontId="15" fillId="2" borderId="33" xfId="0" applyFont="1" applyFill="1" applyBorder="1" applyAlignment="1">
      <alignment horizontal="center" vertical="center" wrapText="1" shrinkToFit="1"/>
    </xf>
    <xf numFmtId="0" fontId="15" fillId="2" borderId="34" xfId="0" applyFont="1" applyFill="1" applyBorder="1" applyAlignment="1">
      <alignment horizontal="center" vertical="center" wrapText="1" shrinkToFit="1"/>
    </xf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 shrinkToFit="1"/>
    </xf>
    <xf numFmtId="178" fontId="15" fillId="0" borderId="3" xfId="0" applyNumberFormat="1" applyFont="1" applyBorder="1" applyAlignment="1">
      <alignment horizontal="center" vertical="center"/>
    </xf>
    <xf numFmtId="178" fontId="15" fillId="0" borderId="44" xfId="0" applyNumberFormat="1" applyFont="1" applyBorder="1" applyAlignment="1">
      <alignment horizontal="center" vertical="center"/>
    </xf>
    <xf numFmtId="178" fontId="15" fillId="0" borderId="5" xfId="0" applyNumberFormat="1" applyFont="1" applyBorder="1" applyAlignment="1">
      <alignment horizontal="center" vertical="center"/>
    </xf>
    <xf numFmtId="178" fontId="15" fillId="0" borderId="43" xfId="0" applyNumberFormat="1" applyFont="1" applyBorder="1" applyAlignment="1">
      <alignment horizontal="center" vertical="center"/>
    </xf>
    <xf numFmtId="9" fontId="15" fillId="0" borderId="45" xfId="0" applyNumberFormat="1" applyFont="1" applyBorder="1" applyAlignment="1">
      <alignment horizontal="center" vertical="center"/>
    </xf>
    <xf numFmtId="179" fontId="15" fillId="9" borderId="46" xfId="2" applyNumberFormat="1" applyFont="1" applyFill="1" applyBorder="1" applyProtection="1">
      <alignment vertical="center"/>
    </xf>
    <xf numFmtId="179" fontId="15" fillId="0" borderId="47" xfId="2" applyNumberFormat="1" applyFont="1" applyBorder="1" applyProtection="1">
      <alignment vertical="center"/>
    </xf>
    <xf numFmtId="179" fontId="15" fillId="0" borderId="5" xfId="2" applyNumberFormat="1" applyFont="1" applyBorder="1" applyProtection="1">
      <alignment vertical="center"/>
    </xf>
    <xf numFmtId="180" fontId="10" fillId="0" borderId="46" xfId="3" applyNumberFormat="1" applyFont="1" applyBorder="1">
      <alignment vertical="center"/>
    </xf>
    <xf numFmtId="176" fontId="15" fillId="0" borderId="5" xfId="2" applyFont="1" applyBorder="1" applyAlignment="1" applyProtection="1">
      <alignment vertical="center" wrapText="1" shrinkToFit="1"/>
    </xf>
    <xf numFmtId="180" fontId="10" fillId="0" borderId="45" xfId="3" applyNumberFormat="1" applyFont="1" applyBorder="1">
      <alignment vertical="center"/>
    </xf>
    <xf numFmtId="180" fontId="15" fillId="0" borderId="46" xfId="3" applyNumberFormat="1" applyFont="1" applyBorder="1">
      <alignment vertical="center"/>
    </xf>
    <xf numFmtId="179" fontId="10" fillId="0" borderId="46" xfId="2" applyNumberFormat="1" applyFont="1" applyBorder="1" applyProtection="1">
      <alignment vertical="center"/>
    </xf>
    <xf numFmtId="181" fontId="15" fillId="0" borderId="3" xfId="3" applyNumberFormat="1" applyFont="1" applyBorder="1">
      <alignment vertical="center"/>
    </xf>
    <xf numFmtId="180" fontId="15" fillId="0" borderId="7" xfId="3" applyNumberFormat="1" applyFont="1" applyBorder="1">
      <alignment vertical="center"/>
    </xf>
    <xf numFmtId="180" fontId="15" fillId="0" borderId="5" xfId="0" applyNumberFormat="1" applyFont="1" applyBorder="1">
      <alignment vertical="center"/>
    </xf>
    <xf numFmtId="177" fontId="15" fillId="0" borderId="49" xfId="3" applyFont="1" applyBorder="1">
      <alignment vertical="center"/>
    </xf>
    <xf numFmtId="180" fontId="15" fillId="0" borderId="49" xfId="3" applyNumberFormat="1" applyFont="1" applyBorder="1">
      <alignment vertical="center"/>
    </xf>
    <xf numFmtId="180" fontId="15" fillId="0" borderId="49" xfId="0" applyNumberFormat="1" applyFont="1" applyBorder="1">
      <alignment vertical="center"/>
    </xf>
    <xf numFmtId="182" fontId="15" fillId="0" borderId="5" xfId="1" applyNumberFormat="1" applyFont="1" applyBorder="1">
      <alignment vertical="center"/>
    </xf>
    <xf numFmtId="183" fontId="4" fillId="0" borderId="2" xfId="0" applyNumberFormat="1" applyFont="1" applyBorder="1">
      <alignment vertical="center"/>
    </xf>
    <xf numFmtId="182" fontId="15" fillId="0" borderId="2" xfId="1" applyNumberFormat="1" applyFont="1" applyBorder="1">
      <alignment vertical="center"/>
    </xf>
    <xf numFmtId="177" fontId="15" fillId="0" borderId="10" xfId="3" applyFont="1" applyBorder="1">
      <alignment vertical="center"/>
    </xf>
    <xf numFmtId="0" fontId="15" fillId="0" borderId="10" xfId="0" applyFont="1" applyBorder="1">
      <alignment vertical="center"/>
    </xf>
    <xf numFmtId="41" fontId="15" fillId="0" borderId="5" xfId="4" applyFont="1" applyBorder="1" applyAlignment="1">
      <alignment vertical="center" wrapText="1" shrinkToFit="1"/>
    </xf>
    <xf numFmtId="41" fontId="15" fillId="0" borderId="2" xfId="4" applyFont="1" applyBorder="1" applyAlignment="1">
      <alignment vertical="center" wrapText="1" shrinkToFit="1"/>
    </xf>
    <xf numFmtId="41" fontId="15" fillId="0" borderId="10" xfId="4" applyFont="1" applyBorder="1" applyAlignment="1">
      <alignment vertical="center" wrapText="1" shrinkToFit="1"/>
    </xf>
    <xf numFmtId="0" fontId="15" fillId="0" borderId="0" xfId="0" applyFont="1">
      <alignment vertical="center"/>
    </xf>
    <xf numFmtId="179" fontId="15" fillId="0" borderId="2" xfId="2" applyNumberFormat="1" applyFont="1" applyBorder="1" applyProtection="1">
      <alignment vertical="center"/>
    </xf>
    <xf numFmtId="176" fontId="15" fillId="0" borderId="2" xfId="2" applyFont="1" applyBorder="1" applyAlignment="1" applyProtection="1">
      <alignment vertical="center" wrapText="1" shrinkToFit="1"/>
    </xf>
    <xf numFmtId="9" fontId="15" fillId="0" borderId="50" xfId="0" applyNumberFormat="1" applyFont="1" applyBorder="1" applyAlignment="1">
      <alignment horizontal="center" vertical="center"/>
    </xf>
    <xf numFmtId="180" fontId="10" fillId="0" borderId="51" xfId="3" applyNumberFormat="1" applyFont="1" applyBorder="1">
      <alignment vertical="center"/>
    </xf>
    <xf numFmtId="180" fontId="15" fillId="0" borderId="52" xfId="3" applyNumberFormat="1" applyFont="1" applyBorder="1">
      <alignment vertical="center"/>
    </xf>
    <xf numFmtId="180" fontId="10" fillId="0" borderId="50" xfId="3" applyNumberFormat="1" applyFont="1" applyBorder="1">
      <alignment vertical="center"/>
    </xf>
    <xf numFmtId="180" fontId="15" fillId="0" borderId="51" xfId="3" applyNumberFormat="1" applyFont="1" applyBorder="1">
      <alignment vertical="center"/>
    </xf>
    <xf numFmtId="182" fontId="15" fillId="0" borderId="49" xfId="1" applyNumberFormat="1" applyFont="1" applyBorder="1">
      <alignment vertical="center"/>
    </xf>
    <xf numFmtId="183" fontId="4" fillId="0" borderId="6" xfId="0" applyNumberFormat="1" applyFont="1" applyBorder="1">
      <alignment vertical="center"/>
    </xf>
    <xf numFmtId="41" fontId="15" fillId="0" borderId="49" xfId="4" applyFont="1" applyBorder="1" applyAlignment="1">
      <alignment vertical="center" wrapText="1" shrinkToFit="1"/>
    </xf>
    <xf numFmtId="41" fontId="15" fillId="0" borderId="36" xfId="4" applyFont="1" applyBorder="1" applyAlignment="1">
      <alignment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41" fontId="17" fillId="0" borderId="5" xfId="4" applyFont="1" applyBorder="1" applyAlignment="1">
      <alignment horizontal="left" vertical="center" wrapText="1" shrinkToFit="1"/>
    </xf>
    <xf numFmtId="180" fontId="18" fillId="0" borderId="5" xfId="3" applyNumberFormat="1" applyFont="1" applyBorder="1">
      <alignment vertical="center"/>
    </xf>
    <xf numFmtId="2" fontId="18" fillId="0" borderId="46" xfId="0" applyNumberFormat="1" applyFont="1" applyBorder="1" applyAlignment="1">
      <alignment horizontal="center" vertical="center"/>
    </xf>
    <xf numFmtId="180" fontId="15" fillId="6" borderId="46" xfId="3" applyNumberFormat="1" applyFont="1" applyFill="1" applyBorder="1">
      <alignment vertical="center"/>
    </xf>
    <xf numFmtId="180" fontId="15" fillId="0" borderId="47" xfId="3" applyNumberFormat="1" applyFont="1" applyBorder="1">
      <alignment vertical="center"/>
    </xf>
    <xf numFmtId="180" fontId="15" fillId="0" borderId="5" xfId="3" applyNumberFormat="1" applyFont="1" applyBorder="1">
      <alignment vertical="center"/>
    </xf>
    <xf numFmtId="180" fontId="15" fillId="0" borderId="44" xfId="3" applyNumberFormat="1" applyFont="1" applyBorder="1">
      <alignment vertical="center"/>
    </xf>
    <xf numFmtId="180" fontId="15" fillId="0" borderId="43" xfId="3" applyNumberFormat="1" applyFont="1" applyBorder="1">
      <alignment vertical="center"/>
    </xf>
    <xf numFmtId="41" fontId="17" fillId="0" borderId="53" xfId="4" applyFont="1" applyBorder="1" applyAlignment="1">
      <alignment vertical="center" wrapText="1" shrinkToFit="1"/>
    </xf>
    <xf numFmtId="177" fontId="15" fillId="0" borderId="2" xfId="3" applyFont="1" applyBorder="1" applyAlignment="1">
      <alignment vertical="center" wrapText="1" shrinkToFit="1"/>
    </xf>
    <xf numFmtId="177" fontId="19" fillId="0" borderId="49" xfId="3" applyFont="1" applyBorder="1" applyAlignment="1">
      <alignment vertical="center" wrapText="1" shrinkToFit="1"/>
    </xf>
    <xf numFmtId="177" fontId="15" fillId="0" borderId="43" xfId="3" applyFont="1" applyBorder="1" applyAlignment="1">
      <alignment vertical="center" wrapText="1" shrinkToFit="1"/>
    </xf>
    <xf numFmtId="180" fontId="15" fillId="0" borderId="3" xfId="3" applyNumberFormat="1" applyFont="1" applyBorder="1">
      <alignment vertical="center"/>
    </xf>
    <xf numFmtId="177" fontId="15" fillId="0" borderId="5" xfId="3" applyFont="1" applyBorder="1">
      <alignment vertical="center"/>
    </xf>
    <xf numFmtId="9" fontId="15" fillId="0" borderId="46" xfId="0" applyNumberFormat="1" applyFont="1" applyBorder="1" applyAlignment="1">
      <alignment horizontal="center" vertical="center"/>
    </xf>
    <xf numFmtId="0" fontId="15" fillId="5" borderId="43" xfId="0" applyFont="1" applyFill="1" applyBorder="1" applyAlignment="1">
      <alignment horizontal="left" vertical="center" wrapText="1" shrinkToFit="1"/>
    </xf>
    <xf numFmtId="10" fontId="15" fillId="0" borderId="43" xfId="0" applyNumberFormat="1" applyFont="1" applyBorder="1" applyAlignment="1">
      <alignment horizontal="center" vertical="center"/>
    </xf>
    <xf numFmtId="0" fontId="15" fillId="0" borderId="43" xfId="0" applyFont="1" applyBorder="1" applyAlignment="1">
      <alignment horizontal="left" vertical="center" wrapText="1" shrinkToFit="1"/>
    </xf>
    <xf numFmtId="176" fontId="15" fillId="0" borderId="3" xfId="2" applyFont="1" applyBorder="1" applyAlignment="1" applyProtection="1">
      <alignment vertical="center" wrapText="1" shrinkToFit="1"/>
    </xf>
    <xf numFmtId="180" fontId="15" fillId="0" borderId="48" xfId="4" applyNumberFormat="1" applyFont="1" applyFill="1" applyBorder="1">
      <alignment vertical="center"/>
    </xf>
    <xf numFmtId="180" fontId="15" fillId="0" borderId="5" xfId="4" applyNumberFormat="1" applyFont="1" applyFill="1" applyBorder="1">
      <alignment vertical="center"/>
    </xf>
    <xf numFmtId="180" fontId="10" fillId="5" borderId="46" xfId="3" applyNumberFormat="1" applyFont="1" applyFill="1" applyBorder="1">
      <alignment vertical="center"/>
    </xf>
    <xf numFmtId="41" fontId="15" fillId="0" borderId="3" xfId="4" applyFont="1" applyBorder="1" applyAlignment="1">
      <alignment vertical="center" wrapText="1" shrinkToFit="1"/>
    </xf>
    <xf numFmtId="41" fontId="15" fillId="0" borderId="44" xfId="4" applyFont="1" applyBorder="1" applyAlignment="1">
      <alignment vertical="center" wrapText="1" shrinkToFit="1"/>
    </xf>
    <xf numFmtId="177" fontId="15" fillId="0" borderId="6" xfId="3" applyFont="1" applyBorder="1" applyAlignment="1">
      <alignment vertical="center" wrapText="1" shrinkToFit="1"/>
    </xf>
    <xf numFmtId="0" fontId="17" fillId="0" borderId="6" xfId="0" applyFont="1" applyBorder="1" applyAlignment="1">
      <alignment horizontal="left" vertical="center" wrapText="1" shrinkToFit="1"/>
    </xf>
    <xf numFmtId="0" fontId="15" fillId="5" borderId="5" xfId="0" applyFont="1" applyFill="1" applyBorder="1" applyAlignment="1">
      <alignment horizontal="left" vertical="center" wrapText="1" shrinkToFit="1"/>
    </xf>
    <xf numFmtId="0" fontId="15" fillId="5" borderId="2" xfId="0" applyFont="1" applyFill="1" applyBorder="1" applyAlignment="1">
      <alignment horizontal="left" vertical="center" wrapText="1" shrinkToFit="1"/>
    </xf>
    <xf numFmtId="0" fontId="15" fillId="5" borderId="55" xfId="0" applyFont="1" applyFill="1" applyBorder="1" applyAlignment="1">
      <alignment horizontal="left" vertical="center" wrapText="1" shrinkToFit="1"/>
    </xf>
    <xf numFmtId="178" fontId="15" fillId="0" borderId="2" xfId="0" applyNumberFormat="1" applyFont="1" applyBorder="1" applyAlignment="1">
      <alignment horizontal="center" vertical="center"/>
    </xf>
    <xf numFmtId="177" fontId="15" fillId="0" borderId="49" xfId="3" applyFont="1" applyBorder="1" applyAlignment="1">
      <alignment vertical="center" wrapText="1" shrinkToFit="1"/>
    </xf>
    <xf numFmtId="10" fontId="15" fillId="0" borderId="45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4" fillId="5" borderId="10" xfId="0" applyFont="1" applyFill="1" applyBorder="1" applyAlignment="1">
      <alignment horizontal="left" vertical="center" wrapText="1" shrinkToFit="1"/>
    </xf>
    <xf numFmtId="178" fontId="15" fillId="0" borderId="56" xfId="0" applyNumberFormat="1" applyFont="1" applyBorder="1" applyAlignment="1">
      <alignment horizontal="center" vertical="center"/>
    </xf>
    <xf numFmtId="178" fontId="20" fillId="10" borderId="5" xfId="0" applyNumberFormat="1" applyFont="1" applyFill="1" applyBorder="1" applyAlignment="1">
      <alignment horizontal="center" vertical="center"/>
    </xf>
    <xf numFmtId="179" fontId="20" fillId="10" borderId="5" xfId="2" applyNumberFormat="1" applyFont="1" applyFill="1" applyBorder="1" applyProtection="1">
      <alignment vertical="center"/>
    </xf>
    <xf numFmtId="176" fontId="20" fillId="10" borderId="5" xfId="2" applyFont="1" applyFill="1" applyBorder="1" applyAlignment="1" applyProtection="1">
      <alignment vertical="center" wrapText="1" shrinkToFit="1"/>
    </xf>
    <xf numFmtId="176" fontId="20" fillId="10" borderId="2" xfId="2" applyFont="1" applyFill="1" applyBorder="1" applyAlignment="1" applyProtection="1">
      <alignment vertical="center" wrapText="1" shrinkToFit="1"/>
    </xf>
    <xf numFmtId="0" fontId="20" fillId="10" borderId="10" xfId="0" applyFont="1" applyFill="1" applyBorder="1">
      <alignment vertical="center"/>
    </xf>
    <xf numFmtId="10" fontId="20" fillId="10" borderId="5" xfId="0" applyNumberFormat="1" applyFont="1" applyFill="1" applyBorder="1" applyAlignment="1">
      <alignment horizontal="center" vertical="center"/>
    </xf>
    <xf numFmtId="180" fontId="18" fillId="10" borderId="5" xfId="3" applyNumberFormat="1" applyFont="1" applyFill="1" applyBorder="1">
      <alignment vertical="center"/>
    </xf>
    <xf numFmtId="41" fontId="20" fillId="10" borderId="5" xfId="4" applyFont="1" applyFill="1" applyBorder="1" applyAlignment="1">
      <alignment vertical="center" wrapText="1" shrinkToFit="1"/>
    </xf>
    <xf numFmtId="0" fontId="15" fillId="2" borderId="10" xfId="0" applyFont="1" applyFill="1" applyBorder="1" applyAlignment="1">
      <alignment horizontal="center" vertical="center" wrapText="1"/>
    </xf>
    <xf numFmtId="10" fontId="13" fillId="5" borderId="38" xfId="1" applyNumberFormat="1" applyFont="1" applyFill="1" applyBorder="1" applyAlignment="1">
      <alignment vertical="center" wrapText="1"/>
    </xf>
    <xf numFmtId="0" fontId="15" fillId="5" borderId="5" xfId="0" applyFont="1" applyFill="1" applyBorder="1" applyAlignment="1">
      <alignment vertical="center" wrapText="1" shrinkToFit="1"/>
    </xf>
    <xf numFmtId="0" fontId="15" fillId="5" borderId="5" xfId="0" applyFont="1" applyFill="1" applyBorder="1" applyAlignment="1">
      <alignment vertical="center" wrapText="1"/>
    </xf>
    <xf numFmtId="0" fontId="15" fillId="5" borderId="5" xfId="0" applyFont="1" applyFill="1" applyBorder="1" applyAlignment="1">
      <alignment horizontal="left" vertical="center" wrapText="1"/>
    </xf>
    <xf numFmtId="0" fontId="15" fillId="5" borderId="23" xfId="0" applyFont="1" applyFill="1" applyBorder="1" applyAlignment="1">
      <alignment horizontal="left" vertical="center" wrapText="1" shrinkToFit="1"/>
    </xf>
    <xf numFmtId="0" fontId="15" fillId="5" borderId="17" xfId="0" applyFont="1" applyFill="1" applyBorder="1" applyAlignment="1">
      <alignment horizontal="left" vertical="center" wrapText="1" shrinkToFit="1"/>
    </xf>
    <xf numFmtId="0" fontId="4" fillId="5" borderId="20" xfId="0" applyFont="1" applyFill="1" applyBorder="1" applyAlignment="1">
      <alignment vertical="center" wrapText="1" shrinkToFit="1"/>
    </xf>
    <xf numFmtId="178" fontId="15" fillId="0" borderId="22" xfId="0" applyNumberFormat="1" applyFont="1" applyBorder="1" applyAlignment="1">
      <alignment horizontal="center" vertical="center"/>
    </xf>
    <xf numFmtId="178" fontId="15" fillId="0" borderId="26" xfId="0" applyNumberFormat="1" applyFont="1" applyBorder="1" applyAlignment="1">
      <alignment horizontal="center" vertical="center"/>
    </xf>
    <xf numFmtId="10" fontId="15" fillId="0" borderId="17" xfId="0" applyNumberFormat="1" applyFont="1" applyBorder="1" applyAlignment="1">
      <alignment horizontal="center" vertical="center"/>
    </xf>
    <xf numFmtId="9" fontId="15" fillId="0" borderId="57" xfId="0" applyNumberFormat="1" applyFont="1" applyBorder="1" applyAlignment="1">
      <alignment horizontal="center" vertical="center"/>
    </xf>
    <xf numFmtId="179" fontId="15" fillId="9" borderId="20" xfId="2" applyNumberFormat="1" applyFont="1" applyFill="1" applyBorder="1" applyProtection="1">
      <alignment vertical="center"/>
    </xf>
    <xf numFmtId="179" fontId="15" fillId="0" borderId="58" xfId="2" applyNumberFormat="1" applyFont="1" applyBorder="1" applyProtection="1">
      <alignment vertical="center"/>
    </xf>
    <xf numFmtId="179" fontId="15" fillId="0" borderId="56" xfId="2" applyNumberFormat="1" applyFont="1" applyBorder="1" applyProtection="1">
      <alignment vertical="center"/>
    </xf>
    <xf numFmtId="0" fontId="15" fillId="0" borderId="56" xfId="0" applyFont="1" applyBorder="1" applyAlignment="1">
      <alignment vertical="center" wrapText="1"/>
    </xf>
    <xf numFmtId="179" fontId="15" fillId="0" borderId="23" xfId="2" applyNumberFormat="1" applyFont="1" applyBorder="1" applyProtection="1">
      <alignment vertical="center"/>
    </xf>
    <xf numFmtId="180" fontId="15" fillId="0" borderId="17" xfId="3" applyNumberFormat="1" applyFont="1" applyBorder="1">
      <alignment vertical="center"/>
    </xf>
    <xf numFmtId="180" fontId="10" fillId="0" borderId="20" xfId="3" applyNumberFormat="1" applyFont="1" applyBorder="1">
      <alignment vertical="center"/>
    </xf>
    <xf numFmtId="180" fontId="15" fillId="0" borderId="20" xfId="3" applyNumberFormat="1" applyFont="1" applyBorder="1">
      <alignment vertical="center"/>
    </xf>
    <xf numFmtId="41" fontId="15" fillId="0" borderId="58" xfId="4" applyFont="1" applyFill="1" applyBorder="1" applyAlignment="1">
      <alignment vertical="center" wrapText="1" shrinkToFit="1"/>
    </xf>
    <xf numFmtId="41" fontId="15" fillId="0" borderId="56" xfId="4" applyFont="1" applyFill="1" applyBorder="1" applyAlignment="1">
      <alignment vertical="center" wrapText="1" shrinkToFit="1"/>
    </xf>
    <xf numFmtId="176" fontId="15" fillId="0" borderId="26" xfId="2" applyFont="1" applyBorder="1" applyAlignment="1" applyProtection="1">
      <alignment vertical="center" wrapText="1" shrinkToFit="1"/>
    </xf>
    <xf numFmtId="177" fontId="15" fillId="0" borderId="17" xfId="3" applyFont="1" applyBorder="1" applyAlignment="1">
      <alignment vertical="center" wrapText="1" shrinkToFit="1"/>
    </xf>
    <xf numFmtId="180" fontId="10" fillId="0" borderId="57" xfId="3" applyNumberFormat="1" applyFont="1" applyBorder="1">
      <alignment vertical="center"/>
    </xf>
    <xf numFmtId="184" fontId="15" fillId="0" borderId="3" xfId="3" applyNumberFormat="1" applyFont="1" applyBorder="1">
      <alignment vertical="center"/>
    </xf>
    <xf numFmtId="0" fontId="17" fillId="5" borderId="5" xfId="0" applyFont="1" applyFill="1" applyBorder="1" applyAlignment="1">
      <alignment horizontal="left" vertical="center" wrapText="1" shrinkToFit="1"/>
    </xf>
    <xf numFmtId="0" fontId="20" fillId="5" borderId="2" xfId="0" applyFont="1" applyFill="1" applyBorder="1" applyAlignment="1">
      <alignment horizontal="left" vertical="center" wrapText="1" shrinkToFit="1"/>
    </xf>
    <xf numFmtId="0" fontId="4" fillId="5" borderId="10" xfId="0" applyFont="1" applyFill="1" applyBorder="1" applyAlignment="1">
      <alignment vertical="center" wrapText="1" shrinkToFit="1"/>
    </xf>
    <xf numFmtId="178" fontId="20" fillId="10" borderId="44" xfId="0" applyNumberFormat="1" applyFont="1" applyFill="1" applyBorder="1" applyAlignment="1">
      <alignment horizontal="center" vertical="center"/>
    </xf>
    <xf numFmtId="179" fontId="20" fillId="10" borderId="2" xfId="2" applyNumberFormat="1" applyFont="1" applyFill="1" applyBorder="1" applyProtection="1">
      <alignment vertical="center"/>
    </xf>
    <xf numFmtId="41" fontId="15" fillId="0" borderId="2" xfId="4" applyFont="1" applyFill="1" applyBorder="1" applyAlignment="1">
      <alignment vertical="center" wrapText="1" shrinkToFit="1"/>
    </xf>
    <xf numFmtId="41" fontId="20" fillId="10" borderId="2" xfId="4" applyFont="1" applyFill="1" applyBorder="1" applyAlignment="1">
      <alignment horizontal="left" vertical="center" wrapText="1" shrinkToFit="1"/>
    </xf>
    <xf numFmtId="181" fontId="15" fillId="0" borderId="7" xfId="3" applyNumberFormat="1" applyFont="1" applyBorder="1">
      <alignment vertical="center"/>
    </xf>
    <xf numFmtId="182" fontId="20" fillId="10" borderId="2" xfId="1" applyNumberFormat="1" applyFont="1" applyFill="1" applyBorder="1">
      <alignment vertical="center"/>
    </xf>
    <xf numFmtId="177" fontId="20" fillId="10" borderId="10" xfId="3" applyFont="1" applyFill="1" applyBorder="1">
      <alignment vertical="center"/>
    </xf>
    <xf numFmtId="0" fontId="20" fillId="5" borderId="5" xfId="0" applyFont="1" applyFill="1" applyBorder="1" applyAlignment="1">
      <alignment vertical="center" wrapText="1" shrinkToFit="1"/>
    </xf>
    <xf numFmtId="0" fontId="20" fillId="5" borderId="6" xfId="0" applyFont="1" applyFill="1" applyBorder="1" applyAlignment="1">
      <alignment horizontal="left" vertical="center" wrapText="1" shrinkToFit="1"/>
    </xf>
    <xf numFmtId="0" fontId="4" fillId="5" borderId="59" xfId="0" applyFont="1" applyFill="1" applyBorder="1" applyAlignment="1">
      <alignment vertical="center" wrapText="1" shrinkToFit="1"/>
    </xf>
    <xf numFmtId="10" fontId="15" fillId="0" borderId="7" xfId="0" applyNumberFormat="1" applyFont="1" applyBorder="1" applyAlignment="1">
      <alignment horizontal="center" vertical="center"/>
    </xf>
    <xf numFmtId="178" fontId="20" fillId="10" borderId="49" xfId="0" applyNumberFormat="1" applyFont="1" applyFill="1" applyBorder="1" applyAlignment="1">
      <alignment horizontal="center" vertical="center"/>
    </xf>
    <xf numFmtId="178" fontId="15" fillId="0" borderId="49" xfId="0" applyNumberFormat="1" applyFont="1" applyBorder="1" applyAlignment="1">
      <alignment horizontal="center" vertical="center"/>
    </xf>
    <xf numFmtId="178" fontId="20" fillId="10" borderId="54" xfId="0" applyNumberFormat="1" applyFont="1" applyFill="1" applyBorder="1" applyAlignment="1">
      <alignment horizontal="center" vertical="center"/>
    </xf>
    <xf numFmtId="10" fontId="15" fillId="0" borderId="55" xfId="0" applyNumberFormat="1" applyFont="1" applyBorder="1" applyAlignment="1">
      <alignment horizontal="center" vertical="center"/>
    </xf>
    <xf numFmtId="179" fontId="15" fillId="9" borderId="51" xfId="2" applyNumberFormat="1" applyFont="1" applyFill="1" applyBorder="1" applyProtection="1">
      <alignment vertical="center"/>
    </xf>
    <xf numFmtId="179" fontId="15" fillId="0" borderId="53" xfId="2" applyNumberFormat="1" applyFont="1" applyBorder="1" applyProtection="1">
      <alignment vertical="center"/>
    </xf>
    <xf numFmtId="179" fontId="20" fillId="10" borderId="49" xfId="2" applyNumberFormat="1" applyFont="1" applyFill="1" applyBorder="1" applyProtection="1">
      <alignment vertical="center"/>
    </xf>
    <xf numFmtId="179" fontId="15" fillId="0" borderId="49" xfId="2" applyNumberFormat="1" applyFont="1" applyBorder="1" applyProtection="1">
      <alignment vertical="center"/>
    </xf>
    <xf numFmtId="179" fontId="20" fillId="10" borderId="6" xfId="2" applyNumberFormat="1" applyFont="1" applyFill="1" applyBorder="1" applyProtection="1">
      <alignment vertical="center"/>
    </xf>
    <xf numFmtId="180" fontId="15" fillId="0" borderId="55" xfId="3" applyNumberFormat="1" applyFont="1" applyBorder="1">
      <alignment vertical="center"/>
    </xf>
    <xf numFmtId="41" fontId="15" fillId="0" borderId="49" xfId="4" applyFont="1" applyFill="1" applyBorder="1" applyAlignment="1">
      <alignment vertical="center" wrapText="1" shrinkToFit="1"/>
    </xf>
    <xf numFmtId="41" fontId="20" fillId="10" borderId="2" xfId="4" applyFont="1" applyFill="1" applyBorder="1" applyAlignment="1">
      <alignment vertical="center" wrapText="1" shrinkToFit="1"/>
    </xf>
    <xf numFmtId="176" fontId="20" fillId="10" borderId="54" xfId="2" applyFont="1" applyFill="1" applyBorder="1" applyAlignment="1" applyProtection="1">
      <alignment vertical="center" wrapText="1" shrinkToFit="1"/>
    </xf>
    <xf numFmtId="41" fontId="15" fillId="0" borderId="55" xfId="4" applyFont="1" applyFill="1" applyBorder="1" applyAlignment="1">
      <alignment vertical="center" wrapText="1" shrinkToFit="1"/>
    </xf>
    <xf numFmtId="182" fontId="20" fillId="10" borderId="5" xfId="1" applyNumberFormat="1" applyFont="1" applyFill="1" applyBorder="1">
      <alignment vertical="center"/>
    </xf>
    <xf numFmtId="182" fontId="15" fillId="0" borderId="4" xfId="1" applyNumberFormat="1" applyFont="1" applyBorder="1">
      <alignment vertical="center"/>
    </xf>
    <xf numFmtId="41" fontId="20" fillId="10" borderId="49" xfId="4" applyFont="1" applyFill="1" applyBorder="1" applyAlignment="1">
      <alignment vertical="center" wrapText="1" shrinkToFit="1"/>
    </xf>
    <xf numFmtId="41" fontId="15" fillId="0" borderId="60" xfId="4" applyFont="1" applyBorder="1" applyAlignment="1">
      <alignment vertical="center" wrapText="1" shrinkToFit="1"/>
    </xf>
    <xf numFmtId="41" fontId="15" fillId="0" borderId="43" xfId="4" applyFont="1" applyBorder="1" applyAlignment="1">
      <alignment vertical="center" wrapText="1" shrinkToFit="1"/>
    </xf>
    <xf numFmtId="10" fontId="20" fillId="10" borderId="3" xfId="0" applyNumberFormat="1" applyFont="1" applyFill="1" applyBorder="1" applyAlignment="1">
      <alignment horizontal="center" vertical="center"/>
    </xf>
    <xf numFmtId="180" fontId="20" fillId="10" borderId="48" xfId="4" applyNumberFormat="1" applyFont="1" applyFill="1" applyBorder="1">
      <alignment vertical="center"/>
    </xf>
    <xf numFmtId="180" fontId="20" fillId="10" borderId="5" xfId="4" applyNumberFormat="1" applyFont="1" applyFill="1" applyBorder="1">
      <alignment vertical="center"/>
    </xf>
    <xf numFmtId="179" fontId="15" fillId="0" borderId="44" xfId="2" applyNumberFormat="1" applyFont="1" applyBorder="1" applyProtection="1">
      <alignment vertical="center"/>
    </xf>
    <xf numFmtId="178" fontId="20" fillId="10" borderId="3" xfId="0" applyNumberFormat="1" applyFont="1" applyFill="1" applyBorder="1" applyAlignment="1">
      <alignment horizontal="center" vertical="center"/>
    </xf>
    <xf numFmtId="41" fontId="17" fillId="0" borderId="2" xfId="4" applyFont="1" applyBorder="1" applyAlignment="1">
      <alignment horizontal="left" vertical="center" wrapText="1" shrinkToFit="1"/>
    </xf>
    <xf numFmtId="183" fontId="22" fillId="10" borderId="2" xfId="0" applyNumberFormat="1" applyFont="1" applyFill="1" applyBorder="1">
      <alignment vertical="center"/>
    </xf>
    <xf numFmtId="0" fontId="17" fillId="5" borderId="2" xfId="0" applyFont="1" applyFill="1" applyBorder="1" applyAlignment="1">
      <alignment horizontal="left" vertical="center" wrapText="1" shrinkToFit="1"/>
    </xf>
    <xf numFmtId="41" fontId="15" fillId="0" borderId="5" xfId="4" applyFont="1" applyFill="1" applyBorder="1" applyAlignment="1">
      <alignment vertical="center" wrapText="1" shrinkToFit="1"/>
    </xf>
    <xf numFmtId="0" fontId="20" fillId="5" borderId="5" xfId="0" applyFont="1" applyFill="1" applyBorder="1" applyAlignment="1">
      <alignment horizontal="left" vertical="center" wrapText="1" shrinkToFit="1"/>
    </xf>
    <xf numFmtId="0" fontId="4" fillId="5" borderId="43" xfId="0" applyFont="1" applyFill="1" applyBorder="1" applyAlignment="1">
      <alignment vertical="center" wrapText="1" shrinkToFit="1"/>
    </xf>
    <xf numFmtId="179" fontId="20" fillId="10" borderId="47" xfId="2" applyNumberFormat="1" applyFont="1" applyFill="1" applyBorder="1" applyProtection="1">
      <alignment vertical="center"/>
    </xf>
    <xf numFmtId="178" fontId="20" fillId="0" borderId="5" xfId="0" applyNumberFormat="1" applyFont="1" applyFill="1" applyBorder="1" applyAlignment="1">
      <alignment horizontal="center" vertical="center"/>
    </xf>
    <xf numFmtId="177" fontId="20" fillId="10" borderId="2" xfId="3" applyFont="1" applyFill="1" applyBorder="1" applyAlignment="1">
      <alignment vertical="center" wrapText="1" shrinkToFit="1"/>
    </xf>
    <xf numFmtId="0" fontId="20" fillId="5" borderId="5" xfId="0" applyFont="1" applyFill="1" applyBorder="1" applyAlignment="1">
      <alignment horizontal="left" vertical="center" wrapText="1"/>
    </xf>
    <xf numFmtId="179" fontId="20" fillId="10" borderId="44" xfId="2" applyNumberFormat="1" applyFont="1" applyFill="1" applyBorder="1" applyProtection="1">
      <alignment vertical="center"/>
    </xf>
    <xf numFmtId="180" fontId="20" fillId="10" borderId="47" xfId="4" applyNumberFormat="1" applyFont="1" applyFill="1" applyBorder="1">
      <alignment vertical="center"/>
    </xf>
    <xf numFmtId="180" fontId="20" fillId="10" borderId="44" xfId="4" applyNumberFormat="1" applyFont="1" applyFill="1" applyBorder="1">
      <alignment vertical="center"/>
    </xf>
    <xf numFmtId="41" fontId="20" fillId="10" borderId="47" xfId="4" applyFont="1" applyFill="1" applyBorder="1" applyAlignment="1">
      <alignment vertical="center" wrapText="1" shrinkToFit="1"/>
    </xf>
    <xf numFmtId="0" fontId="15" fillId="5" borderId="0" xfId="0" applyFont="1" applyFill="1">
      <alignment vertical="center"/>
    </xf>
    <xf numFmtId="3" fontId="20" fillId="10" borderId="2" xfId="0" applyNumberFormat="1" applyFont="1" applyFill="1" applyBorder="1" applyAlignment="1">
      <alignment horizontal="left" vertical="center" wrapText="1" shrinkToFit="1"/>
    </xf>
    <xf numFmtId="180" fontId="20" fillId="10" borderId="47" xfId="3" applyNumberFormat="1" applyFont="1" applyFill="1" applyBorder="1">
      <alignment vertical="center"/>
    </xf>
    <xf numFmtId="180" fontId="20" fillId="10" borderId="5" xfId="3" applyNumberFormat="1" applyFont="1" applyFill="1" applyBorder="1">
      <alignment vertical="center"/>
    </xf>
    <xf numFmtId="180" fontId="15" fillId="0" borderId="2" xfId="3" applyNumberFormat="1" applyFont="1" applyBorder="1">
      <alignment vertical="center"/>
    </xf>
    <xf numFmtId="178" fontId="20" fillId="10" borderId="2" xfId="0" applyNumberFormat="1" applyFont="1" applyFill="1" applyBorder="1" applyAlignment="1">
      <alignment horizontal="center" vertical="center"/>
    </xf>
    <xf numFmtId="176" fontId="20" fillId="10" borderId="3" xfId="2" applyFont="1" applyFill="1" applyBorder="1" applyAlignment="1" applyProtection="1">
      <alignment vertical="center" wrapText="1" shrinkToFit="1"/>
    </xf>
    <xf numFmtId="177" fontId="20" fillId="10" borderId="5" xfId="3" applyFont="1" applyFill="1" applyBorder="1" applyAlignment="1">
      <alignment vertical="center" wrapText="1" shrinkToFit="1"/>
    </xf>
    <xf numFmtId="41" fontId="20" fillId="10" borderId="5" xfId="4" applyFont="1" applyFill="1" applyBorder="1" applyAlignment="1">
      <alignment horizontal="left" vertical="center" wrapText="1" shrinkToFit="1"/>
    </xf>
    <xf numFmtId="3" fontId="17" fillId="0" borderId="2" xfId="0" applyNumberFormat="1" applyFont="1" applyBorder="1" applyAlignment="1">
      <alignment horizontal="left" vertical="center" wrapText="1" shrinkToFit="1"/>
    </xf>
    <xf numFmtId="180" fontId="18" fillId="0" borderId="5" xfId="3" applyNumberFormat="1" applyFont="1" applyFill="1" applyBorder="1">
      <alignment vertical="center"/>
    </xf>
    <xf numFmtId="0" fontId="4" fillId="5" borderId="51" xfId="0" applyFont="1" applyFill="1" applyBorder="1" applyAlignment="1">
      <alignment vertical="center" wrapText="1" shrinkToFit="1"/>
    </xf>
    <xf numFmtId="41" fontId="20" fillId="10" borderId="3" xfId="4" applyFont="1" applyFill="1" applyBorder="1" applyAlignment="1">
      <alignment vertical="center" wrapText="1" shrinkToFit="1"/>
    </xf>
    <xf numFmtId="0" fontId="15" fillId="0" borderId="5" xfId="0" applyFont="1" applyBorder="1" applyAlignment="1">
      <alignment vertical="center" wrapText="1" shrinkToFit="1"/>
    </xf>
    <xf numFmtId="0" fontId="20" fillId="10" borderId="5" xfId="0" applyFont="1" applyFill="1" applyBorder="1" applyAlignment="1">
      <alignment vertical="center" wrapText="1" shrinkToFit="1"/>
    </xf>
    <xf numFmtId="0" fontId="20" fillId="10" borderId="2" xfId="0" applyFont="1" applyFill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41" fontId="15" fillId="0" borderId="48" xfId="4" applyFont="1" applyFill="1" applyBorder="1" applyAlignment="1">
      <alignment vertical="center" wrapText="1" shrinkToFit="1"/>
    </xf>
    <xf numFmtId="0" fontId="20" fillId="10" borderId="5" xfId="0" applyFont="1" applyFill="1" applyBorder="1" applyAlignment="1">
      <alignment horizontal="left" vertical="center" wrapText="1" shrinkToFit="1"/>
    </xf>
    <xf numFmtId="0" fontId="17" fillId="0" borderId="2" xfId="0" applyFont="1" applyBorder="1" applyAlignment="1">
      <alignment horizontal="left" vertical="center" wrapText="1" shrinkToFit="1"/>
    </xf>
    <xf numFmtId="0" fontId="15" fillId="0" borderId="55" xfId="0" applyFont="1" applyBorder="1" applyAlignment="1">
      <alignment horizontal="left" vertical="center" wrapText="1" shrinkToFit="1"/>
    </xf>
    <xf numFmtId="0" fontId="15" fillId="5" borderId="10" xfId="0" applyFont="1" applyFill="1" applyBorder="1" applyAlignment="1">
      <alignment vertical="center" wrapText="1" shrinkToFit="1"/>
    </xf>
    <xf numFmtId="0" fontId="10" fillId="5" borderId="2" xfId="0" applyFont="1" applyFill="1" applyBorder="1" applyAlignment="1">
      <alignment horizontal="center" vertical="center" wrapText="1" shrinkToFit="1"/>
    </xf>
    <xf numFmtId="0" fontId="10" fillId="5" borderId="44" xfId="0" applyFont="1" applyFill="1" applyBorder="1" applyAlignment="1">
      <alignment horizontal="center" vertical="center" wrapText="1" shrinkToFit="1"/>
    </xf>
    <xf numFmtId="0" fontId="10" fillId="5" borderId="45" xfId="0" applyFont="1" applyFill="1" applyBorder="1" applyAlignment="1">
      <alignment horizontal="center" vertical="center" wrapText="1" shrinkToFit="1"/>
    </xf>
    <xf numFmtId="0" fontId="10" fillId="5" borderId="61" xfId="0" applyFont="1" applyFill="1" applyBorder="1" applyAlignment="1">
      <alignment horizontal="center" vertical="center" wrapText="1" shrinkToFit="1"/>
    </xf>
    <xf numFmtId="0" fontId="10" fillId="5" borderId="50" xfId="0" applyFont="1" applyFill="1" applyBorder="1" applyAlignment="1">
      <alignment horizontal="center" vertical="center" wrapText="1" shrinkToFi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42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5" fillId="2" borderId="40" xfId="0" applyFont="1" applyFill="1" applyBorder="1" applyAlignment="1">
      <alignment horizontal="center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39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15" fillId="7" borderId="41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77" fontId="10" fillId="2" borderId="10" xfId="0" applyNumberFormat="1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36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 wrapText="1"/>
    </xf>
    <xf numFmtId="0" fontId="15" fillId="6" borderId="37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177" fontId="9" fillId="2" borderId="10" xfId="3" applyFont="1" applyFill="1" applyBorder="1" applyAlignment="1">
      <alignment horizontal="center" vertical="center"/>
    </xf>
    <xf numFmtId="176" fontId="4" fillId="3" borderId="1" xfId="2" applyFont="1" applyFill="1" applyBorder="1" applyAlignment="1" applyProtection="1">
      <alignment horizontal="center" vertical="center"/>
    </xf>
    <xf numFmtId="177" fontId="4" fillId="2" borderId="1" xfId="3" applyFont="1" applyFill="1" applyBorder="1" applyAlignment="1">
      <alignment horizontal="center" vertical="center"/>
    </xf>
    <xf numFmtId="177" fontId="4" fillId="2" borderId="12" xfId="3" applyFont="1" applyFill="1" applyBorder="1" applyAlignment="1">
      <alignment horizontal="center" vertical="center"/>
    </xf>
    <xf numFmtId="22" fontId="11" fillId="2" borderId="0" xfId="3" applyNumberFormat="1" applyFont="1" applyFill="1" applyBorder="1" applyAlignment="1">
      <alignment horizontal="center" vertical="center" wrapText="1"/>
    </xf>
    <xf numFmtId="22" fontId="11" fillId="2" borderId="0" xfId="3" applyNumberFormat="1" applyFont="1" applyFill="1" applyBorder="1" applyAlignment="1">
      <alignment horizontal="center" vertical="center"/>
    </xf>
    <xf numFmtId="176" fontId="15" fillId="3" borderId="5" xfId="2" applyFont="1" applyFill="1" applyBorder="1" applyAlignment="1" applyProtection="1">
      <alignment horizontal="center" vertical="center"/>
    </xf>
    <xf numFmtId="177" fontId="15" fillId="2" borderId="14" xfId="0" applyNumberFormat="1" applyFont="1" applyFill="1" applyBorder="1" applyAlignment="1">
      <alignment horizontal="center" vertical="center"/>
    </xf>
    <xf numFmtId="177" fontId="15" fillId="2" borderId="15" xfId="0" applyNumberFormat="1" applyFont="1" applyFill="1" applyBorder="1" applyAlignment="1">
      <alignment horizontal="center" vertical="center"/>
    </xf>
    <xf numFmtId="10" fontId="9" fillId="4" borderId="12" xfId="1" applyNumberFormat="1" applyFont="1" applyFill="1" applyBorder="1" applyAlignment="1">
      <alignment horizontal="center" vertical="center"/>
    </xf>
    <xf numFmtId="10" fontId="9" fillId="4" borderId="13" xfId="1" applyNumberFormat="1" applyFont="1" applyFill="1" applyBorder="1" applyAlignment="1">
      <alignment horizontal="center" vertical="center"/>
    </xf>
    <xf numFmtId="10" fontId="21" fillId="5" borderId="38" xfId="1" applyNumberFormat="1" applyFont="1" applyFill="1" applyBorder="1" applyAlignment="1">
      <alignment horizontal="left" vertical="center"/>
    </xf>
    <xf numFmtId="176" fontId="4" fillId="3" borderId="1" xfId="2" applyFont="1" applyFill="1" applyBorder="1" applyAlignment="1" applyProtection="1">
      <alignment horizontal="center" vertical="center" wrapText="1"/>
    </xf>
    <xf numFmtId="177" fontId="4" fillId="2" borderId="2" xfId="3" applyFont="1" applyFill="1" applyBorder="1" applyAlignment="1">
      <alignment horizontal="center" vertical="center" wrapText="1"/>
    </xf>
    <xf numFmtId="177" fontId="4" fillId="2" borderId="3" xfId="3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5">
    <cellStyle name="Excel Built-in Comma [0]" xfId="2"/>
    <cellStyle name="백분율" xfId="1" builtinId="5"/>
    <cellStyle name="쉼표 [0] 2" xfId="4"/>
    <cellStyle name="쉼표 [0] 3" xf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45"/>
  <sheetViews>
    <sheetView tabSelected="1" topLeftCell="F1" zoomScale="85" zoomScaleNormal="85" workbookViewId="0">
      <pane ySplit="2" topLeftCell="A3" activePane="bottomLeft" state="frozen"/>
      <selection pane="bottomLeft" activeCell="Q6" sqref="Q6"/>
    </sheetView>
  </sheetViews>
  <sheetFormatPr defaultColWidth="8.88671875" defaultRowHeight="13.5" x14ac:dyDescent="0.15"/>
  <cols>
    <col min="1" max="1" width="4.21875" style="1" customWidth="1"/>
    <col min="2" max="2" width="4.21875" style="2" customWidth="1"/>
    <col min="3" max="3" width="9" style="120" customWidth="1"/>
    <col min="4" max="7" width="9" style="1" customWidth="1"/>
    <col min="8" max="8" width="8.109375" style="1" customWidth="1"/>
    <col min="9" max="10" width="8.77734375" style="1" customWidth="1"/>
    <col min="11" max="13" width="8.109375" style="1" customWidth="1"/>
    <col min="14" max="14" width="5.88671875" style="1" customWidth="1"/>
    <col min="15" max="15" width="6.77734375" style="1" customWidth="1"/>
    <col min="16" max="21" width="7.88671875" style="1" customWidth="1"/>
    <col min="22" max="22" width="7.6640625" style="121" hidden="1" customWidth="1"/>
    <col min="23" max="27" width="8.33203125" style="1" customWidth="1"/>
    <col min="28" max="28" width="7.6640625" style="1" customWidth="1"/>
    <col min="29" max="29" width="7.6640625" style="121" hidden="1" customWidth="1"/>
    <col min="30" max="31" width="7.6640625" style="121" customWidth="1"/>
    <col min="32" max="33" width="6.109375" style="1" customWidth="1"/>
    <col min="34" max="34" width="7.88671875" style="1" customWidth="1"/>
    <col min="35" max="37" width="4.5546875" style="1" customWidth="1"/>
    <col min="38" max="38" width="7.44140625" style="1" customWidth="1"/>
    <col min="39" max="39" width="7.88671875" style="1" customWidth="1"/>
    <col min="40" max="40" width="8.77734375" style="1" customWidth="1"/>
    <col min="41" max="41" width="7.5546875" style="1" customWidth="1"/>
    <col min="42" max="42" width="8.33203125" style="1" customWidth="1"/>
    <col min="43" max="43" width="9.33203125" style="1" customWidth="1"/>
    <col min="44" max="44" width="15.77734375" style="1" customWidth="1"/>
    <col min="45" max="45" width="8.33203125" style="1" customWidth="1"/>
    <col min="46" max="50" width="8.88671875" style="1"/>
    <col min="51" max="52" width="15.109375" style="1" customWidth="1"/>
    <col min="53" max="16384" width="8.88671875" style="1"/>
  </cols>
  <sheetData>
    <row r="1" spans="1:52" ht="32.25" customHeight="1" thickBot="1" x14ac:dyDescent="0.2">
      <c r="C1" s="3" t="s">
        <v>3</v>
      </c>
      <c r="D1" s="275"/>
      <c r="E1" s="275"/>
      <c r="F1" s="4"/>
      <c r="G1" s="5"/>
      <c r="H1" s="6" t="s">
        <v>4</v>
      </c>
      <c r="I1" s="276"/>
      <c r="J1" s="277"/>
      <c r="K1" s="7" t="s">
        <v>5</v>
      </c>
      <c r="L1" s="8"/>
      <c r="M1" s="8"/>
      <c r="N1" s="9"/>
      <c r="O1" s="9"/>
      <c r="P1" s="9"/>
      <c r="Q1" s="9"/>
      <c r="R1" s="9"/>
      <c r="S1" s="9"/>
      <c r="T1" s="9"/>
      <c r="U1" s="9"/>
      <c r="V1" s="9"/>
      <c r="W1" s="278" t="s">
        <v>2</v>
      </c>
      <c r="X1" s="278"/>
      <c r="Y1" s="279" t="s">
        <v>6</v>
      </c>
      <c r="Z1" s="280"/>
      <c r="AA1" s="281" t="s">
        <v>0</v>
      </c>
      <c r="AB1" s="282"/>
      <c r="AC1" s="10"/>
      <c r="AD1" s="10"/>
      <c r="AE1" s="283" t="s">
        <v>7</v>
      </c>
      <c r="AF1" s="284"/>
      <c r="AG1" s="263">
        <f>D1</f>
        <v>0</v>
      </c>
      <c r="AH1" s="263"/>
      <c r="AI1" s="263"/>
      <c r="AJ1" s="263"/>
      <c r="AK1" s="11" t="s">
        <v>8</v>
      </c>
      <c r="AL1" s="12"/>
      <c r="AM1" s="12"/>
      <c r="AN1" s="9"/>
      <c r="AQ1" s="24"/>
    </row>
    <row r="2" spans="1:52" s="23" customFormat="1" ht="29.25" customHeight="1" thickBot="1" x14ac:dyDescent="0.2">
      <c r="A2" s="10"/>
      <c r="B2" s="13"/>
      <c r="C2" s="14" t="s">
        <v>9</v>
      </c>
      <c r="D2" s="264"/>
      <c r="E2" s="264"/>
      <c r="F2" s="15"/>
      <c r="G2" s="16"/>
      <c r="H2" s="3" t="s">
        <v>10</v>
      </c>
      <c r="I2" s="265">
        <f>D2*3</f>
        <v>0</v>
      </c>
      <c r="J2" s="266"/>
      <c r="K2" s="17" t="s">
        <v>67</v>
      </c>
      <c r="L2" s="18" t="s">
        <v>11</v>
      </c>
      <c r="M2" s="267" t="s">
        <v>12</v>
      </c>
      <c r="N2" s="268"/>
      <c r="O2" s="268"/>
      <c r="P2" s="268"/>
      <c r="Q2" s="19"/>
      <c r="R2" s="19"/>
      <c r="S2" s="19"/>
      <c r="T2" s="20"/>
      <c r="U2" s="21"/>
      <c r="V2" s="21"/>
      <c r="W2" s="269"/>
      <c r="X2" s="269"/>
      <c r="Y2" s="270">
        <f>I1</f>
        <v>0</v>
      </c>
      <c r="Z2" s="271"/>
      <c r="AA2" s="272" t="e">
        <f>TRUNC(W2/Y2,4)</f>
        <v>#DIV/0!</v>
      </c>
      <c r="AB2" s="273"/>
      <c r="AC2" s="22"/>
      <c r="AD2" s="274"/>
      <c r="AE2" s="274"/>
      <c r="AF2" s="274"/>
      <c r="AG2" s="274"/>
      <c r="AH2" s="274"/>
      <c r="AI2" s="274"/>
      <c r="AJ2" s="274"/>
      <c r="AK2" s="274"/>
      <c r="AL2" s="274"/>
      <c r="AM2" s="133"/>
      <c r="AN2" s="24" t="s">
        <v>13</v>
      </c>
      <c r="AO2" s="25"/>
      <c r="AP2" s="24"/>
      <c r="AQ2" s="24"/>
      <c r="AR2" s="24"/>
      <c r="AS2" s="1"/>
      <c r="AT2" s="26" t="s">
        <v>14</v>
      </c>
      <c r="AU2" s="249">
        <f>AG1</f>
        <v>0</v>
      </c>
      <c r="AV2" s="250"/>
      <c r="AY2" s="27"/>
    </row>
    <row r="3" spans="1:52" s="28" customFormat="1" ht="24.95" customHeight="1" thickBot="1" x14ac:dyDescent="0.2">
      <c r="A3" s="251" t="s">
        <v>15</v>
      </c>
      <c r="B3" s="253" t="s">
        <v>16</v>
      </c>
      <c r="C3" s="255" t="s">
        <v>17</v>
      </c>
      <c r="D3" s="256"/>
      <c r="E3" s="256"/>
      <c r="F3" s="256"/>
      <c r="G3" s="256"/>
      <c r="H3" s="257"/>
      <c r="I3" s="255" t="s">
        <v>18</v>
      </c>
      <c r="J3" s="256"/>
      <c r="K3" s="256"/>
      <c r="L3" s="256"/>
      <c r="M3" s="257"/>
      <c r="N3" s="258" t="s">
        <v>19</v>
      </c>
      <c r="O3" s="260" t="s">
        <v>20</v>
      </c>
      <c r="P3" s="255" t="s">
        <v>21</v>
      </c>
      <c r="Q3" s="256"/>
      <c r="R3" s="262"/>
      <c r="S3" s="262"/>
      <c r="T3" s="256"/>
      <c r="U3" s="257"/>
      <c r="V3" s="132"/>
      <c r="W3" s="255" t="s">
        <v>22</v>
      </c>
      <c r="X3" s="256"/>
      <c r="Y3" s="256"/>
      <c r="Z3" s="256"/>
      <c r="AA3" s="256"/>
      <c r="AB3" s="256"/>
      <c r="AC3" s="256"/>
      <c r="AD3" s="256"/>
      <c r="AE3" s="257"/>
      <c r="AF3" s="255"/>
      <c r="AG3" s="256"/>
      <c r="AH3" s="256"/>
      <c r="AI3" s="256"/>
      <c r="AJ3" s="256"/>
      <c r="AK3" s="256"/>
      <c r="AL3" s="256"/>
      <c r="AM3" s="257"/>
      <c r="AN3" s="242" t="s">
        <v>23</v>
      </c>
      <c r="AO3" s="238" t="s">
        <v>24</v>
      </c>
      <c r="AP3" s="244" t="s">
        <v>25</v>
      </c>
      <c r="AQ3" s="246" t="s">
        <v>26</v>
      </c>
      <c r="AR3" s="248" t="s">
        <v>27</v>
      </c>
      <c r="AS3" s="237" t="s">
        <v>28</v>
      </c>
      <c r="AT3" s="238" t="s">
        <v>29</v>
      </c>
      <c r="AU3" s="237" t="s">
        <v>30</v>
      </c>
      <c r="AV3" s="237" t="s">
        <v>31</v>
      </c>
      <c r="AW3" s="237" t="s">
        <v>32</v>
      </c>
      <c r="AX3" s="240" t="s">
        <v>33</v>
      </c>
      <c r="AY3" s="237" t="s">
        <v>34</v>
      </c>
      <c r="AZ3" s="237" t="s">
        <v>35</v>
      </c>
    </row>
    <row r="4" spans="1:52" s="28" customFormat="1" ht="39.75" customHeight="1" thickBot="1" x14ac:dyDescent="0.2">
      <c r="A4" s="252"/>
      <c r="B4" s="254"/>
      <c r="C4" s="29" t="s">
        <v>36</v>
      </c>
      <c r="D4" s="30" t="s">
        <v>37</v>
      </c>
      <c r="E4" s="31" t="s">
        <v>38</v>
      </c>
      <c r="F4" s="31" t="s">
        <v>40</v>
      </c>
      <c r="G4" s="32" t="s">
        <v>42</v>
      </c>
      <c r="H4" s="132" t="s">
        <v>43</v>
      </c>
      <c r="I4" s="33" t="s">
        <v>44</v>
      </c>
      <c r="J4" s="34" t="s">
        <v>45</v>
      </c>
      <c r="K4" s="30" t="s">
        <v>46</v>
      </c>
      <c r="L4" s="30" t="s">
        <v>39</v>
      </c>
      <c r="M4" s="35" t="s">
        <v>41</v>
      </c>
      <c r="N4" s="259"/>
      <c r="O4" s="261"/>
      <c r="P4" s="33" t="s">
        <v>44</v>
      </c>
      <c r="Q4" s="34" t="s">
        <v>47</v>
      </c>
      <c r="R4" s="30" t="s">
        <v>48</v>
      </c>
      <c r="S4" s="30" t="s">
        <v>40</v>
      </c>
      <c r="T4" s="35" t="s">
        <v>49</v>
      </c>
      <c r="U4" s="36" t="s">
        <v>50</v>
      </c>
      <c r="V4" s="37" t="s">
        <v>51</v>
      </c>
      <c r="W4" s="38" t="s">
        <v>44</v>
      </c>
      <c r="X4" s="34" t="s">
        <v>45</v>
      </c>
      <c r="Y4" s="34" t="s">
        <v>46</v>
      </c>
      <c r="Z4" s="34" t="s">
        <v>40</v>
      </c>
      <c r="AA4" s="35" t="s">
        <v>42</v>
      </c>
      <c r="AB4" s="39" t="s">
        <v>1</v>
      </c>
      <c r="AC4" s="40" t="s">
        <v>52</v>
      </c>
      <c r="AD4" s="41" t="s">
        <v>53</v>
      </c>
      <c r="AE4" s="41" t="s">
        <v>54</v>
      </c>
      <c r="AF4" s="42" t="s">
        <v>55</v>
      </c>
      <c r="AG4" s="42" t="s">
        <v>56</v>
      </c>
      <c r="AH4" s="43" t="s">
        <v>57</v>
      </c>
      <c r="AI4" s="43" t="s">
        <v>58</v>
      </c>
      <c r="AJ4" s="43" t="s">
        <v>59</v>
      </c>
      <c r="AK4" s="44" t="s">
        <v>60</v>
      </c>
      <c r="AL4" s="44"/>
      <c r="AM4" s="44" t="s">
        <v>61</v>
      </c>
      <c r="AN4" s="243"/>
      <c r="AO4" s="239"/>
      <c r="AP4" s="245"/>
      <c r="AQ4" s="247"/>
      <c r="AR4" s="248"/>
      <c r="AS4" s="237"/>
      <c r="AT4" s="239"/>
      <c r="AU4" s="237"/>
      <c r="AV4" s="237"/>
      <c r="AW4" s="237"/>
      <c r="AX4" s="241"/>
      <c r="AY4" s="237"/>
      <c r="AZ4" s="237"/>
    </row>
    <row r="5" spans="1:52" s="75" customFormat="1" ht="39.75" customHeight="1" thickBot="1" x14ac:dyDescent="0.2">
      <c r="A5" s="45"/>
      <c r="B5" s="87"/>
      <c r="C5" s="134"/>
      <c r="D5" s="135"/>
      <c r="E5" s="136"/>
      <c r="F5" s="137"/>
      <c r="G5" s="138"/>
      <c r="H5" s="139"/>
      <c r="I5" s="140"/>
      <c r="J5" s="123"/>
      <c r="K5" s="123"/>
      <c r="L5" s="141"/>
      <c r="M5" s="142"/>
      <c r="N5" s="143">
        <f t="shared" ref="N5:N43" si="0">SUM(I5:M5)</f>
        <v>0</v>
      </c>
      <c r="O5" s="144">
        <v>1</v>
      </c>
      <c r="P5" s="145"/>
      <c r="Q5" s="146"/>
      <c r="R5" s="147"/>
      <c r="S5" s="148"/>
      <c r="T5" s="149"/>
      <c r="U5" s="150">
        <f>ROUND(((P5*I5)+(Q5*J5)+(R5*K5)+(S5*L5)+(T5*M5))*O5,2)</f>
        <v>0</v>
      </c>
      <c r="V5" s="151">
        <f>IF(U5&gt;=15,15,U5)</f>
        <v>0</v>
      </c>
      <c r="W5" s="152"/>
      <c r="X5" s="153"/>
      <c r="Y5" s="153"/>
      <c r="Z5" s="154"/>
      <c r="AA5" s="155"/>
      <c r="AB5" s="156" t="e">
        <f>ROUND((((W5*I5)+(X5*J5)+(Y5*K5)+(Z5*L5)+(AA5*M5))/$I$2),2)*13</f>
        <v>#DIV/0!</v>
      </c>
      <c r="AC5" s="59" t="e">
        <f>IF(AB5&gt;=13,13,AB5)</f>
        <v>#DIV/0!</v>
      </c>
      <c r="AD5" s="60"/>
      <c r="AE5" s="56" t="e">
        <f>IF((AC5+AD5)&gt;=15,15,(AC5+AD5))</f>
        <v>#DIV/0!</v>
      </c>
      <c r="AF5" s="61"/>
      <c r="AG5" s="62"/>
      <c r="AH5" s="63" t="e">
        <f>IF((V5+AE5+AF5)&gt;=30,30,(V5+AE5+AF5))</f>
        <v>#DIV/0!</v>
      </c>
      <c r="AI5" s="64">
        <v>10</v>
      </c>
      <c r="AJ5" s="64">
        <v>10</v>
      </c>
      <c r="AK5" s="64">
        <v>45</v>
      </c>
      <c r="AL5" s="65" t="e">
        <f>V5+AE5+AF5+AI5+AJ5+AK5+AG5</f>
        <v>#DIV/0!</v>
      </c>
      <c r="AM5" s="66" t="e">
        <f>IF(AH5+AI5+AJ5+AK5+AG5&gt;=95,95,AH5+AI5+AJ5+AK5+AG5)</f>
        <v>#DIV/0!</v>
      </c>
      <c r="AN5" s="67" t="e">
        <f>-((50-((176+(45+(50-AH5)))))/200)</f>
        <v>#DIV/0!</v>
      </c>
      <c r="AO5" s="68"/>
      <c r="AP5" s="69">
        <f>100%+AO5</f>
        <v>1</v>
      </c>
      <c r="AQ5" s="69">
        <f>100%+AP5</f>
        <v>2</v>
      </c>
      <c r="AR5" s="70"/>
      <c r="AS5" s="71"/>
      <c r="AT5" s="72"/>
      <c r="AU5" s="72"/>
      <c r="AV5" s="72"/>
      <c r="AW5" s="72"/>
      <c r="AX5" s="73"/>
      <c r="AY5" s="74">
        <f>AT5+AU5+AV5+AW5+AX5</f>
        <v>0</v>
      </c>
      <c r="AZ5" s="74">
        <f>(AT5*I5)+(AU5*J5)+(AV5*K5)+(AW5*L5)+(AX5*M5)</f>
        <v>0</v>
      </c>
    </row>
    <row r="6" spans="1:52" s="75" customFormat="1" ht="21.95" customHeight="1" thickBot="1" x14ac:dyDescent="0.2">
      <c r="A6" s="45"/>
      <c r="B6" s="46"/>
      <c r="C6" s="232" t="s">
        <v>62</v>
      </c>
      <c r="D6" s="233"/>
      <c r="E6" s="233"/>
      <c r="F6" s="233"/>
      <c r="G6" s="234"/>
      <c r="H6" s="122"/>
      <c r="I6" s="89"/>
      <c r="J6" s="130"/>
      <c r="K6" s="89"/>
      <c r="L6" s="89"/>
      <c r="M6" s="89"/>
      <c r="N6" s="90">
        <f>I6*I5+J6*J5+K6*K5+L6*L5+M6*M5</f>
        <v>0</v>
      </c>
      <c r="O6" s="91"/>
      <c r="P6" s="92"/>
      <c r="Q6" s="93"/>
      <c r="R6" s="93"/>
      <c r="S6" s="94"/>
      <c r="T6" s="95"/>
      <c r="U6" s="56"/>
      <c r="V6" s="59"/>
      <c r="W6" s="96"/>
      <c r="X6" s="97"/>
      <c r="Y6" s="98"/>
      <c r="Z6" s="97"/>
      <c r="AA6" s="99"/>
      <c r="AB6" s="58"/>
      <c r="AC6" s="59"/>
      <c r="AD6" s="56"/>
      <c r="AE6" s="56"/>
      <c r="AF6" s="157"/>
      <c r="AG6" s="100"/>
      <c r="AH6" s="63"/>
      <c r="AI6" s="101"/>
      <c r="AJ6" s="93"/>
      <c r="AK6" s="63"/>
      <c r="AL6" s="67"/>
      <c r="AM6" s="68"/>
      <c r="AN6" s="69"/>
      <c r="AO6" s="69"/>
      <c r="AP6" s="70"/>
      <c r="AQ6" s="71"/>
      <c r="AR6" s="72"/>
      <c r="AS6" s="72"/>
      <c r="AT6" s="72"/>
      <c r="AU6" s="72"/>
      <c r="AV6" s="73"/>
      <c r="AW6" s="74"/>
      <c r="AX6" s="74"/>
      <c r="AZ6" s="75">
        <f t="shared" ref="AZ6:AZ69" si="1">(AT6*I6)+(AU6*J6)+(AV6*K6)+(AW6*L6)+(AX6*M6)</f>
        <v>0</v>
      </c>
    </row>
    <row r="7" spans="1:52" s="75" customFormat="1" ht="39.75" customHeight="1" thickBot="1" x14ac:dyDescent="0.2">
      <c r="A7" s="45"/>
      <c r="B7" s="87"/>
      <c r="C7" s="136"/>
      <c r="D7" s="158"/>
      <c r="E7" s="159"/>
      <c r="F7" s="159"/>
      <c r="G7" s="103"/>
      <c r="H7" s="160"/>
      <c r="I7" s="48"/>
      <c r="J7" s="50"/>
      <c r="K7" s="124"/>
      <c r="L7" s="161"/>
      <c r="M7" s="104"/>
      <c r="N7" s="52">
        <f t="shared" si="0"/>
        <v>0</v>
      </c>
      <c r="O7" s="53">
        <v>1</v>
      </c>
      <c r="P7" s="54"/>
      <c r="Q7" s="55"/>
      <c r="R7" s="125"/>
      <c r="S7" s="162"/>
      <c r="T7" s="95"/>
      <c r="U7" s="56">
        <f>ROUND(((P7*I7)+(Q7*J7)+(R7*K7)+(S7*L7)+(T7*M7))*O7,2)</f>
        <v>0</v>
      </c>
      <c r="V7" s="59">
        <f t="shared" ref="V7:V79" si="2">IF(U7&gt;=15,15,U7)</f>
        <v>0</v>
      </c>
      <c r="W7" s="163"/>
      <c r="X7" s="163"/>
      <c r="Y7" s="131"/>
      <c r="Z7" s="164"/>
      <c r="AA7" s="99"/>
      <c r="AB7" s="58" t="e">
        <f t="shared" ref="AB7:AB79" si="3">ROUND((((W7*I7)+(X7*J7)+(Y7*K7)+(Z7*L7)+(AA7*M7))/$I$2),2)*13</f>
        <v>#DIV/0!</v>
      </c>
      <c r="AC7" s="59" t="e">
        <f t="shared" ref="AC7:AC79" si="4">IF(AB7&gt;=13,13,AB7)</f>
        <v>#DIV/0!</v>
      </c>
      <c r="AD7" s="60"/>
      <c r="AE7" s="56" t="e">
        <f t="shared" ref="AE7:AE79" si="5">IF((AC7+AD7)&gt;=15,15,(AC7+AD7))</f>
        <v>#DIV/0!</v>
      </c>
      <c r="AF7" s="165"/>
      <c r="AG7" s="62"/>
      <c r="AH7" s="63" t="e">
        <f t="shared" ref="AH7:AH79" si="6">IF((V7+AE7+AF7)&gt;=30,30,(V7+AE7+AF7))</f>
        <v>#DIV/0!</v>
      </c>
      <c r="AI7" s="64">
        <v>10</v>
      </c>
      <c r="AJ7" s="64">
        <v>10</v>
      </c>
      <c r="AK7" s="64">
        <v>45</v>
      </c>
      <c r="AL7" s="65" t="e">
        <f t="shared" ref="AL7:AL79" si="7">V7+AE7+AF7+AI7+AJ7+AK7+AG7</f>
        <v>#DIV/0!</v>
      </c>
      <c r="AM7" s="66" t="e">
        <f t="shared" ref="AM7:AM79" si="8">IF(AH7+AI7+AJ7+AK7+AG7&gt;=95,95,AH7+AI7+AJ7+AK7+AG7)</f>
        <v>#DIV/0!</v>
      </c>
      <c r="AN7" s="67" t="e">
        <f t="shared" ref="AN7:AN79" si="9">-((50-((176+(45+(50-AH7)))))/200)</f>
        <v>#DIV/0!</v>
      </c>
      <c r="AO7" s="68"/>
      <c r="AP7" s="69">
        <f t="shared" ref="AP7:AQ61" si="10">100%+AO7</f>
        <v>1</v>
      </c>
      <c r="AQ7" s="166"/>
      <c r="AR7" s="167"/>
      <c r="AS7" s="71"/>
      <c r="AT7" s="72"/>
      <c r="AU7" s="72"/>
      <c r="AV7" s="72"/>
      <c r="AW7" s="72"/>
      <c r="AX7" s="73"/>
      <c r="AY7" s="74">
        <f t="shared" ref="AY7:AY79" si="11">AT7+AU7+AV7+AW7+AX7</f>
        <v>0</v>
      </c>
      <c r="AZ7" s="74">
        <f t="shared" si="1"/>
        <v>0</v>
      </c>
    </row>
    <row r="8" spans="1:52" s="75" customFormat="1" ht="21.95" customHeight="1" thickBot="1" x14ac:dyDescent="0.2">
      <c r="A8" s="45"/>
      <c r="B8" s="46"/>
      <c r="C8" s="232" t="s">
        <v>62</v>
      </c>
      <c r="D8" s="233"/>
      <c r="E8" s="233"/>
      <c r="F8" s="233"/>
      <c r="G8" s="234"/>
      <c r="H8" s="122"/>
      <c r="I8" s="89"/>
      <c r="J8" s="130"/>
      <c r="K8" s="89"/>
      <c r="L8" s="89"/>
      <c r="M8" s="89"/>
      <c r="N8" s="90">
        <f>I8*I7+J8*J7+K8*K7+L8*L7+M8*M7</f>
        <v>0</v>
      </c>
      <c r="O8" s="91"/>
      <c r="P8" s="92"/>
      <c r="Q8" s="93"/>
      <c r="R8" s="93"/>
      <c r="S8" s="94"/>
      <c r="T8" s="95"/>
      <c r="U8" s="56"/>
      <c r="V8" s="59"/>
      <c r="W8" s="96"/>
      <c r="X8" s="97"/>
      <c r="Y8" s="98"/>
      <c r="Z8" s="97"/>
      <c r="AA8" s="99"/>
      <c r="AB8" s="58"/>
      <c r="AC8" s="59"/>
      <c r="AD8" s="56"/>
      <c r="AE8" s="56"/>
      <c r="AF8" s="157"/>
      <c r="AG8" s="100"/>
      <c r="AH8" s="63"/>
      <c r="AI8" s="101"/>
      <c r="AJ8" s="93"/>
      <c r="AK8" s="63"/>
      <c r="AL8" s="67"/>
      <c r="AM8" s="68"/>
      <c r="AN8" s="69"/>
      <c r="AO8" s="69"/>
      <c r="AP8" s="70"/>
      <c r="AQ8" s="71"/>
      <c r="AR8" s="72"/>
      <c r="AS8" s="72"/>
      <c r="AT8" s="72"/>
      <c r="AU8" s="72"/>
      <c r="AV8" s="73"/>
      <c r="AW8" s="74"/>
      <c r="AX8" s="74"/>
      <c r="AZ8" s="75">
        <f t="shared" si="1"/>
        <v>0</v>
      </c>
    </row>
    <row r="9" spans="1:52" s="75" customFormat="1" ht="39.75" customHeight="1" thickBot="1" x14ac:dyDescent="0.2">
      <c r="A9" s="45"/>
      <c r="B9" s="87"/>
      <c r="C9" s="136"/>
      <c r="D9" s="168"/>
      <c r="E9" s="135"/>
      <c r="F9" s="169"/>
      <c r="G9" s="170"/>
      <c r="H9" s="170"/>
      <c r="I9" s="171"/>
      <c r="J9" s="172"/>
      <c r="K9" s="173"/>
      <c r="L9" s="174"/>
      <c r="M9" s="175"/>
      <c r="N9" s="78">
        <f t="shared" si="0"/>
        <v>0</v>
      </c>
      <c r="O9" s="176">
        <v>1</v>
      </c>
      <c r="P9" s="177"/>
      <c r="Q9" s="178"/>
      <c r="R9" s="179"/>
      <c r="S9" s="180"/>
      <c r="T9" s="181"/>
      <c r="U9" s="79">
        <f t="shared" ref="U9:U79" si="12">ROUND(((P9*I9)+(Q9*J9)+(R9*K9)+(S9*L9)+(T9*M9))*O9,2)</f>
        <v>0</v>
      </c>
      <c r="V9" s="80">
        <f t="shared" si="2"/>
        <v>0</v>
      </c>
      <c r="W9" s="182"/>
      <c r="X9" s="183"/>
      <c r="Y9" s="182"/>
      <c r="Z9" s="184"/>
      <c r="AA9" s="185"/>
      <c r="AB9" s="81" t="e">
        <f t="shared" si="3"/>
        <v>#DIV/0!</v>
      </c>
      <c r="AC9" s="82" t="e">
        <f t="shared" si="4"/>
        <v>#DIV/0!</v>
      </c>
      <c r="AD9" s="60"/>
      <c r="AE9" s="79" t="e">
        <f t="shared" si="5"/>
        <v>#DIV/0!</v>
      </c>
      <c r="AF9" s="165"/>
      <c r="AG9" s="62"/>
      <c r="AH9" s="66" t="e">
        <f>IF((V9+AE9+AF9)&gt;=30,30,(V9+AE9+AF9))</f>
        <v>#DIV/0!</v>
      </c>
      <c r="AI9" s="64">
        <v>10</v>
      </c>
      <c r="AJ9" s="64">
        <v>10</v>
      </c>
      <c r="AK9" s="64">
        <v>45</v>
      </c>
      <c r="AL9" s="65" t="e">
        <f t="shared" si="7"/>
        <v>#DIV/0!</v>
      </c>
      <c r="AM9" s="66" t="e">
        <f t="shared" si="8"/>
        <v>#DIV/0!</v>
      </c>
      <c r="AN9" s="83" t="e">
        <f t="shared" si="9"/>
        <v>#DIV/0!</v>
      </c>
      <c r="AO9" s="84"/>
      <c r="AP9" s="186">
        <v>2</v>
      </c>
      <c r="AQ9" s="187">
        <f t="shared" si="10"/>
        <v>3</v>
      </c>
      <c r="AR9" s="167"/>
      <c r="AS9" s="71"/>
      <c r="AT9" s="85"/>
      <c r="AU9" s="188"/>
      <c r="AV9" s="85"/>
      <c r="AW9" s="189"/>
      <c r="AX9" s="190"/>
      <c r="AY9" s="86">
        <f t="shared" si="11"/>
        <v>0</v>
      </c>
      <c r="AZ9" s="86">
        <f t="shared" si="1"/>
        <v>0</v>
      </c>
    </row>
    <row r="10" spans="1:52" s="75" customFormat="1" ht="21.95" customHeight="1" thickBot="1" x14ac:dyDescent="0.2">
      <c r="A10" s="45"/>
      <c r="B10" s="46"/>
      <c r="C10" s="232" t="s">
        <v>62</v>
      </c>
      <c r="D10" s="233"/>
      <c r="E10" s="233"/>
      <c r="F10" s="233"/>
      <c r="G10" s="234"/>
      <c r="H10" s="122"/>
      <c r="I10" s="89"/>
      <c r="J10" s="130"/>
      <c r="K10" s="89"/>
      <c r="L10" s="89"/>
      <c r="M10" s="89"/>
      <c r="N10" s="90">
        <f>I10*I9+J10*J9+K10*K9+L10*L9+M10*M9</f>
        <v>0</v>
      </c>
      <c r="O10" s="91"/>
      <c r="P10" s="92"/>
      <c r="Q10" s="93"/>
      <c r="R10" s="93"/>
      <c r="S10" s="94"/>
      <c r="T10" s="95"/>
      <c r="U10" s="56"/>
      <c r="V10" s="59"/>
      <c r="W10" s="96"/>
      <c r="X10" s="97"/>
      <c r="Y10" s="98"/>
      <c r="Z10" s="97"/>
      <c r="AA10" s="99"/>
      <c r="AB10" s="58"/>
      <c r="AC10" s="59"/>
      <c r="AD10" s="56"/>
      <c r="AE10" s="56"/>
      <c r="AF10" s="157"/>
      <c r="AG10" s="100"/>
      <c r="AH10" s="63"/>
      <c r="AI10" s="101"/>
      <c r="AJ10" s="93"/>
      <c r="AK10" s="63"/>
      <c r="AL10" s="67"/>
      <c r="AM10" s="68"/>
      <c r="AN10" s="69"/>
      <c r="AO10" s="69"/>
      <c r="AP10" s="70"/>
      <c r="AQ10" s="71"/>
      <c r="AR10" s="72"/>
      <c r="AS10" s="72"/>
      <c r="AT10" s="72"/>
      <c r="AU10" s="72"/>
      <c r="AV10" s="73"/>
      <c r="AW10" s="74"/>
      <c r="AX10" s="74"/>
      <c r="AZ10" s="75">
        <f t="shared" si="1"/>
        <v>0</v>
      </c>
    </row>
    <row r="11" spans="1:52" s="75" customFormat="1" ht="39.75" customHeight="1" thickBot="1" x14ac:dyDescent="0.2">
      <c r="A11" s="45"/>
      <c r="B11" s="87"/>
      <c r="C11" s="168"/>
      <c r="D11" s="159"/>
      <c r="E11" s="159"/>
      <c r="F11" s="158"/>
      <c r="G11" s="103"/>
      <c r="H11" s="160"/>
      <c r="I11" s="191"/>
      <c r="J11" s="124"/>
      <c r="K11" s="124"/>
      <c r="L11" s="50"/>
      <c r="M11" s="104"/>
      <c r="N11" s="102">
        <f t="shared" si="0"/>
        <v>0</v>
      </c>
      <c r="O11" s="176">
        <v>1</v>
      </c>
      <c r="P11" s="192"/>
      <c r="Q11" s="193"/>
      <c r="R11" s="193"/>
      <c r="S11" s="194"/>
      <c r="T11" s="95"/>
      <c r="U11" s="56">
        <f t="shared" si="12"/>
        <v>0</v>
      </c>
      <c r="V11" s="59">
        <f t="shared" si="2"/>
        <v>0</v>
      </c>
      <c r="W11" s="131"/>
      <c r="X11" s="131"/>
      <c r="Y11" s="131"/>
      <c r="Z11" s="57"/>
      <c r="AA11" s="99"/>
      <c r="AB11" s="58" t="e">
        <f t="shared" si="3"/>
        <v>#DIV/0!</v>
      </c>
      <c r="AC11" s="59" t="e">
        <f t="shared" si="4"/>
        <v>#DIV/0!</v>
      </c>
      <c r="AD11" s="60"/>
      <c r="AE11" s="56" t="e">
        <f t="shared" si="5"/>
        <v>#DIV/0!</v>
      </c>
      <c r="AF11" s="61"/>
      <c r="AG11" s="62"/>
      <c r="AH11" s="63" t="e">
        <f t="shared" si="6"/>
        <v>#DIV/0!</v>
      </c>
      <c r="AI11" s="64">
        <v>10</v>
      </c>
      <c r="AJ11" s="64">
        <v>10</v>
      </c>
      <c r="AK11" s="64">
        <v>45</v>
      </c>
      <c r="AL11" s="65" t="e">
        <f t="shared" si="7"/>
        <v>#DIV/0!</v>
      </c>
      <c r="AM11" s="66" t="e">
        <f t="shared" si="8"/>
        <v>#DIV/0!</v>
      </c>
      <c r="AN11" s="67" t="e">
        <f t="shared" si="9"/>
        <v>#DIV/0!</v>
      </c>
      <c r="AO11" s="68"/>
      <c r="AP11" s="69">
        <f t="shared" si="10"/>
        <v>1</v>
      </c>
      <c r="AQ11" s="166">
        <v>1</v>
      </c>
      <c r="AR11" s="167"/>
      <c r="AS11" s="128"/>
      <c r="AT11" s="72"/>
      <c r="AU11" s="131"/>
      <c r="AV11" s="131"/>
      <c r="AW11" s="72"/>
      <c r="AX11" s="73"/>
      <c r="AY11" s="74">
        <f t="shared" si="11"/>
        <v>0</v>
      </c>
      <c r="AZ11" s="74">
        <f t="shared" si="1"/>
        <v>0</v>
      </c>
    </row>
    <row r="12" spans="1:52" s="75" customFormat="1" ht="21.95" customHeight="1" thickBot="1" x14ac:dyDescent="0.2">
      <c r="A12" s="45"/>
      <c r="B12" s="46"/>
      <c r="C12" s="232" t="s">
        <v>62</v>
      </c>
      <c r="D12" s="233"/>
      <c r="E12" s="233"/>
      <c r="F12" s="233"/>
      <c r="G12" s="234"/>
      <c r="H12" s="122"/>
      <c r="I12" s="130"/>
      <c r="J12" s="130"/>
      <c r="K12" s="89"/>
      <c r="L12" s="89"/>
      <c r="M12" s="89"/>
      <c r="N12" s="90">
        <f>I12*I11+J12*J11+K12*K11+L12*L11+M12*M11</f>
        <v>0</v>
      </c>
      <c r="O12" s="91"/>
      <c r="P12" s="92"/>
      <c r="Q12" s="93"/>
      <c r="R12" s="93"/>
      <c r="S12" s="94"/>
      <c r="T12" s="95"/>
      <c r="U12" s="56"/>
      <c r="V12" s="59"/>
      <c r="W12" s="96"/>
      <c r="X12" s="97"/>
      <c r="Y12" s="98"/>
      <c r="Z12" s="97"/>
      <c r="AA12" s="99"/>
      <c r="AB12" s="58"/>
      <c r="AC12" s="59"/>
      <c r="AD12" s="56"/>
      <c r="AE12" s="56"/>
      <c r="AF12" s="157"/>
      <c r="AG12" s="100"/>
      <c r="AH12" s="63"/>
      <c r="AI12" s="101"/>
      <c r="AJ12" s="93"/>
      <c r="AK12" s="63"/>
      <c r="AL12" s="67"/>
      <c r="AM12" s="68"/>
      <c r="AN12" s="69"/>
      <c r="AO12" s="69"/>
      <c r="AP12" s="70"/>
      <c r="AQ12" s="71"/>
      <c r="AR12" s="72"/>
      <c r="AS12" s="72"/>
      <c r="AT12" s="72"/>
      <c r="AU12" s="72"/>
      <c r="AV12" s="73"/>
      <c r="AW12" s="74"/>
      <c r="AX12" s="74"/>
      <c r="AZ12" s="75">
        <f t="shared" si="1"/>
        <v>0</v>
      </c>
    </row>
    <row r="13" spans="1:52" s="75" customFormat="1" ht="39.75" customHeight="1" thickBot="1" x14ac:dyDescent="0.2">
      <c r="A13" s="45"/>
      <c r="B13" s="87"/>
      <c r="C13" s="159"/>
      <c r="D13" s="168"/>
      <c r="E13" s="134"/>
      <c r="F13" s="134"/>
      <c r="G13" s="103"/>
      <c r="H13" s="160"/>
      <c r="I13" s="195"/>
      <c r="J13" s="124"/>
      <c r="K13" s="124"/>
      <c r="L13" s="49"/>
      <c r="M13" s="51"/>
      <c r="N13" s="102">
        <f t="shared" si="0"/>
        <v>0</v>
      </c>
      <c r="O13" s="53">
        <v>1</v>
      </c>
      <c r="P13" s="193"/>
      <c r="Q13" s="193"/>
      <c r="R13" s="193"/>
      <c r="S13" s="194"/>
      <c r="T13" s="95"/>
      <c r="U13" s="56">
        <f t="shared" si="12"/>
        <v>0</v>
      </c>
      <c r="V13" s="59">
        <f t="shared" si="2"/>
        <v>0</v>
      </c>
      <c r="W13" s="131"/>
      <c r="X13" s="131"/>
      <c r="Y13" s="164"/>
      <c r="Z13" s="77"/>
      <c r="AA13" s="196"/>
      <c r="AB13" s="56" t="e">
        <f t="shared" si="3"/>
        <v>#DIV/0!</v>
      </c>
      <c r="AC13" s="59" t="e">
        <f t="shared" si="4"/>
        <v>#DIV/0!</v>
      </c>
      <c r="AD13" s="60"/>
      <c r="AE13" s="56" t="e">
        <f t="shared" si="5"/>
        <v>#DIV/0!</v>
      </c>
      <c r="AF13" s="61"/>
      <c r="AG13" s="62"/>
      <c r="AH13" s="63" t="e">
        <f t="shared" si="6"/>
        <v>#DIV/0!</v>
      </c>
      <c r="AI13" s="64">
        <v>10</v>
      </c>
      <c r="AJ13" s="64">
        <v>10</v>
      </c>
      <c r="AK13" s="64">
        <v>45</v>
      </c>
      <c r="AL13" s="65" t="e">
        <f t="shared" si="7"/>
        <v>#DIV/0!</v>
      </c>
      <c r="AM13" s="66" t="e">
        <f t="shared" si="8"/>
        <v>#DIV/0!</v>
      </c>
      <c r="AN13" s="67" t="e">
        <f t="shared" si="9"/>
        <v>#DIV/0!</v>
      </c>
      <c r="AO13" s="197"/>
      <c r="AP13" s="166"/>
      <c r="AQ13" s="166">
        <v>2</v>
      </c>
      <c r="AR13" s="70"/>
      <c r="AS13" s="128"/>
      <c r="AT13" s="72"/>
      <c r="AU13" s="131"/>
      <c r="AV13" s="72"/>
      <c r="AW13" s="72"/>
      <c r="AX13" s="73"/>
      <c r="AY13" s="74">
        <f t="shared" si="11"/>
        <v>0</v>
      </c>
      <c r="AZ13" s="74">
        <f t="shared" si="1"/>
        <v>0</v>
      </c>
    </row>
    <row r="14" spans="1:52" s="75" customFormat="1" ht="21.95" customHeight="1" thickBot="1" x14ac:dyDescent="0.2">
      <c r="A14" s="45"/>
      <c r="B14" s="46"/>
      <c r="C14" s="232" t="s">
        <v>62</v>
      </c>
      <c r="D14" s="233"/>
      <c r="E14" s="233"/>
      <c r="F14" s="233"/>
      <c r="G14" s="234"/>
      <c r="H14" s="122"/>
      <c r="I14" s="89"/>
      <c r="J14" s="130"/>
      <c r="K14" s="89"/>
      <c r="L14" s="89"/>
      <c r="M14" s="89"/>
      <c r="N14" s="90">
        <f>I14*I13+J14*J13+K14*K13+L14*L13+M14*M13</f>
        <v>0</v>
      </c>
      <c r="O14" s="91"/>
      <c r="P14" s="92"/>
      <c r="Q14" s="93"/>
      <c r="R14" s="93"/>
      <c r="S14" s="94"/>
      <c r="T14" s="95"/>
      <c r="U14" s="56"/>
      <c r="V14" s="59"/>
      <c r="W14" s="96"/>
      <c r="X14" s="97"/>
      <c r="Y14" s="98"/>
      <c r="Z14" s="97"/>
      <c r="AA14" s="99"/>
      <c r="AB14" s="58"/>
      <c r="AC14" s="59"/>
      <c r="AD14" s="56"/>
      <c r="AE14" s="56"/>
      <c r="AF14" s="157"/>
      <c r="AG14" s="100"/>
      <c r="AH14" s="63"/>
      <c r="AI14" s="101"/>
      <c r="AJ14" s="93"/>
      <c r="AK14" s="63"/>
      <c r="AL14" s="67"/>
      <c r="AM14" s="68"/>
      <c r="AN14" s="69"/>
      <c r="AO14" s="69"/>
      <c r="AP14" s="70"/>
      <c r="AQ14" s="71"/>
      <c r="AR14" s="72"/>
      <c r="AS14" s="72"/>
      <c r="AT14" s="72"/>
      <c r="AU14" s="72"/>
      <c r="AV14" s="73"/>
      <c r="AW14" s="74"/>
      <c r="AX14" s="74"/>
      <c r="AZ14" s="75">
        <f t="shared" si="1"/>
        <v>0</v>
      </c>
    </row>
    <row r="15" spans="1:52" s="75" customFormat="1" ht="39.75" customHeight="1" thickBot="1" x14ac:dyDescent="0.2">
      <c r="A15" s="45"/>
      <c r="B15" s="87"/>
      <c r="C15" s="168"/>
      <c r="D15" s="115"/>
      <c r="E15" s="115"/>
      <c r="F15" s="198"/>
      <c r="G15" s="170"/>
      <c r="H15" s="160"/>
      <c r="I15" s="195"/>
      <c r="J15" s="50"/>
      <c r="K15" s="50"/>
      <c r="L15" s="49"/>
      <c r="M15" s="51"/>
      <c r="N15" s="102">
        <f t="shared" si="0"/>
        <v>0</v>
      </c>
      <c r="O15" s="53">
        <v>1</v>
      </c>
      <c r="P15" s="192"/>
      <c r="Q15" s="108"/>
      <c r="R15" s="108"/>
      <c r="S15" s="194"/>
      <c r="T15" s="95"/>
      <c r="U15" s="56">
        <f t="shared" si="12"/>
        <v>0</v>
      </c>
      <c r="V15" s="59">
        <f t="shared" si="2"/>
        <v>0</v>
      </c>
      <c r="W15" s="131"/>
      <c r="X15" s="199"/>
      <c r="Y15" s="88"/>
      <c r="Z15" s="199"/>
      <c r="AA15" s="99"/>
      <c r="AB15" s="58" t="e">
        <f t="shared" si="3"/>
        <v>#DIV/0!</v>
      </c>
      <c r="AC15" s="59" t="e">
        <f t="shared" si="4"/>
        <v>#DIV/0!</v>
      </c>
      <c r="AD15" s="60"/>
      <c r="AE15" s="56" t="e">
        <f t="shared" si="5"/>
        <v>#DIV/0!</v>
      </c>
      <c r="AF15" s="61"/>
      <c r="AG15" s="62"/>
      <c r="AH15" s="63" t="e">
        <f t="shared" si="6"/>
        <v>#DIV/0!</v>
      </c>
      <c r="AI15" s="64">
        <v>10</v>
      </c>
      <c r="AJ15" s="64">
        <v>10</v>
      </c>
      <c r="AK15" s="64">
        <v>45</v>
      </c>
      <c r="AL15" s="65" t="e">
        <f t="shared" si="7"/>
        <v>#DIV/0!</v>
      </c>
      <c r="AM15" s="66" t="e">
        <f t="shared" si="8"/>
        <v>#DIV/0!</v>
      </c>
      <c r="AN15" s="67" t="e">
        <f t="shared" si="9"/>
        <v>#DIV/0!</v>
      </c>
      <c r="AO15" s="197"/>
      <c r="AP15" s="69">
        <f t="shared" si="10"/>
        <v>1</v>
      </c>
      <c r="AQ15" s="69">
        <f t="shared" si="10"/>
        <v>2</v>
      </c>
      <c r="AR15" s="167"/>
      <c r="AS15" s="71"/>
      <c r="AT15" s="72"/>
      <c r="AU15" s="72"/>
      <c r="AV15" s="72"/>
      <c r="AW15" s="72"/>
      <c r="AX15" s="73"/>
      <c r="AY15" s="74">
        <f t="shared" si="11"/>
        <v>0</v>
      </c>
      <c r="AZ15" s="74">
        <f t="shared" si="1"/>
        <v>0</v>
      </c>
    </row>
    <row r="16" spans="1:52" s="75" customFormat="1" ht="21" customHeight="1" thickBot="1" x14ac:dyDescent="0.2">
      <c r="A16" s="45"/>
      <c r="B16" s="46"/>
      <c r="C16" s="232" t="s">
        <v>62</v>
      </c>
      <c r="D16" s="233"/>
      <c r="E16" s="233"/>
      <c r="F16" s="233"/>
      <c r="G16" s="235"/>
      <c r="H16" s="122"/>
      <c r="I16" s="89"/>
      <c r="J16" s="89"/>
      <c r="K16" s="130"/>
      <c r="L16" s="89"/>
      <c r="M16" s="89"/>
      <c r="N16" s="90">
        <f>I16*I15+J16*J15+K16*K15+L16*L15+M16*M15</f>
        <v>0</v>
      </c>
      <c r="O16" s="91"/>
      <c r="P16" s="92"/>
      <c r="Q16" s="93"/>
      <c r="R16" s="93"/>
      <c r="S16" s="94"/>
      <c r="T16" s="95"/>
      <c r="U16" s="56"/>
      <c r="V16" s="59"/>
      <c r="W16" s="96"/>
      <c r="X16" s="97"/>
      <c r="Y16" s="98"/>
      <c r="Z16" s="97"/>
      <c r="AA16" s="99"/>
      <c r="AB16" s="58"/>
      <c r="AC16" s="59"/>
      <c r="AD16" s="56"/>
      <c r="AE16" s="56"/>
      <c r="AF16" s="157"/>
      <c r="AG16" s="100"/>
      <c r="AH16" s="63"/>
      <c r="AI16" s="101"/>
      <c r="AJ16" s="93"/>
      <c r="AK16" s="63"/>
      <c r="AL16" s="67"/>
      <c r="AM16" s="68"/>
      <c r="AN16" s="69"/>
      <c r="AO16" s="69"/>
      <c r="AP16" s="70"/>
      <c r="AQ16" s="71"/>
      <c r="AR16" s="72"/>
      <c r="AS16" s="72"/>
      <c r="AT16" s="72"/>
      <c r="AU16" s="72"/>
      <c r="AV16" s="73"/>
      <c r="AW16" s="74"/>
      <c r="AX16" s="74"/>
      <c r="AZ16" s="75">
        <f t="shared" si="1"/>
        <v>0</v>
      </c>
    </row>
    <row r="17" spans="1:52" s="75" customFormat="1" ht="39.75" customHeight="1" thickBot="1" x14ac:dyDescent="0.2">
      <c r="A17" s="45"/>
      <c r="B17" s="87"/>
      <c r="C17" s="134"/>
      <c r="D17" s="200"/>
      <c r="E17" s="198"/>
      <c r="F17" s="158"/>
      <c r="G17" s="103"/>
      <c r="H17" s="160"/>
      <c r="I17" s="195"/>
      <c r="J17" s="124"/>
      <c r="K17" s="50"/>
      <c r="L17" s="49"/>
      <c r="M17" s="104"/>
      <c r="N17" s="52">
        <f t="shared" si="0"/>
        <v>0</v>
      </c>
      <c r="O17" s="53">
        <v>1</v>
      </c>
      <c r="P17" s="54"/>
      <c r="Q17" s="125"/>
      <c r="R17" s="55"/>
      <c r="S17" s="76"/>
      <c r="T17" s="95"/>
      <c r="U17" s="56">
        <f t="shared" si="12"/>
        <v>0</v>
      </c>
      <c r="V17" s="59">
        <f t="shared" si="2"/>
        <v>0</v>
      </c>
      <c r="W17" s="57"/>
      <c r="X17" s="126"/>
      <c r="Y17" s="57"/>
      <c r="Z17" s="57"/>
      <c r="AA17" s="99"/>
      <c r="AB17" s="58" t="e">
        <f t="shared" si="3"/>
        <v>#DIV/0!</v>
      </c>
      <c r="AC17" s="59" t="e">
        <f t="shared" si="4"/>
        <v>#DIV/0!</v>
      </c>
      <c r="AD17" s="60"/>
      <c r="AE17" s="56" t="e">
        <f t="shared" si="5"/>
        <v>#DIV/0!</v>
      </c>
      <c r="AF17" s="61"/>
      <c r="AG17" s="62"/>
      <c r="AH17" s="63" t="e">
        <f t="shared" si="6"/>
        <v>#DIV/0!</v>
      </c>
      <c r="AI17" s="64">
        <v>10</v>
      </c>
      <c r="AJ17" s="64">
        <v>10</v>
      </c>
      <c r="AK17" s="64">
        <v>45</v>
      </c>
      <c r="AL17" s="65" t="e">
        <f t="shared" si="7"/>
        <v>#DIV/0!</v>
      </c>
      <c r="AM17" s="66" t="e">
        <f t="shared" si="8"/>
        <v>#DIV/0!</v>
      </c>
      <c r="AN17" s="67" t="e">
        <f t="shared" si="9"/>
        <v>#DIV/0!</v>
      </c>
      <c r="AO17" s="68"/>
      <c r="AP17" s="166">
        <v>1</v>
      </c>
      <c r="AQ17" s="69">
        <f t="shared" si="10"/>
        <v>2</v>
      </c>
      <c r="AR17" s="70"/>
      <c r="AS17" s="71"/>
      <c r="AT17" s="72"/>
      <c r="AU17" s="131"/>
      <c r="AV17" s="72"/>
      <c r="AW17" s="72"/>
      <c r="AX17" s="73"/>
      <c r="AY17" s="74">
        <f t="shared" si="11"/>
        <v>0</v>
      </c>
      <c r="AZ17" s="74">
        <f t="shared" si="1"/>
        <v>0</v>
      </c>
    </row>
    <row r="18" spans="1:52" s="75" customFormat="1" ht="21" customHeight="1" thickBot="1" x14ac:dyDescent="0.2">
      <c r="A18" s="45"/>
      <c r="B18" s="46"/>
      <c r="C18" s="232" t="s">
        <v>62</v>
      </c>
      <c r="D18" s="233"/>
      <c r="E18" s="233"/>
      <c r="F18" s="233"/>
      <c r="G18" s="235"/>
      <c r="H18" s="122"/>
      <c r="I18" s="89"/>
      <c r="J18" s="89"/>
      <c r="K18" s="130"/>
      <c r="L18" s="89"/>
      <c r="M18" s="89"/>
      <c r="N18" s="90">
        <f>I18*I17+J18*J17+K18*K17+L18*L17+M18*M17</f>
        <v>0</v>
      </c>
      <c r="O18" s="91"/>
      <c r="P18" s="92"/>
      <c r="Q18" s="93"/>
      <c r="R18" s="93"/>
      <c r="S18" s="94"/>
      <c r="T18" s="95"/>
      <c r="U18" s="56"/>
      <c r="V18" s="59"/>
      <c r="W18" s="96"/>
      <c r="X18" s="97"/>
      <c r="Y18" s="98"/>
      <c r="Z18" s="97"/>
      <c r="AA18" s="99"/>
      <c r="AB18" s="58"/>
      <c r="AC18" s="59"/>
      <c r="AD18" s="56"/>
      <c r="AE18" s="56"/>
      <c r="AF18" s="157"/>
      <c r="AG18" s="100"/>
      <c r="AH18" s="63"/>
      <c r="AI18" s="101"/>
      <c r="AJ18" s="93"/>
      <c r="AK18" s="63"/>
      <c r="AL18" s="67"/>
      <c r="AM18" s="68"/>
      <c r="AN18" s="69"/>
      <c r="AO18" s="69"/>
      <c r="AP18" s="70"/>
      <c r="AQ18" s="71"/>
      <c r="AR18" s="72"/>
      <c r="AS18" s="72"/>
      <c r="AT18" s="72"/>
      <c r="AU18" s="72"/>
      <c r="AV18" s="73"/>
      <c r="AW18" s="74"/>
      <c r="AX18" s="74"/>
      <c r="AZ18" s="75">
        <f t="shared" si="1"/>
        <v>0</v>
      </c>
    </row>
    <row r="19" spans="1:52" s="75" customFormat="1" ht="39.75" customHeight="1" thickBot="1" x14ac:dyDescent="0.2">
      <c r="A19" s="45"/>
      <c r="B19" s="87"/>
      <c r="C19" s="134"/>
      <c r="D19" s="168"/>
      <c r="E19" s="158"/>
      <c r="F19" s="115"/>
      <c r="G19" s="103"/>
      <c r="H19" s="160"/>
      <c r="I19" s="48"/>
      <c r="J19" s="124"/>
      <c r="K19" s="124"/>
      <c r="L19" s="49"/>
      <c r="M19" s="51"/>
      <c r="N19" s="102">
        <f t="shared" si="0"/>
        <v>0</v>
      </c>
      <c r="O19" s="53">
        <v>1</v>
      </c>
      <c r="P19" s="54"/>
      <c r="Q19" s="193"/>
      <c r="R19" s="193"/>
      <c r="S19" s="76"/>
      <c r="T19" s="95"/>
      <c r="U19" s="56">
        <f t="shared" si="12"/>
        <v>0</v>
      </c>
      <c r="V19" s="59">
        <f t="shared" si="2"/>
        <v>0</v>
      </c>
      <c r="W19" s="199"/>
      <c r="X19" s="131"/>
      <c r="Y19" s="126"/>
      <c r="Z19" s="199"/>
      <c r="AA19" s="99"/>
      <c r="AB19" s="58" t="e">
        <f t="shared" si="3"/>
        <v>#DIV/0!</v>
      </c>
      <c r="AC19" s="59" t="e">
        <f t="shared" si="4"/>
        <v>#DIV/0!</v>
      </c>
      <c r="AD19" s="60"/>
      <c r="AE19" s="56" t="e">
        <f t="shared" si="5"/>
        <v>#DIV/0!</v>
      </c>
      <c r="AF19" s="61"/>
      <c r="AG19" s="62"/>
      <c r="AH19" s="63" t="e">
        <f t="shared" si="6"/>
        <v>#DIV/0!</v>
      </c>
      <c r="AI19" s="64">
        <v>10</v>
      </c>
      <c r="AJ19" s="64">
        <v>10</v>
      </c>
      <c r="AK19" s="64">
        <v>45</v>
      </c>
      <c r="AL19" s="65" t="e">
        <f t="shared" si="7"/>
        <v>#DIV/0!</v>
      </c>
      <c r="AM19" s="66" t="e">
        <f t="shared" si="8"/>
        <v>#DIV/0!</v>
      </c>
      <c r="AN19" s="67" t="e">
        <f t="shared" si="9"/>
        <v>#DIV/0!</v>
      </c>
      <c r="AO19" s="68"/>
      <c r="AP19" s="166">
        <v>1</v>
      </c>
      <c r="AQ19" s="166">
        <v>3</v>
      </c>
      <c r="AR19" s="70"/>
      <c r="AS19" s="71"/>
      <c r="AT19" s="131"/>
      <c r="AU19" s="131"/>
      <c r="AV19" s="131"/>
      <c r="AW19" s="72"/>
      <c r="AX19" s="73"/>
      <c r="AY19" s="74">
        <f t="shared" si="11"/>
        <v>0</v>
      </c>
      <c r="AZ19" s="74">
        <f t="shared" si="1"/>
        <v>0</v>
      </c>
    </row>
    <row r="20" spans="1:52" s="75" customFormat="1" ht="21" customHeight="1" thickBot="1" x14ac:dyDescent="0.2">
      <c r="A20" s="45"/>
      <c r="B20" s="46"/>
      <c r="C20" s="232" t="s">
        <v>62</v>
      </c>
      <c r="D20" s="233"/>
      <c r="E20" s="233"/>
      <c r="F20" s="233"/>
      <c r="G20" s="235"/>
      <c r="H20" s="122"/>
      <c r="I20" s="89"/>
      <c r="J20" s="89"/>
      <c r="K20" s="130"/>
      <c r="L20" s="89"/>
      <c r="M20" s="89"/>
      <c r="N20" s="90">
        <f>I20*I19+J20*J19+K20*K19+L20*L19+M20*M19</f>
        <v>0</v>
      </c>
      <c r="O20" s="91"/>
      <c r="P20" s="92"/>
      <c r="Q20" s="93"/>
      <c r="R20" s="93"/>
      <c r="S20" s="94"/>
      <c r="T20" s="95"/>
      <c r="U20" s="56"/>
      <c r="V20" s="59"/>
      <c r="W20" s="96"/>
      <c r="X20" s="97"/>
      <c r="Y20" s="98"/>
      <c r="Z20" s="97"/>
      <c r="AA20" s="99"/>
      <c r="AB20" s="58"/>
      <c r="AC20" s="59"/>
      <c r="AD20" s="56"/>
      <c r="AE20" s="56"/>
      <c r="AF20" s="157"/>
      <c r="AG20" s="100"/>
      <c r="AH20" s="63"/>
      <c r="AI20" s="101"/>
      <c r="AJ20" s="93"/>
      <c r="AK20" s="63"/>
      <c r="AL20" s="67"/>
      <c r="AM20" s="68"/>
      <c r="AN20" s="69"/>
      <c r="AO20" s="69"/>
      <c r="AP20" s="70"/>
      <c r="AQ20" s="71"/>
      <c r="AR20" s="72"/>
      <c r="AS20" s="72"/>
      <c r="AT20" s="72"/>
      <c r="AU20" s="72"/>
      <c r="AV20" s="73"/>
      <c r="AW20" s="74"/>
      <c r="AX20" s="74"/>
      <c r="AZ20" s="75">
        <f t="shared" si="1"/>
        <v>0</v>
      </c>
    </row>
    <row r="21" spans="1:52" s="75" customFormat="1" ht="39.75" customHeight="1" thickBot="1" x14ac:dyDescent="0.2">
      <c r="A21" s="45"/>
      <c r="B21" s="87"/>
      <c r="C21" s="168"/>
      <c r="D21" s="200"/>
      <c r="E21" s="159"/>
      <c r="F21" s="115"/>
      <c r="G21" s="201"/>
      <c r="H21" s="160"/>
      <c r="I21" s="195"/>
      <c r="J21" s="124"/>
      <c r="K21" s="124"/>
      <c r="L21" s="50"/>
      <c r="M21" s="51"/>
      <c r="N21" s="102">
        <f t="shared" si="0"/>
        <v>0</v>
      </c>
      <c r="O21" s="53">
        <v>1</v>
      </c>
      <c r="P21" s="202"/>
      <c r="Q21" s="125"/>
      <c r="R21" s="125"/>
      <c r="S21" s="76"/>
      <c r="T21" s="95"/>
      <c r="U21" s="56">
        <f t="shared" si="12"/>
        <v>0</v>
      </c>
      <c r="V21" s="59">
        <f t="shared" si="2"/>
        <v>0</v>
      </c>
      <c r="W21" s="183"/>
      <c r="X21" s="131"/>
      <c r="Y21" s="126"/>
      <c r="Z21" s="57"/>
      <c r="AA21" s="99"/>
      <c r="AB21" s="58" t="e">
        <f t="shared" si="3"/>
        <v>#DIV/0!</v>
      </c>
      <c r="AC21" s="59" t="e">
        <f t="shared" si="4"/>
        <v>#DIV/0!</v>
      </c>
      <c r="AD21" s="60"/>
      <c r="AE21" s="56" t="e">
        <f t="shared" si="5"/>
        <v>#DIV/0!</v>
      </c>
      <c r="AF21" s="61"/>
      <c r="AG21" s="62"/>
      <c r="AH21" s="63" t="e">
        <f t="shared" si="6"/>
        <v>#DIV/0!</v>
      </c>
      <c r="AI21" s="64">
        <v>10</v>
      </c>
      <c r="AJ21" s="64">
        <v>10</v>
      </c>
      <c r="AK21" s="64">
        <v>45</v>
      </c>
      <c r="AL21" s="65" t="e">
        <f t="shared" si="7"/>
        <v>#DIV/0!</v>
      </c>
      <c r="AM21" s="66" t="e">
        <f t="shared" si="8"/>
        <v>#DIV/0!</v>
      </c>
      <c r="AN21" s="67" t="e">
        <f t="shared" si="9"/>
        <v>#DIV/0!</v>
      </c>
      <c r="AO21" s="68"/>
      <c r="AP21" s="166">
        <v>2</v>
      </c>
      <c r="AQ21" s="166">
        <v>2</v>
      </c>
      <c r="AR21" s="167"/>
      <c r="AS21" s="128"/>
      <c r="AT21" s="72"/>
      <c r="AU21" s="131"/>
      <c r="AV21" s="131"/>
      <c r="AW21" s="72"/>
      <c r="AX21" s="73"/>
      <c r="AY21" s="74">
        <f t="shared" si="11"/>
        <v>0</v>
      </c>
      <c r="AZ21" s="74">
        <f t="shared" si="1"/>
        <v>0</v>
      </c>
    </row>
    <row r="22" spans="1:52" s="75" customFormat="1" ht="21" customHeight="1" thickBot="1" x14ac:dyDescent="0.2">
      <c r="A22" s="45"/>
      <c r="B22" s="46"/>
      <c r="C22" s="232" t="s">
        <v>63</v>
      </c>
      <c r="D22" s="233"/>
      <c r="E22" s="233"/>
      <c r="F22" s="233"/>
      <c r="G22" s="236"/>
      <c r="H22" s="122"/>
      <c r="I22" s="130"/>
      <c r="J22" s="130"/>
      <c r="K22" s="89"/>
      <c r="L22" s="89"/>
      <c r="M22" s="89"/>
      <c r="N22" s="90">
        <f>I22*I21+J22*J21+K22*K21+L22*L21+M22*M21</f>
        <v>0</v>
      </c>
      <c r="O22" s="91"/>
      <c r="P22" s="92"/>
      <c r="Q22" s="93"/>
      <c r="R22" s="93"/>
      <c r="S22" s="94"/>
      <c r="T22" s="95"/>
      <c r="U22" s="56"/>
      <c r="V22" s="59"/>
      <c r="W22" s="96"/>
      <c r="X22" s="97"/>
      <c r="Y22" s="98"/>
      <c r="Z22" s="97"/>
      <c r="AA22" s="99"/>
      <c r="AB22" s="58"/>
      <c r="AC22" s="59"/>
      <c r="AD22" s="56"/>
      <c r="AE22" s="56"/>
      <c r="AF22" s="157"/>
      <c r="AG22" s="100"/>
      <c r="AH22" s="63"/>
      <c r="AI22" s="101"/>
      <c r="AJ22" s="93"/>
      <c r="AK22" s="63"/>
      <c r="AL22" s="67"/>
      <c r="AM22" s="68"/>
      <c r="AN22" s="69"/>
      <c r="AO22" s="69"/>
      <c r="AP22" s="70"/>
      <c r="AQ22" s="71"/>
      <c r="AR22" s="72"/>
      <c r="AS22" s="72"/>
      <c r="AT22" s="72"/>
      <c r="AU22" s="72"/>
      <c r="AV22" s="73"/>
      <c r="AW22" s="74"/>
      <c r="AX22" s="74"/>
      <c r="AZ22" s="75">
        <f t="shared" si="1"/>
        <v>0</v>
      </c>
    </row>
    <row r="23" spans="1:52" s="75" customFormat="1" ht="39.75" customHeight="1" thickBot="1" x14ac:dyDescent="0.2">
      <c r="A23" s="45"/>
      <c r="B23" s="87"/>
      <c r="C23" s="158"/>
      <c r="D23" s="168"/>
      <c r="E23" s="159"/>
      <c r="F23" s="198"/>
      <c r="G23" s="201"/>
      <c r="H23" s="160"/>
      <c r="I23" s="48"/>
      <c r="J23" s="203"/>
      <c r="K23" s="124"/>
      <c r="L23" s="49"/>
      <c r="M23" s="104"/>
      <c r="N23" s="52">
        <f t="shared" si="0"/>
        <v>0</v>
      </c>
      <c r="O23" s="53">
        <v>1</v>
      </c>
      <c r="P23" s="54"/>
      <c r="Q23" s="125"/>
      <c r="R23" s="125"/>
      <c r="S23" s="194"/>
      <c r="T23" s="95"/>
      <c r="U23" s="56">
        <f t="shared" si="12"/>
        <v>0</v>
      </c>
      <c r="V23" s="59">
        <f t="shared" si="2"/>
        <v>0</v>
      </c>
      <c r="W23" s="199"/>
      <c r="X23" s="204"/>
      <c r="Y23" s="126"/>
      <c r="Z23" s="97"/>
      <c r="AA23" s="99"/>
      <c r="AB23" s="58" t="e">
        <f t="shared" si="3"/>
        <v>#DIV/0!</v>
      </c>
      <c r="AC23" s="59" t="e">
        <f t="shared" si="4"/>
        <v>#DIV/0!</v>
      </c>
      <c r="AD23" s="60"/>
      <c r="AE23" s="56" t="e">
        <f t="shared" si="5"/>
        <v>#DIV/0!</v>
      </c>
      <c r="AF23" s="61"/>
      <c r="AG23" s="62"/>
      <c r="AH23" s="63" t="e">
        <f t="shared" si="6"/>
        <v>#DIV/0!</v>
      </c>
      <c r="AI23" s="64">
        <v>10</v>
      </c>
      <c r="AJ23" s="64">
        <v>10</v>
      </c>
      <c r="AK23" s="64">
        <v>45</v>
      </c>
      <c r="AL23" s="65" t="e">
        <f t="shared" si="7"/>
        <v>#DIV/0!</v>
      </c>
      <c r="AM23" s="66" t="e">
        <f t="shared" si="8"/>
        <v>#DIV/0!</v>
      </c>
      <c r="AN23" s="67" t="e">
        <f t="shared" si="9"/>
        <v>#DIV/0!</v>
      </c>
      <c r="AO23" s="68"/>
      <c r="AP23" s="166">
        <v>1</v>
      </c>
      <c r="AQ23" s="166">
        <v>1</v>
      </c>
      <c r="AR23" s="70"/>
      <c r="AS23" s="71"/>
      <c r="AT23" s="72"/>
      <c r="AU23" s="72"/>
      <c r="AV23" s="131"/>
      <c r="AW23" s="72"/>
      <c r="AX23" s="73"/>
      <c r="AY23" s="74">
        <f t="shared" si="11"/>
        <v>0</v>
      </c>
      <c r="AZ23" s="74">
        <f t="shared" si="1"/>
        <v>0</v>
      </c>
    </row>
    <row r="24" spans="1:52" s="75" customFormat="1" ht="21" customHeight="1" thickBot="1" x14ac:dyDescent="0.2">
      <c r="A24" s="45"/>
      <c r="B24" s="46"/>
      <c r="C24" s="232" t="s">
        <v>63</v>
      </c>
      <c r="D24" s="233"/>
      <c r="E24" s="233"/>
      <c r="F24" s="233"/>
      <c r="G24" s="234"/>
      <c r="H24" s="122"/>
      <c r="I24" s="130"/>
      <c r="J24" s="89"/>
      <c r="K24" s="89"/>
      <c r="L24" s="89"/>
      <c r="M24" s="89"/>
      <c r="N24" s="90">
        <f>I24*I23+J24*J23+K24*K23+L24*L23+M24*M23</f>
        <v>0</v>
      </c>
      <c r="O24" s="91"/>
      <c r="P24" s="92"/>
      <c r="Q24" s="93"/>
      <c r="R24" s="93"/>
      <c r="S24" s="94"/>
      <c r="T24" s="95"/>
      <c r="U24" s="56"/>
      <c r="V24" s="59"/>
      <c r="W24" s="96"/>
      <c r="X24" s="97"/>
      <c r="Y24" s="98"/>
      <c r="Z24" s="97"/>
      <c r="AA24" s="99"/>
      <c r="AB24" s="58"/>
      <c r="AC24" s="59"/>
      <c r="AD24" s="56"/>
      <c r="AE24" s="56"/>
      <c r="AF24" s="157"/>
      <c r="AG24" s="100"/>
      <c r="AH24" s="63"/>
      <c r="AI24" s="101"/>
      <c r="AJ24" s="93"/>
      <c r="AK24" s="63"/>
      <c r="AL24" s="67"/>
      <c r="AM24" s="68"/>
      <c r="AN24" s="69"/>
      <c r="AO24" s="69"/>
      <c r="AP24" s="70"/>
      <c r="AQ24" s="71"/>
      <c r="AR24" s="72"/>
      <c r="AS24" s="72"/>
      <c r="AT24" s="72"/>
      <c r="AU24" s="72"/>
      <c r="AV24" s="73"/>
      <c r="AW24" s="74"/>
      <c r="AX24" s="74"/>
      <c r="AZ24" s="75">
        <f t="shared" si="1"/>
        <v>0</v>
      </c>
    </row>
    <row r="25" spans="1:52" s="75" customFormat="1" ht="39.75" customHeight="1" thickBot="1" x14ac:dyDescent="0.2">
      <c r="A25" s="45"/>
      <c r="B25" s="87"/>
      <c r="C25" s="168"/>
      <c r="D25" s="168"/>
      <c r="E25" s="159"/>
      <c r="F25" s="198"/>
      <c r="G25" s="201"/>
      <c r="H25" s="160"/>
      <c r="I25" s="195"/>
      <c r="J25" s="129"/>
      <c r="K25" s="124"/>
      <c r="L25" s="49"/>
      <c r="M25" s="104"/>
      <c r="N25" s="102">
        <f t="shared" si="0"/>
        <v>0</v>
      </c>
      <c r="O25" s="53">
        <v>1</v>
      </c>
      <c r="P25" s="202"/>
      <c r="Q25" s="162"/>
      <c r="R25" s="162"/>
      <c r="S25" s="76"/>
      <c r="T25" s="95"/>
      <c r="U25" s="56">
        <f t="shared" si="12"/>
        <v>0</v>
      </c>
      <c r="V25" s="59">
        <f t="shared" si="2"/>
        <v>0</v>
      </c>
      <c r="W25" s="131"/>
      <c r="X25" s="131"/>
      <c r="Y25" s="131"/>
      <c r="Z25" s="196"/>
      <c r="AA25" s="97"/>
      <c r="AB25" s="56" t="e">
        <f t="shared" si="3"/>
        <v>#DIV/0!</v>
      </c>
      <c r="AC25" s="59" t="e">
        <f t="shared" si="4"/>
        <v>#DIV/0!</v>
      </c>
      <c r="AD25" s="60"/>
      <c r="AE25" s="56" t="e">
        <f t="shared" si="5"/>
        <v>#DIV/0!</v>
      </c>
      <c r="AF25" s="61"/>
      <c r="AG25" s="62"/>
      <c r="AH25" s="63" t="e">
        <f t="shared" si="6"/>
        <v>#DIV/0!</v>
      </c>
      <c r="AI25" s="64">
        <v>10</v>
      </c>
      <c r="AJ25" s="64">
        <v>10</v>
      </c>
      <c r="AK25" s="64">
        <v>45</v>
      </c>
      <c r="AL25" s="65" t="e">
        <f t="shared" si="7"/>
        <v>#DIV/0!</v>
      </c>
      <c r="AM25" s="66" t="e">
        <f t="shared" si="8"/>
        <v>#DIV/0!</v>
      </c>
      <c r="AN25" s="67" t="e">
        <f t="shared" si="9"/>
        <v>#DIV/0!</v>
      </c>
      <c r="AO25" s="68"/>
      <c r="AP25" s="166">
        <v>2</v>
      </c>
      <c r="AQ25" s="166">
        <v>1</v>
      </c>
      <c r="AR25" s="167"/>
      <c r="AS25" s="71"/>
      <c r="AT25" s="72"/>
      <c r="AU25" s="131"/>
      <c r="AV25" s="131"/>
      <c r="AW25" s="72"/>
      <c r="AX25" s="73"/>
      <c r="AY25" s="74">
        <f t="shared" si="11"/>
        <v>0</v>
      </c>
      <c r="AZ25" s="74">
        <f t="shared" si="1"/>
        <v>0</v>
      </c>
    </row>
    <row r="26" spans="1:52" s="75" customFormat="1" ht="21" customHeight="1" thickBot="1" x14ac:dyDescent="0.2">
      <c r="A26" s="45"/>
      <c r="B26" s="46"/>
      <c r="C26" s="232" t="s">
        <v>63</v>
      </c>
      <c r="D26" s="233"/>
      <c r="E26" s="233"/>
      <c r="F26" s="233"/>
      <c r="G26" s="234"/>
      <c r="H26" s="122"/>
      <c r="I26" s="89"/>
      <c r="J26" s="89"/>
      <c r="K26" s="89"/>
      <c r="L26" s="89"/>
      <c r="M26" s="89"/>
      <c r="N26" s="90">
        <f>I26*I25+J26*J25+K26*K25+L26*L25+M26*M25</f>
        <v>0</v>
      </c>
      <c r="O26" s="91"/>
      <c r="P26" s="92"/>
      <c r="Q26" s="93"/>
      <c r="R26" s="93"/>
      <c r="S26" s="94"/>
      <c r="T26" s="95"/>
      <c r="U26" s="56"/>
      <c r="V26" s="59"/>
      <c r="W26" s="96"/>
      <c r="X26" s="97"/>
      <c r="Y26" s="98"/>
      <c r="Z26" s="97"/>
      <c r="AA26" s="99"/>
      <c r="AB26" s="58"/>
      <c r="AC26" s="59"/>
      <c r="AD26" s="56"/>
      <c r="AE26" s="56"/>
      <c r="AF26" s="157"/>
      <c r="AG26" s="100"/>
      <c r="AH26" s="63"/>
      <c r="AI26" s="101"/>
      <c r="AJ26" s="93"/>
      <c r="AK26" s="63"/>
      <c r="AL26" s="67"/>
      <c r="AM26" s="68"/>
      <c r="AN26" s="69"/>
      <c r="AO26" s="69"/>
      <c r="AP26" s="70"/>
      <c r="AQ26" s="71"/>
      <c r="AR26" s="72"/>
      <c r="AS26" s="72"/>
      <c r="AT26" s="72"/>
      <c r="AU26" s="72"/>
      <c r="AV26" s="73"/>
      <c r="AW26" s="74"/>
      <c r="AX26" s="74"/>
      <c r="AZ26" s="75">
        <f t="shared" si="1"/>
        <v>0</v>
      </c>
    </row>
    <row r="27" spans="1:52" s="75" customFormat="1" ht="39.75" customHeight="1" thickBot="1" x14ac:dyDescent="0.2">
      <c r="A27" s="45"/>
      <c r="B27" s="87"/>
      <c r="C27" s="205"/>
      <c r="D27" s="168"/>
      <c r="E27" s="159"/>
      <c r="F27" s="198"/>
      <c r="G27" s="103"/>
      <c r="H27" s="160"/>
      <c r="I27" s="195"/>
      <c r="J27" s="129"/>
      <c r="K27" s="124"/>
      <c r="L27" s="49"/>
      <c r="M27" s="51"/>
      <c r="N27" s="102">
        <f t="shared" si="0"/>
        <v>0</v>
      </c>
      <c r="O27" s="53">
        <v>1</v>
      </c>
      <c r="P27" s="202"/>
      <c r="Q27" s="125"/>
      <c r="R27" s="206"/>
      <c r="S27" s="76"/>
      <c r="T27" s="95"/>
      <c r="U27" s="56">
        <f t="shared" si="12"/>
        <v>0</v>
      </c>
      <c r="V27" s="59">
        <f t="shared" si="2"/>
        <v>0</v>
      </c>
      <c r="W27" s="131"/>
      <c r="X27" s="131"/>
      <c r="Y27" s="183"/>
      <c r="Z27" s="97"/>
      <c r="AA27" s="99"/>
      <c r="AB27" s="58" t="e">
        <f t="shared" si="3"/>
        <v>#DIV/0!</v>
      </c>
      <c r="AC27" s="59" t="e">
        <f t="shared" si="4"/>
        <v>#DIV/0!</v>
      </c>
      <c r="AD27" s="60"/>
      <c r="AE27" s="56" t="e">
        <f t="shared" si="5"/>
        <v>#DIV/0!</v>
      </c>
      <c r="AF27" s="61"/>
      <c r="AG27" s="62"/>
      <c r="AH27" s="63" t="e">
        <f t="shared" si="6"/>
        <v>#DIV/0!</v>
      </c>
      <c r="AI27" s="64">
        <v>10</v>
      </c>
      <c r="AJ27" s="64">
        <v>10</v>
      </c>
      <c r="AK27" s="64">
        <v>45</v>
      </c>
      <c r="AL27" s="65" t="e">
        <f t="shared" si="7"/>
        <v>#DIV/0!</v>
      </c>
      <c r="AM27" s="66" t="e">
        <f t="shared" si="8"/>
        <v>#DIV/0!</v>
      </c>
      <c r="AN27" s="67" t="e">
        <f t="shared" si="9"/>
        <v>#DIV/0!</v>
      </c>
      <c r="AO27" s="68"/>
      <c r="AP27" s="166">
        <v>1</v>
      </c>
      <c r="AQ27" s="166">
        <v>1</v>
      </c>
      <c r="AR27" s="167"/>
      <c r="AS27" s="128"/>
      <c r="AT27" s="72"/>
      <c r="AU27" s="131"/>
      <c r="AV27" s="131"/>
      <c r="AW27" s="72"/>
      <c r="AX27" s="73"/>
      <c r="AY27" s="74">
        <f t="shared" si="11"/>
        <v>0</v>
      </c>
      <c r="AZ27" s="74">
        <f t="shared" si="1"/>
        <v>0</v>
      </c>
    </row>
    <row r="28" spans="1:52" s="75" customFormat="1" ht="21" customHeight="1" thickBot="1" x14ac:dyDescent="0.2">
      <c r="A28" s="45"/>
      <c r="B28" s="46"/>
      <c r="C28" s="232" t="s">
        <v>63</v>
      </c>
      <c r="D28" s="233"/>
      <c r="E28" s="233"/>
      <c r="F28" s="233"/>
      <c r="G28" s="234"/>
      <c r="H28" s="122"/>
      <c r="I28" s="130"/>
      <c r="J28" s="89"/>
      <c r="K28" s="89"/>
      <c r="L28" s="89"/>
      <c r="M28" s="89"/>
      <c r="N28" s="90">
        <f>I28*I27+J28*J27+K28*K27+L28*L27+M28*M27</f>
        <v>0</v>
      </c>
      <c r="O28" s="91"/>
      <c r="P28" s="92"/>
      <c r="Q28" s="93"/>
      <c r="R28" s="93"/>
      <c r="S28" s="94"/>
      <c r="T28" s="95"/>
      <c r="U28" s="56"/>
      <c r="V28" s="59"/>
      <c r="W28" s="96"/>
      <c r="X28" s="97"/>
      <c r="Y28" s="98"/>
      <c r="Z28" s="97"/>
      <c r="AA28" s="99"/>
      <c r="AB28" s="58"/>
      <c r="AC28" s="59"/>
      <c r="AD28" s="56"/>
      <c r="AE28" s="56"/>
      <c r="AF28" s="157"/>
      <c r="AG28" s="100"/>
      <c r="AH28" s="63"/>
      <c r="AI28" s="101"/>
      <c r="AJ28" s="93"/>
      <c r="AK28" s="63"/>
      <c r="AL28" s="67"/>
      <c r="AM28" s="68"/>
      <c r="AN28" s="69"/>
      <c r="AO28" s="69"/>
      <c r="AP28" s="70"/>
      <c r="AQ28" s="71"/>
      <c r="AR28" s="72"/>
      <c r="AS28" s="72"/>
      <c r="AT28" s="72"/>
      <c r="AU28" s="72"/>
      <c r="AV28" s="73"/>
      <c r="AW28" s="74"/>
      <c r="AX28" s="74"/>
      <c r="AZ28" s="75">
        <f t="shared" si="1"/>
        <v>0</v>
      </c>
    </row>
    <row r="29" spans="1:52" s="75" customFormat="1" ht="39.75" customHeight="1" thickBot="1" x14ac:dyDescent="0.2">
      <c r="A29" s="45"/>
      <c r="B29" s="87"/>
      <c r="C29" s="168"/>
      <c r="D29" s="159"/>
      <c r="E29" s="200"/>
      <c r="F29" s="134"/>
      <c r="G29" s="201"/>
      <c r="H29" s="170"/>
      <c r="I29" s="195"/>
      <c r="J29" s="129"/>
      <c r="K29" s="124"/>
      <c r="L29" s="49"/>
      <c r="M29" s="51"/>
      <c r="N29" s="102">
        <f t="shared" ref="N29" si="13">SUM(I29:M29)</f>
        <v>0</v>
      </c>
      <c r="O29" s="53">
        <v>1</v>
      </c>
      <c r="P29" s="192"/>
      <c r="Q29" s="125"/>
      <c r="R29" s="193"/>
      <c r="S29" s="194"/>
      <c r="T29" s="95"/>
      <c r="U29" s="56">
        <f t="shared" ref="U29" si="14">ROUND(((P29*I29)+(Q29*J29)+(R29*K29)+(S29*L29)+(T29*M29))*O29,2)</f>
        <v>0</v>
      </c>
      <c r="V29" s="59">
        <f t="shared" ref="V29" si="15">IF(U29&gt;=15,15,U29)</f>
        <v>0</v>
      </c>
      <c r="W29" s="131"/>
      <c r="X29" s="127"/>
      <c r="Y29" s="164"/>
      <c r="Z29" s="77"/>
      <c r="AA29" s="99"/>
      <c r="AB29" s="58" t="e">
        <f t="shared" ref="AB29" si="16">ROUND((((W29*I29)+(X29*J29)+(Y29*K29)+(Z29*L29)+(AA29*M29))/$I$2),2)*13</f>
        <v>#DIV/0!</v>
      </c>
      <c r="AC29" s="59" t="e">
        <f t="shared" ref="AC29" si="17">IF(AB29&gt;=13,13,AB29)</f>
        <v>#DIV/0!</v>
      </c>
      <c r="AD29" s="60"/>
      <c r="AE29" s="56" t="e">
        <f t="shared" ref="AE29" si="18">IF((AC29+AD29)&gt;=15,15,(AC29+AD29))</f>
        <v>#DIV/0!</v>
      </c>
      <c r="AF29" s="61"/>
      <c r="AG29" s="62"/>
      <c r="AH29" s="63" t="e">
        <f t="shared" ref="AH29" si="19">IF((V29+AE29+AF29)&gt;=30,30,(V29+AE29+AF29))</f>
        <v>#DIV/0!</v>
      </c>
      <c r="AI29" s="64">
        <v>10</v>
      </c>
      <c r="AJ29" s="64">
        <v>10</v>
      </c>
      <c r="AK29" s="64">
        <v>45</v>
      </c>
      <c r="AL29" s="65" t="e">
        <f t="shared" ref="AL29" si="20">V29+AE29+AF29+AI29+AJ29+AK29+AG29</f>
        <v>#DIV/0!</v>
      </c>
      <c r="AM29" s="66" t="e">
        <f t="shared" ref="AM29" si="21">IF(AH29+AI29+AJ29+AK29+AG29&gt;=95,95,AH29+AI29+AJ29+AK29+AG29)</f>
        <v>#DIV/0!</v>
      </c>
      <c r="AN29" s="67" t="e">
        <f t="shared" ref="AN29" si="22">-((50-((176+(45+(50-AH29)))))/200)</f>
        <v>#DIV/0!</v>
      </c>
      <c r="AO29" s="197"/>
      <c r="AP29" s="69">
        <f t="shared" ref="AP29:AQ29" si="23">100%+AO29</f>
        <v>1</v>
      </c>
      <c r="AQ29" s="69">
        <f t="shared" si="23"/>
        <v>2</v>
      </c>
      <c r="AR29" s="70"/>
      <c r="AS29" s="128"/>
      <c r="AT29" s="131"/>
      <c r="AU29" s="131"/>
      <c r="AV29" s="131"/>
      <c r="AW29" s="72"/>
      <c r="AX29" s="73"/>
      <c r="AY29" s="74">
        <f t="shared" ref="AY29" si="24">AT29+AU29+AV29+AW29+AX29</f>
        <v>0</v>
      </c>
      <c r="AZ29" s="74">
        <f t="shared" si="1"/>
        <v>0</v>
      </c>
    </row>
    <row r="30" spans="1:52" s="75" customFormat="1" ht="21" customHeight="1" thickBot="1" x14ac:dyDescent="0.2">
      <c r="A30" s="45"/>
      <c r="B30" s="46"/>
      <c r="C30" s="232" t="s">
        <v>63</v>
      </c>
      <c r="D30" s="233"/>
      <c r="E30" s="233"/>
      <c r="F30" s="233"/>
      <c r="G30" s="234"/>
      <c r="H30" s="122"/>
      <c r="I30" s="130"/>
      <c r="J30" s="89"/>
      <c r="K30" s="89"/>
      <c r="L30" s="89"/>
      <c r="M30" s="89"/>
      <c r="N30" s="90">
        <f>I30*I29+J30*J29+K30*K29+L30*L29+M30*M29</f>
        <v>0</v>
      </c>
      <c r="O30" s="91"/>
      <c r="P30" s="92"/>
      <c r="Q30" s="93"/>
      <c r="R30" s="93"/>
      <c r="S30" s="94"/>
      <c r="T30" s="95"/>
      <c r="U30" s="56"/>
      <c r="V30" s="59"/>
      <c r="W30" s="96"/>
      <c r="X30" s="97"/>
      <c r="Y30" s="98"/>
      <c r="Z30" s="97"/>
      <c r="AA30" s="99"/>
      <c r="AB30" s="58"/>
      <c r="AC30" s="59"/>
      <c r="AD30" s="56"/>
      <c r="AE30" s="56"/>
      <c r="AF30" s="157"/>
      <c r="AG30" s="100"/>
      <c r="AH30" s="63"/>
      <c r="AI30" s="101"/>
      <c r="AJ30" s="93"/>
      <c r="AK30" s="63"/>
      <c r="AL30" s="67"/>
      <c r="AM30" s="68"/>
      <c r="AN30" s="69"/>
      <c r="AO30" s="69"/>
      <c r="AP30" s="70"/>
      <c r="AQ30" s="71"/>
      <c r="AR30" s="72"/>
      <c r="AS30" s="72"/>
      <c r="AT30" s="72"/>
      <c r="AU30" s="72"/>
      <c r="AV30" s="73"/>
      <c r="AW30" s="74"/>
      <c r="AX30" s="74"/>
      <c r="AZ30" s="75">
        <f t="shared" si="1"/>
        <v>0</v>
      </c>
    </row>
    <row r="31" spans="1:52" s="75" customFormat="1" ht="39.75" customHeight="1" thickBot="1" x14ac:dyDescent="0.2">
      <c r="A31" s="45"/>
      <c r="B31" s="87"/>
      <c r="C31" s="168"/>
      <c r="D31" s="205"/>
      <c r="E31" s="168"/>
      <c r="F31" s="134"/>
      <c r="G31" s="103"/>
      <c r="H31" s="160"/>
      <c r="I31" s="195"/>
      <c r="J31" s="129"/>
      <c r="K31" s="124"/>
      <c r="L31" s="49"/>
      <c r="M31" s="104"/>
      <c r="N31" s="102">
        <f t="shared" si="0"/>
        <v>0</v>
      </c>
      <c r="O31" s="53">
        <v>1</v>
      </c>
      <c r="P31" s="207"/>
      <c r="Q31" s="208"/>
      <c r="R31" s="193"/>
      <c r="S31" s="194"/>
      <c r="T31" s="95"/>
      <c r="U31" s="56">
        <f t="shared" si="12"/>
        <v>0</v>
      </c>
      <c r="V31" s="59">
        <f t="shared" si="2"/>
        <v>0</v>
      </c>
      <c r="W31" s="209"/>
      <c r="X31" s="126"/>
      <c r="Y31" s="131"/>
      <c r="Z31" s="199"/>
      <c r="AA31" s="99"/>
      <c r="AB31" s="58" t="e">
        <f t="shared" si="3"/>
        <v>#DIV/0!</v>
      </c>
      <c r="AC31" s="59" t="e">
        <f t="shared" si="4"/>
        <v>#DIV/0!</v>
      </c>
      <c r="AD31" s="60"/>
      <c r="AE31" s="56" t="e">
        <f t="shared" si="5"/>
        <v>#DIV/0!</v>
      </c>
      <c r="AF31" s="61"/>
      <c r="AG31" s="62"/>
      <c r="AH31" s="63" t="e">
        <f t="shared" si="6"/>
        <v>#DIV/0!</v>
      </c>
      <c r="AI31" s="64">
        <v>10</v>
      </c>
      <c r="AJ31" s="64">
        <v>10</v>
      </c>
      <c r="AK31" s="64">
        <v>45</v>
      </c>
      <c r="AL31" s="65" t="e">
        <f t="shared" si="7"/>
        <v>#DIV/0!</v>
      </c>
      <c r="AM31" s="66" t="e">
        <f t="shared" si="8"/>
        <v>#DIV/0!</v>
      </c>
      <c r="AN31" s="67" t="e">
        <f t="shared" si="9"/>
        <v>#DIV/0!</v>
      </c>
      <c r="AO31" s="68"/>
      <c r="AP31" s="166">
        <v>1</v>
      </c>
      <c r="AQ31" s="166">
        <v>1</v>
      </c>
      <c r="AR31" s="167"/>
      <c r="AS31" s="71"/>
      <c r="AT31" s="131"/>
      <c r="AU31" s="131"/>
      <c r="AV31" s="131"/>
      <c r="AW31" s="72"/>
      <c r="AX31" s="73"/>
      <c r="AY31" s="74">
        <f t="shared" si="11"/>
        <v>0</v>
      </c>
      <c r="AZ31" s="74">
        <f t="shared" si="1"/>
        <v>0</v>
      </c>
    </row>
    <row r="32" spans="1:52" s="75" customFormat="1" ht="21" customHeight="1" thickBot="1" x14ac:dyDescent="0.2">
      <c r="A32" s="45"/>
      <c r="B32" s="46"/>
      <c r="C32" s="232" t="s">
        <v>63</v>
      </c>
      <c r="D32" s="233"/>
      <c r="E32" s="233"/>
      <c r="F32" s="233"/>
      <c r="G32" s="234"/>
      <c r="H32" s="122"/>
      <c r="I32" s="130"/>
      <c r="J32" s="130"/>
      <c r="K32" s="89"/>
      <c r="L32" s="89"/>
      <c r="M32" s="89"/>
      <c r="N32" s="90">
        <f>I32*I31+J32*J31+K32*K31+L32*L31+M32*M31</f>
        <v>0</v>
      </c>
      <c r="O32" s="91"/>
      <c r="P32" s="92"/>
      <c r="Q32" s="93"/>
      <c r="R32" s="93"/>
      <c r="S32" s="94"/>
      <c r="T32" s="95"/>
      <c r="U32" s="56"/>
      <c r="V32" s="59"/>
      <c r="W32" s="96"/>
      <c r="X32" s="97"/>
      <c r="Y32" s="98"/>
      <c r="Z32" s="97"/>
      <c r="AA32" s="99"/>
      <c r="AB32" s="58"/>
      <c r="AC32" s="59"/>
      <c r="AD32" s="56"/>
      <c r="AE32" s="56"/>
      <c r="AF32" s="157"/>
      <c r="AG32" s="100"/>
      <c r="AH32" s="63"/>
      <c r="AI32" s="101"/>
      <c r="AJ32" s="93"/>
      <c r="AK32" s="63"/>
      <c r="AL32" s="67"/>
      <c r="AM32" s="68"/>
      <c r="AN32" s="69"/>
      <c r="AO32" s="69"/>
      <c r="AP32" s="70"/>
      <c r="AQ32" s="71"/>
      <c r="AR32" s="72"/>
      <c r="AS32" s="72"/>
      <c r="AT32" s="72"/>
      <c r="AU32" s="72"/>
      <c r="AV32" s="73"/>
      <c r="AW32" s="74"/>
      <c r="AX32" s="74"/>
      <c r="AZ32" s="75">
        <f t="shared" si="1"/>
        <v>0</v>
      </c>
    </row>
    <row r="33" spans="1:52" s="75" customFormat="1" ht="39.75" customHeight="1" thickBot="1" x14ac:dyDescent="0.2">
      <c r="A33" s="45"/>
      <c r="B33" s="87"/>
      <c r="C33" s="168"/>
      <c r="D33" s="159"/>
      <c r="E33" s="200"/>
      <c r="F33" s="198"/>
      <c r="G33" s="103"/>
      <c r="H33" s="160"/>
      <c r="I33" s="195"/>
      <c r="J33" s="129"/>
      <c r="K33" s="124"/>
      <c r="L33" s="49"/>
      <c r="M33" s="104"/>
      <c r="N33" s="52">
        <f t="shared" si="0"/>
        <v>0</v>
      </c>
      <c r="O33" s="53">
        <v>1</v>
      </c>
      <c r="P33" s="202"/>
      <c r="Q33" s="125"/>
      <c r="R33" s="125"/>
      <c r="S33" s="76"/>
      <c r="T33" s="95"/>
      <c r="U33" s="56">
        <f t="shared" si="12"/>
        <v>0</v>
      </c>
      <c r="V33" s="59">
        <f t="shared" si="2"/>
        <v>0</v>
      </c>
      <c r="W33" s="131"/>
      <c r="X33" s="131"/>
      <c r="Y33" s="131"/>
      <c r="Z33" s="196"/>
      <c r="AA33" s="99"/>
      <c r="AB33" s="58" t="e">
        <f t="shared" si="3"/>
        <v>#DIV/0!</v>
      </c>
      <c r="AC33" s="59" t="e">
        <f t="shared" si="4"/>
        <v>#DIV/0!</v>
      </c>
      <c r="AD33" s="60"/>
      <c r="AE33" s="56" t="e">
        <f t="shared" si="5"/>
        <v>#DIV/0!</v>
      </c>
      <c r="AF33" s="61"/>
      <c r="AG33" s="62"/>
      <c r="AH33" s="63" t="e">
        <f t="shared" si="6"/>
        <v>#DIV/0!</v>
      </c>
      <c r="AI33" s="64">
        <v>10</v>
      </c>
      <c r="AJ33" s="64">
        <v>10</v>
      </c>
      <c r="AK33" s="64">
        <v>45</v>
      </c>
      <c r="AL33" s="65" t="e">
        <f t="shared" si="7"/>
        <v>#DIV/0!</v>
      </c>
      <c r="AM33" s="66" t="e">
        <f t="shared" si="8"/>
        <v>#DIV/0!</v>
      </c>
      <c r="AN33" s="67" t="e">
        <f t="shared" si="9"/>
        <v>#DIV/0!</v>
      </c>
      <c r="AO33" s="68"/>
      <c r="AP33" s="166">
        <v>1</v>
      </c>
      <c r="AQ33" s="166">
        <v>1</v>
      </c>
      <c r="AR33" s="167"/>
      <c r="AS33" s="128"/>
      <c r="AT33" s="131"/>
      <c r="AU33" s="131"/>
      <c r="AV33" s="131"/>
      <c r="AW33" s="72"/>
      <c r="AX33" s="73"/>
      <c r="AY33" s="74">
        <f t="shared" si="11"/>
        <v>0</v>
      </c>
      <c r="AZ33" s="74">
        <f t="shared" si="1"/>
        <v>0</v>
      </c>
    </row>
    <row r="34" spans="1:52" s="75" customFormat="1" ht="21" customHeight="1" thickBot="1" x14ac:dyDescent="0.2">
      <c r="A34" s="45"/>
      <c r="B34" s="46"/>
      <c r="C34" s="232" t="s">
        <v>63</v>
      </c>
      <c r="D34" s="233"/>
      <c r="E34" s="233"/>
      <c r="F34" s="233"/>
      <c r="G34" s="234"/>
      <c r="H34" s="122"/>
      <c r="I34" s="130"/>
      <c r="J34" s="130"/>
      <c r="K34" s="89"/>
      <c r="L34" s="89"/>
      <c r="M34" s="89"/>
      <c r="N34" s="90">
        <f>I34*I33+J34*J33+K34*K33+L34*L33+M34*M33</f>
        <v>0</v>
      </c>
      <c r="O34" s="91"/>
      <c r="P34" s="92"/>
      <c r="Q34" s="93"/>
      <c r="R34" s="93"/>
      <c r="S34" s="94"/>
      <c r="T34" s="95"/>
      <c r="U34" s="56"/>
      <c r="V34" s="59"/>
      <c r="W34" s="96"/>
      <c r="X34" s="97"/>
      <c r="Y34" s="98"/>
      <c r="Z34" s="97"/>
      <c r="AA34" s="99"/>
      <c r="AB34" s="58"/>
      <c r="AC34" s="59"/>
      <c r="AD34" s="56"/>
      <c r="AE34" s="56"/>
      <c r="AF34" s="157"/>
      <c r="AG34" s="100"/>
      <c r="AH34" s="63"/>
      <c r="AI34" s="101"/>
      <c r="AJ34" s="93"/>
      <c r="AK34" s="63"/>
      <c r="AL34" s="67"/>
      <c r="AM34" s="68"/>
      <c r="AN34" s="69"/>
      <c r="AO34" s="69"/>
      <c r="AP34" s="70"/>
      <c r="AQ34" s="71"/>
      <c r="AR34" s="72"/>
      <c r="AS34" s="72"/>
      <c r="AT34" s="72"/>
      <c r="AU34" s="72"/>
      <c r="AV34" s="73"/>
      <c r="AW34" s="74"/>
      <c r="AX34" s="74"/>
      <c r="AZ34" s="75">
        <f t="shared" si="1"/>
        <v>0</v>
      </c>
    </row>
    <row r="35" spans="1:52" s="75" customFormat="1" ht="39.75" customHeight="1" thickBot="1" x14ac:dyDescent="0.2">
      <c r="A35" s="45"/>
      <c r="B35" s="87"/>
      <c r="C35" s="168"/>
      <c r="D35" s="168"/>
      <c r="E35" s="200"/>
      <c r="F35" s="134"/>
      <c r="G35" s="210"/>
      <c r="H35" s="160"/>
      <c r="I35" s="195"/>
      <c r="J35" s="129"/>
      <c r="K35" s="124"/>
      <c r="L35" s="49"/>
      <c r="M35" s="104"/>
      <c r="N35" s="52">
        <f t="shared" si="0"/>
        <v>0</v>
      </c>
      <c r="O35" s="53">
        <v>1</v>
      </c>
      <c r="P35" s="202"/>
      <c r="Q35" s="125"/>
      <c r="R35" s="125"/>
      <c r="S35" s="55"/>
      <c r="T35" s="95"/>
      <c r="U35" s="56">
        <f t="shared" si="12"/>
        <v>0</v>
      </c>
      <c r="V35" s="59">
        <f t="shared" si="2"/>
        <v>0</v>
      </c>
      <c r="W35" s="131"/>
      <c r="X35" s="164"/>
      <c r="Y35" s="211"/>
      <c r="Z35" s="199"/>
      <c r="AA35" s="99"/>
      <c r="AB35" s="58" t="e">
        <f t="shared" si="3"/>
        <v>#DIV/0!</v>
      </c>
      <c r="AC35" s="59" t="e">
        <f t="shared" si="4"/>
        <v>#DIV/0!</v>
      </c>
      <c r="AD35" s="60"/>
      <c r="AE35" s="56" t="e">
        <f t="shared" si="5"/>
        <v>#DIV/0!</v>
      </c>
      <c r="AF35" s="61"/>
      <c r="AG35" s="62"/>
      <c r="AH35" s="63" t="e">
        <f t="shared" si="6"/>
        <v>#DIV/0!</v>
      </c>
      <c r="AI35" s="64">
        <v>10</v>
      </c>
      <c r="AJ35" s="64">
        <v>10</v>
      </c>
      <c r="AK35" s="64">
        <v>45</v>
      </c>
      <c r="AL35" s="65" t="e">
        <f t="shared" si="7"/>
        <v>#DIV/0!</v>
      </c>
      <c r="AM35" s="66" t="e">
        <f t="shared" si="8"/>
        <v>#DIV/0!</v>
      </c>
      <c r="AN35" s="67" t="e">
        <f t="shared" si="9"/>
        <v>#DIV/0!</v>
      </c>
      <c r="AO35" s="197"/>
      <c r="AP35" s="166">
        <v>2</v>
      </c>
      <c r="AQ35" s="166">
        <v>1</v>
      </c>
      <c r="AR35" s="167"/>
      <c r="AS35" s="71"/>
      <c r="AT35" s="131"/>
      <c r="AU35" s="131"/>
      <c r="AV35" s="131"/>
      <c r="AW35" s="72"/>
      <c r="AX35" s="73"/>
      <c r="AY35" s="74">
        <f t="shared" si="11"/>
        <v>0</v>
      </c>
      <c r="AZ35" s="74">
        <f t="shared" si="1"/>
        <v>0</v>
      </c>
    </row>
    <row r="36" spans="1:52" s="75" customFormat="1" ht="21" customHeight="1" thickBot="1" x14ac:dyDescent="0.2">
      <c r="A36" s="45"/>
      <c r="B36" s="46"/>
      <c r="C36" s="232" t="s">
        <v>63</v>
      </c>
      <c r="D36" s="233"/>
      <c r="E36" s="233"/>
      <c r="F36" s="233"/>
      <c r="G36" s="234"/>
      <c r="H36" s="122"/>
      <c r="I36" s="130"/>
      <c r="J36" s="89"/>
      <c r="K36" s="89"/>
      <c r="L36" s="89"/>
      <c r="M36" s="89"/>
      <c r="N36" s="90">
        <f>I36*I35+J36*J35+K36*K35+L36*L35+M36*M35</f>
        <v>0</v>
      </c>
      <c r="O36" s="91"/>
      <c r="P36" s="92"/>
      <c r="Q36" s="93"/>
      <c r="R36" s="93"/>
      <c r="S36" s="94"/>
      <c r="T36" s="95"/>
      <c r="U36" s="56"/>
      <c r="V36" s="59"/>
      <c r="W36" s="96"/>
      <c r="X36" s="97"/>
      <c r="Y36" s="98"/>
      <c r="Z36" s="97"/>
      <c r="AA36" s="99"/>
      <c r="AB36" s="58"/>
      <c r="AC36" s="59"/>
      <c r="AD36" s="56"/>
      <c r="AE36" s="56"/>
      <c r="AF36" s="157"/>
      <c r="AG36" s="100"/>
      <c r="AH36" s="63"/>
      <c r="AI36" s="101"/>
      <c r="AJ36" s="93"/>
      <c r="AK36" s="63"/>
      <c r="AL36" s="67"/>
      <c r="AM36" s="68"/>
      <c r="AN36" s="69"/>
      <c r="AO36" s="69"/>
      <c r="AP36" s="70"/>
      <c r="AQ36" s="71"/>
      <c r="AR36" s="72"/>
      <c r="AS36" s="72"/>
      <c r="AT36" s="72"/>
      <c r="AU36" s="72"/>
      <c r="AV36" s="73"/>
      <c r="AW36" s="74"/>
      <c r="AX36" s="74"/>
      <c r="AZ36" s="75">
        <f t="shared" si="1"/>
        <v>0</v>
      </c>
    </row>
    <row r="37" spans="1:52" s="75" customFormat="1" ht="39.75" customHeight="1" thickBot="1" x14ac:dyDescent="0.2">
      <c r="A37" s="45"/>
      <c r="B37" s="87"/>
      <c r="C37" s="200"/>
      <c r="D37" s="159"/>
      <c r="E37" s="205"/>
      <c r="F37" s="136"/>
      <c r="G37" s="201"/>
      <c r="H37" s="160" t="s">
        <v>64</v>
      </c>
      <c r="I37" s="195"/>
      <c r="J37" s="129"/>
      <c r="K37" s="124"/>
      <c r="L37" s="117"/>
      <c r="M37" s="51"/>
      <c r="N37" s="102">
        <f t="shared" si="0"/>
        <v>0</v>
      </c>
      <c r="O37" s="53">
        <v>1</v>
      </c>
      <c r="P37" s="125"/>
      <c r="Q37" s="125"/>
      <c r="R37" s="125"/>
      <c r="S37" s="76"/>
      <c r="T37" s="95"/>
      <c r="U37" s="56">
        <f t="shared" si="12"/>
        <v>0</v>
      </c>
      <c r="V37" s="59">
        <f t="shared" si="2"/>
        <v>0</v>
      </c>
      <c r="W37" s="131"/>
      <c r="X37" s="131"/>
      <c r="Y37" s="164"/>
      <c r="Z37" s="199"/>
      <c r="AA37" s="99"/>
      <c r="AB37" s="58" t="e">
        <f t="shared" si="3"/>
        <v>#DIV/0!</v>
      </c>
      <c r="AC37" s="59" t="e">
        <f t="shared" si="4"/>
        <v>#DIV/0!</v>
      </c>
      <c r="AD37" s="60"/>
      <c r="AE37" s="56" t="e">
        <f t="shared" si="5"/>
        <v>#DIV/0!</v>
      </c>
      <c r="AF37" s="61"/>
      <c r="AG37" s="62"/>
      <c r="AH37" s="63" t="e">
        <f t="shared" si="6"/>
        <v>#DIV/0!</v>
      </c>
      <c r="AI37" s="64">
        <v>10</v>
      </c>
      <c r="AJ37" s="64">
        <v>10</v>
      </c>
      <c r="AK37" s="64">
        <v>45</v>
      </c>
      <c r="AL37" s="65" t="e">
        <f t="shared" si="7"/>
        <v>#DIV/0!</v>
      </c>
      <c r="AM37" s="66" t="e">
        <f t="shared" si="8"/>
        <v>#DIV/0!</v>
      </c>
      <c r="AN37" s="67" t="e">
        <f t="shared" si="9"/>
        <v>#DIV/0!</v>
      </c>
      <c r="AO37" s="197"/>
      <c r="AP37" s="166">
        <v>2</v>
      </c>
      <c r="AQ37" s="166">
        <v>2</v>
      </c>
      <c r="AR37" s="70"/>
      <c r="AS37" s="71"/>
      <c r="AT37" s="131"/>
      <c r="AU37" s="131"/>
      <c r="AV37" s="72"/>
      <c r="AW37" s="72"/>
      <c r="AX37" s="73"/>
      <c r="AY37" s="74">
        <f t="shared" si="11"/>
        <v>0</v>
      </c>
      <c r="AZ37" s="74">
        <f t="shared" si="1"/>
        <v>0</v>
      </c>
    </row>
    <row r="38" spans="1:52" s="75" customFormat="1" ht="21" customHeight="1" thickBot="1" x14ac:dyDescent="0.2">
      <c r="A38" s="45"/>
      <c r="B38" s="46"/>
      <c r="C38" s="232" t="s">
        <v>63</v>
      </c>
      <c r="D38" s="233"/>
      <c r="E38" s="233"/>
      <c r="F38" s="233"/>
      <c r="G38" s="234"/>
      <c r="H38" s="122"/>
      <c r="I38" s="130"/>
      <c r="J38" s="89"/>
      <c r="K38" s="89"/>
      <c r="L38" s="89"/>
      <c r="M38" s="89"/>
      <c r="N38" s="90">
        <f>I38*I37+J38*J37+K38*K37+L38*L37+M38*M37</f>
        <v>0</v>
      </c>
      <c r="O38" s="91"/>
      <c r="P38" s="92"/>
      <c r="Q38" s="93"/>
      <c r="R38" s="93"/>
      <c r="S38" s="94"/>
      <c r="T38" s="95"/>
      <c r="U38" s="56"/>
      <c r="V38" s="59"/>
      <c r="W38" s="96"/>
      <c r="X38" s="97"/>
      <c r="Y38" s="98"/>
      <c r="Z38" s="97"/>
      <c r="AA38" s="99"/>
      <c r="AB38" s="58"/>
      <c r="AC38" s="59"/>
      <c r="AD38" s="56"/>
      <c r="AE38" s="56"/>
      <c r="AF38" s="157"/>
      <c r="AG38" s="100"/>
      <c r="AH38" s="63"/>
      <c r="AI38" s="101"/>
      <c r="AJ38" s="93"/>
      <c r="AK38" s="63"/>
      <c r="AL38" s="67"/>
      <c r="AM38" s="68"/>
      <c r="AN38" s="69"/>
      <c r="AO38" s="69"/>
      <c r="AP38" s="70"/>
      <c r="AQ38" s="71"/>
      <c r="AR38" s="72"/>
      <c r="AS38" s="72"/>
      <c r="AT38" s="72"/>
      <c r="AU38" s="72"/>
      <c r="AV38" s="73"/>
      <c r="AW38" s="74"/>
      <c r="AX38" s="74"/>
      <c r="AZ38" s="75">
        <f t="shared" si="1"/>
        <v>0</v>
      </c>
    </row>
    <row r="39" spans="1:52" s="75" customFormat="1" ht="39.75" customHeight="1" thickBot="1" x14ac:dyDescent="0.2">
      <c r="A39" s="45"/>
      <c r="B39" s="87"/>
      <c r="C39" s="168"/>
      <c r="D39" s="159"/>
      <c r="E39" s="159"/>
      <c r="F39" s="198"/>
      <c r="G39" s="201"/>
      <c r="H39" s="160"/>
      <c r="I39" s="195"/>
      <c r="J39" s="129"/>
      <c r="K39" s="124"/>
      <c r="L39" s="49"/>
      <c r="M39" s="104"/>
      <c r="N39" s="102">
        <f t="shared" ref="N39" si="25">SUM(I39:M39)</f>
        <v>0</v>
      </c>
      <c r="O39" s="53">
        <v>1</v>
      </c>
      <c r="P39" s="212"/>
      <c r="Q39" s="213"/>
      <c r="R39" s="125"/>
      <c r="S39" s="214"/>
      <c r="T39" s="95"/>
      <c r="U39" s="56">
        <f t="shared" ref="U39" si="26">ROUND(((P39*I39)+(Q39*J39)+(R39*K39)+(S39*L39)+(T39*M39))*O39,2)</f>
        <v>0</v>
      </c>
      <c r="V39" s="59">
        <f t="shared" ref="V39" si="27">IF(U39&gt;=15,15,U39)</f>
        <v>0</v>
      </c>
      <c r="W39" s="131"/>
      <c r="X39" s="127"/>
      <c r="Y39" s="131"/>
      <c r="Z39" s="57"/>
      <c r="AA39" s="99"/>
      <c r="AB39" s="58" t="e">
        <f t="shared" ref="AB39" si="28">ROUND((((W39*I39)+(X39*J39)+(Y39*K39)+(Z39*L39)+(AA39*M39))/$I$2),2)*13</f>
        <v>#DIV/0!</v>
      </c>
      <c r="AC39" s="59" t="e">
        <f t="shared" ref="AC39" si="29">IF(AB39&gt;=13,13,AB39)</f>
        <v>#DIV/0!</v>
      </c>
      <c r="AD39" s="60"/>
      <c r="AE39" s="56" t="e">
        <f t="shared" ref="AE39" si="30">IF((AC39+AD39)&gt;=15,15,(AC39+AD39))</f>
        <v>#DIV/0!</v>
      </c>
      <c r="AF39" s="61"/>
      <c r="AG39" s="62"/>
      <c r="AH39" s="63" t="e">
        <f t="shared" ref="AH39" si="31">IF((V39+AE39+AF39)&gt;=30,30,(V39+AE39+AF39))</f>
        <v>#DIV/0!</v>
      </c>
      <c r="AI39" s="64">
        <v>10</v>
      </c>
      <c r="AJ39" s="64">
        <v>10</v>
      </c>
      <c r="AK39" s="64">
        <v>45</v>
      </c>
      <c r="AL39" s="65" t="e">
        <f t="shared" ref="AL39" si="32">V39+AE39+AF39+AI39+AJ39+AK39+AG39</f>
        <v>#DIV/0!</v>
      </c>
      <c r="AM39" s="66" t="e">
        <f t="shared" ref="AM39" si="33">IF(AH39+AI39+AJ39+AK39+AG39&gt;=95,95,AH39+AI39+AJ39+AK39+AG39)</f>
        <v>#DIV/0!</v>
      </c>
      <c r="AN39" s="67" t="e">
        <f t="shared" ref="AN39" si="34">-((50-((176+(45+(50-AH39)))))/200)</f>
        <v>#DIV/0!</v>
      </c>
      <c r="AO39" s="197"/>
      <c r="AP39" s="166">
        <v>2</v>
      </c>
      <c r="AQ39" s="166">
        <v>1</v>
      </c>
      <c r="AR39" s="70"/>
      <c r="AS39" s="128"/>
      <c r="AT39" s="131"/>
      <c r="AU39" s="72"/>
      <c r="AV39" s="72"/>
      <c r="AW39" s="72"/>
      <c r="AX39" s="73"/>
      <c r="AY39" s="74">
        <f t="shared" ref="AY39" si="35">AT39+AU39+AV39+AW39+AX39</f>
        <v>0</v>
      </c>
      <c r="AZ39" s="74">
        <f t="shared" si="1"/>
        <v>0</v>
      </c>
    </row>
    <row r="40" spans="1:52" s="75" customFormat="1" ht="21" customHeight="1" thickBot="1" x14ac:dyDescent="0.2">
      <c r="A40" s="45"/>
      <c r="B40" s="46"/>
      <c r="C40" s="232" t="s">
        <v>63</v>
      </c>
      <c r="D40" s="233"/>
      <c r="E40" s="233"/>
      <c r="F40" s="233"/>
      <c r="G40" s="234"/>
      <c r="H40" s="122"/>
      <c r="I40" s="130"/>
      <c r="J40" s="130"/>
      <c r="K40" s="89"/>
      <c r="L40" s="89"/>
      <c r="M40" s="89"/>
      <c r="N40" s="90">
        <f>I40*I39+J40*J39+K40*K39+L40*L39+M40*M39</f>
        <v>0</v>
      </c>
      <c r="O40" s="91"/>
      <c r="P40" s="92"/>
      <c r="Q40" s="93"/>
      <c r="R40" s="93"/>
      <c r="S40" s="94"/>
      <c r="T40" s="95"/>
      <c r="U40" s="56"/>
      <c r="V40" s="59"/>
      <c r="W40" s="96"/>
      <c r="X40" s="97"/>
      <c r="Y40" s="98"/>
      <c r="Z40" s="97"/>
      <c r="AA40" s="99"/>
      <c r="AB40" s="58"/>
      <c r="AC40" s="59"/>
      <c r="AD40" s="56"/>
      <c r="AE40" s="56"/>
      <c r="AF40" s="157"/>
      <c r="AG40" s="100"/>
      <c r="AH40" s="63"/>
      <c r="AI40" s="101"/>
      <c r="AJ40" s="93"/>
      <c r="AK40" s="63"/>
      <c r="AL40" s="67"/>
      <c r="AM40" s="68"/>
      <c r="AN40" s="69"/>
      <c r="AO40" s="69"/>
      <c r="AP40" s="70"/>
      <c r="AQ40" s="71"/>
      <c r="AR40" s="72"/>
      <c r="AS40" s="72"/>
      <c r="AT40" s="72"/>
      <c r="AU40" s="72"/>
      <c r="AV40" s="73"/>
      <c r="AW40" s="74"/>
      <c r="AX40" s="74"/>
      <c r="AZ40" s="75">
        <f t="shared" si="1"/>
        <v>0</v>
      </c>
    </row>
    <row r="41" spans="1:52" s="75" customFormat="1" ht="39.75" customHeight="1" thickBot="1" x14ac:dyDescent="0.2">
      <c r="A41" s="45"/>
      <c r="B41" s="87"/>
      <c r="C41" s="168"/>
      <c r="D41" s="200"/>
      <c r="E41" s="115"/>
      <c r="F41" s="115" t="s">
        <v>65</v>
      </c>
      <c r="G41" s="170"/>
      <c r="H41" s="160"/>
      <c r="I41" s="124"/>
      <c r="J41" s="215"/>
      <c r="K41" s="50"/>
      <c r="L41" s="50"/>
      <c r="M41" s="104"/>
      <c r="N41" s="102">
        <f t="shared" ref="N41" si="36">SUM(I41:M41)</f>
        <v>0</v>
      </c>
      <c r="O41" s="53">
        <v>1</v>
      </c>
      <c r="P41" s="202"/>
      <c r="Q41" s="125"/>
      <c r="R41" s="55"/>
      <c r="S41" s="194"/>
      <c r="T41" s="95"/>
      <c r="U41" s="56">
        <f t="shared" ref="U41" si="37">ROUND(((P41*I41)+(Q41*J41)+(R41*K41)+(S41*L41)+(T41*M41))*O41,2)</f>
        <v>0</v>
      </c>
      <c r="V41" s="59">
        <f t="shared" ref="V41" si="38">IF(U41&gt;=15,15,U41)</f>
        <v>0</v>
      </c>
      <c r="W41" s="216"/>
      <c r="X41" s="217"/>
      <c r="Y41" s="106"/>
      <c r="Z41" s="57"/>
      <c r="AA41" s="99"/>
      <c r="AB41" s="58" t="e">
        <f t="shared" ref="AB41" si="39">ROUND((((W41*I41)+(X41*J41)+(Y41*K41)+(Z41*L41)+(AA41*M41))/$I$2),2)*13</f>
        <v>#DIV/0!</v>
      </c>
      <c r="AC41" s="59" t="e">
        <f t="shared" ref="AC41" si="40">IF(AB41&gt;=13,13,AB41)</f>
        <v>#DIV/0!</v>
      </c>
      <c r="AD41" s="60"/>
      <c r="AE41" s="56" t="e">
        <f t="shared" ref="AE41" si="41">IF((AC41+AD41)&gt;=15,15,(AC41+AD41))</f>
        <v>#DIV/0!</v>
      </c>
      <c r="AF41" s="61"/>
      <c r="AG41" s="62"/>
      <c r="AH41" s="63" t="e">
        <f t="shared" ref="AH41" si="42">IF((V41+AE41+AF41)&gt;=30,30,(V41+AE41+AF41))</f>
        <v>#DIV/0!</v>
      </c>
      <c r="AI41" s="64">
        <v>10</v>
      </c>
      <c r="AJ41" s="64">
        <v>10</v>
      </c>
      <c r="AK41" s="64">
        <v>45</v>
      </c>
      <c r="AL41" s="65" t="e">
        <f t="shared" ref="AL41" si="43">V41+AE41+AF41+AI41+AJ41+AK41+AG41</f>
        <v>#DIV/0!</v>
      </c>
      <c r="AM41" s="66" t="e">
        <f t="shared" ref="AM41" si="44">IF(AH41+AI41+AJ41+AK41+AG41&gt;=95,95,AH41+AI41+AJ41+AK41+AG41)</f>
        <v>#DIV/0!</v>
      </c>
      <c r="AN41" s="67" t="e">
        <f t="shared" ref="AN41" si="45">-((50-((176+(45+(50-AH41)))))/200)</f>
        <v>#DIV/0!</v>
      </c>
      <c r="AO41" s="68"/>
      <c r="AP41" s="69">
        <f t="shared" ref="AP41:AQ41" si="46">100%+AO41</f>
        <v>1</v>
      </c>
      <c r="AQ41" s="69">
        <f t="shared" si="46"/>
        <v>2</v>
      </c>
      <c r="AR41" s="167"/>
      <c r="AS41" s="71"/>
      <c r="AT41" s="131"/>
      <c r="AU41" s="131"/>
      <c r="AV41" s="72"/>
      <c r="AW41" s="72"/>
      <c r="AX41" s="73"/>
      <c r="AY41" s="74">
        <f t="shared" ref="AY41" si="47">AT41+AU41+AV41+AW41+AX41</f>
        <v>0</v>
      </c>
      <c r="AZ41" s="74">
        <f t="shared" si="1"/>
        <v>0</v>
      </c>
    </row>
    <row r="42" spans="1:52" s="75" customFormat="1" ht="19.5" customHeight="1" thickBot="1" x14ac:dyDescent="0.2">
      <c r="A42" s="45"/>
      <c r="B42" s="46"/>
      <c r="C42" s="232" t="s">
        <v>63</v>
      </c>
      <c r="D42" s="233"/>
      <c r="E42" s="233"/>
      <c r="F42" s="233"/>
      <c r="G42" s="234"/>
      <c r="H42" s="122"/>
      <c r="I42" s="89"/>
      <c r="J42" s="130"/>
      <c r="K42" s="89"/>
      <c r="L42" s="89"/>
      <c r="M42" s="89"/>
      <c r="N42" s="90">
        <f>I42*I41+J42*J41+K42*K41+L42*L41+M42*M41</f>
        <v>0</v>
      </c>
      <c r="O42" s="91"/>
      <c r="P42" s="92"/>
      <c r="Q42" s="93"/>
      <c r="R42" s="93"/>
      <c r="S42" s="94"/>
      <c r="T42" s="95"/>
      <c r="U42" s="56"/>
      <c r="V42" s="59"/>
      <c r="W42" s="96"/>
      <c r="X42" s="97"/>
      <c r="Y42" s="98"/>
      <c r="Z42" s="97"/>
      <c r="AA42" s="99"/>
      <c r="AB42" s="58"/>
      <c r="AC42" s="59"/>
      <c r="AD42" s="56"/>
      <c r="AE42" s="56"/>
      <c r="AF42" s="157"/>
      <c r="AG42" s="100"/>
      <c r="AH42" s="63"/>
      <c r="AI42" s="101"/>
      <c r="AJ42" s="93"/>
      <c r="AK42" s="63"/>
      <c r="AL42" s="67"/>
      <c r="AM42" s="68"/>
      <c r="AN42" s="69"/>
      <c r="AO42" s="69"/>
      <c r="AP42" s="70"/>
      <c r="AQ42" s="71"/>
      <c r="AR42" s="72"/>
      <c r="AS42" s="72"/>
      <c r="AT42" s="72"/>
      <c r="AU42" s="72"/>
      <c r="AV42" s="73"/>
      <c r="AW42" s="74"/>
      <c r="AX42" s="74"/>
      <c r="AZ42" s="75">
        <f t="shared" si="1"/>
        <v>0</v>
      </c>
    </row>
    <row r="43" spans="1:52" s="75" customFormat="1" ht="39.75" customHeight="1" thickBot="1" x14ac:dyDescent="0.2">
      <c r="A43" s="45"/>
      <c r="B43" s="87"/>
      <c r="C43" s="134"/>
      <c r="D43" s="200"/>
      <c r="E43" s="200"/>
      <c r="F43" s="134"/>
      <c r="G43" s="103"/>
      <c r="H43" s="160"/>
      <c r="I43" s="48"/>
      <c r="J43" s="124"/>
      <c r="K43" s="124"/>
      <c r="L43" s="49"/>
      <c r="M43" s="51"/>
      <c r="N43" s="102">
        <f t="shared" si="0"/>
        <v>0</v>
      </c>
      <c r="O43" s="53">
        <v>1</v>
      </c>
      <c r="P43" s="54"/>
      <c r="Q43" s="125"/>
      <c r="R43" s="125"/>
      <c r="S43" s="76"/>
      <c r="T43" s="95"/>
      <c r="U43" s="56">
        <f t="shared" si="12"/>
        <v>0</v>
      </c>
      <c r="V43" s="59">
        <f t="shared" si="2"/>
        <v>0</v>
      </c>
      <c r="W43" s="88"/>
      <c r="X43" s="131"/>
      <c r="Y43" s="218"/>
      <c r="Z43" s="88"/>
      <c r="AA43" s="99"/>
      <c r="AB43" s="58" t="e">
        <f t="shared" si="3"/>
        <v>#DIV/0!</v>
      </c>
      <c r="AC43" s="59" t="e">
        <f t="shared" si="4"/>
        <v>#DIV/0!</v>
      </c>
      <c r="AD43" s="60"/>
      <c r="AE43" s="56" t="e">
        <f t="shared" si="5"/>
        <v>#DIV/0!</v>
      </c>
      <c r="AF43" s="61">
        <f>0.5*I43</f>
        <v>0</v>
      </c>
      <c r="AG43" s="62"/>
      <c r="AH43" s="63" t="e">
        <f t="shared" si="6"/>
        <v>#DIV/0!</v>
      </c>
      <c r="AI43" s="64">
        <v>10</v>
      </c>
      <c r="AJ43" s="64">
        <v>10</v>
      </c>
      <c r="AK43" s="64">
        <v>45</v>
      </c>
      <c r="AL43" s="65" t="e">
        <f t="shared" si="7"/>
        <v>#DIV/0!</v>
      </c>
      <c r="AM43" s="66" t="e">
        <f t="shared" si="8"/>
        <v>#DIV/0!</v>
      </c>
      <c r="AN43" s="67" t="e">
        <f t="shared" si="9"/>
        <v>#DIV/0!</v>
      </c>
      <c r="AO43" s="68"/>
      <c r="AP43" s="166">
        <v>1</v>
      </c>
      <c r="AQ43" s="69">
        <f t="shared" si="10"/>
        <v>2</v>
      </c>
      <c r="AR43" s="70"/>
      <c r="AS43" s="128"/>
      <c r="AT43" s="131"/>
      <c r="AU43" s="131"/>
      <c r="AV43" s="72"/>
      <c r="AW43" s="72"/>
      <c r="AX43" s="73"/>
      <c r="AY43" s="74">
        <f t="shared" si="11"/>
        <v>0</v>
      </c>
      <c r="AZ43" s="74">
        <f t="shared" si="1"/>
        <v>0</v>
      </c>
    </row>
    <row r="44" spans="1:52" s="75" customFormat="1" ht="19.5" customHeight="1" thickBot="1" x14ac:dyDescent="0.2">
      <c r="A44" s="45"/>
      <c r="B44" s="46"/>
      <c r="C44" s="232" t="s">
        <v>63</v>
      </c>
      <c r="D44" s="233"/>
      <c r="E44" s="233"/>
      <c r="F44" s="233"/>
      <c r="G44" s="234"/>
      <c r="H44" s="122"/>
      <c r="I44" s="130"/>
      <c r="J44" s="130"/>
      <c r="K44" s="130"/>
      <c r="L44" s="89"/>
      <c r="M44" s="89"/>
      <c r="N44" s="90">
        <f>I44*I43+J44*J43+K44*K43+L44*L43+M44*M43</f>
        <v>0</v>
      </c>
      <c r="O44" s="91"/>
      <c r="P44" s="92"/>
      <c r="Q44" s="93"/>
      <c r="R44" s="93"/>
      <c r="S44" s="94"/>
      <c r="T44" s="95"/>
      <c r="U44" s="56"/>
      <c r="V44" s="59"/>
      <c r="W44" s="96"/>
      <c r="X44" s="97"/>
      <c r="Y44" s="98"/>
      <c r="Z44" s="97"/>
      <c r="AA44" s="99"/>
      <c r="AB44" s="58"/>
      <c r="AC44" s="59"/>
      <c r="AD44" s="56"/>
      <c r="AE44" s="56"/>
      <c r="AF44" s="157"/>
      <c r="AG44" s="100"/>
      <c r="AH44" s="63"/>
      <c r="AI44" s="101"/>
      <c r="AJ44" s="93"/>
      <c r="AK44" s="63"/>
      <c r="AL44" s="67"/>
      <c r="AM44" s="68"/>
      <c r="AN44" s="69"/>
      <c r="AO44" s="69"/>
      <c r="AP44" s="70"/>
      <c r="AQ44" s="71"/>
      <c r="AR44" s="72"/>
      <c r="AS44" s="72"/>
      <c r="AT44" s="72"/>
      <c r="AU44" s="72"/>
      <c r="AV44" s="73"/>
      <c r="AW44" s="74"/>
      <c r="AX44" s="74"/>
      <c r="AZ44" s="75">
        <f t="shared" si="1"/>
        <v>0</v>
      </c>
    </row>
    <row r="45" spans="1:52" s="75" customFormat="1" ht="39.75" customHeight="1" thickBot="1" x14ac:dyDescent="0.2">
      <c r="A45" s="45"/>
      <c r="B45" s="87"/>
      <c r="C45" s="134"/>
      <c r="D45" s="159"/>
      <c r="E45" s="200"/>
      <c r="F45" s="136"/>
      <c r="G45" s="103"/>
      <c r="H45" s="160"/>
      <c r="I45" s="48"/>
      <c r="J45" s="124"/>
      <c r="K45" s="124"/>
      <c r="L45" s="49"/>
      <c r="M45" s="51"/>
      <c r="N45" s="52">
        <f t="shared" ref="N45:N57" si="48">SUM(I45:M45)</f>
        <v>0</v>
      </c>
      <c r="O45" s="53">
        <v>1</v>
      </c>
      <c r="P45" s="54"/>
      <c r="Q45" s="125"/>
      <c r="R45" s="125"/>
      <c r="S45" s="194"/>
      <c r="T45" s="95"/>
      <c r="U45" s="56">
        <f t="shared" si="12"/>
        <v>0</v>
      </c>
      <c r="V45" s="59">
        <f t="shared" si="2"/>
        <v>0</v>
      </c>
      <c r="W45" s="199"/>
      <c r="X45" s="131"/>
      <c r="Y45" s="126"/>
      <c r="Z45" s="199"/>
      <c r="AA45" s="99"/>
      <c r="AB45" s="58" t="e">
        <f t="shared" si="3"/>
        <v>#DIV/0!</v>
      </c>
      <c r="AC45" s="59" t="e">
        <f t="shared" si="4"/>
        <v>#DIV/0!</v>
      </c>
      <c r="AD45" s="60"/>
      <c r="AE45" s="56" t="e">
        <f t="shared" si="5"/>
        <v>#DIV/0!</v>
      </c>
      <c r="AF45" s="165"/>
      <c r="AG45" s="62"/>
      <c r="AH45" s="63" t="e">
        <f t="shared" si="6"/>
        <v>#DIV/0!</v>
      </c>
      <c r="AI45" s="64">
        <v>10</v>
      </c>
      <c r="AJ45" s="64">
        <v>10</v>
      </c>
      <c r="AK45" s="64">
        <v>45</v>
      </c>
      <c r="AL45" s="65" t="e">
        <f t="shared" si="7"/>
        <v>#DIV/0!</v>
      </c>
      <c r="AM45" s="66" t="e">
        <f t="shared" si="8"/>
        <v>#DIV/0!</v>
      </c>
      <c r="AN45" s="67" t="e">
        <f t="shared" si="9"/>
        <v>#DIV/0!</v>
      </c>
      <c r="AO45" s="68"/>
      <c r="AP45" s="166">
        <v>1</v>
      </c>
      <c r="AQ45" s="69">
        <f t="shared" si="10"/>
        <v>2</v>
      </c>
      <c r="AR45" s="70"/>
      <c r="AS45" s="71"/>
      <c r="AT45" s="131"/>
      <c r="AU45" s="131"/>
      <c r="AV45" s="72"/>
      <c r="AW45" s="72"/>
      <c r="AX45" s="73"/>
      <c r="AY45" s="74">
        <f t="shared" si="11"/>
        <v>0</v>
      </c>
      <c r="AZ45" s="74">
        <f t="shared" si="1"/>
        <v>0</v>
      </c>
    </row>
    <row r="46" spans="1:52" s="75" customFormat="1" ht="19.5" customHeight="1" thickBot="1" x14ac:dyDescent="0.2">
      <c r="A46" s="45"/>
      <c r="B46" s="87"/>
      <c r="C46" s="232" t="s">
        <v>63</v>
      </c>
      <c r="D46" s="233"/>
      <c r="E46" s="233"/>
      <c r="F46" s="233"/>
      <c r="G46" s="234"/>
      <c r="H46" s="122"/>
      <c r="I46" s="89"/>
      <c r="J46" s="130"/>
      <c r="K46" s="130"/>
      <c r="L46" s="89"/>
      <c r="M46" s="89"/>
      <c r="N46" s="90">
        <f>I46*I45+J46*J45+K46*K45+L46*L45+M46*M45</f>
        <v>0</v>
      </c>
      <c r="O46" s="91"/>
      <c r="P46" s="92"/>
      <c r="Q46" s="93"/>
      <c r="R46" s="93"/>
      <c r="S46" s="94"/>
      <c r="T46" s="95"/>
      <c r="U46" s="56"/>
      <c r="V46" s="59"/>
      <c r="W46" s="96"/>
      <c r="X46" s="97"/>
      <c r="Y46" s="98"/>
      <c r="Z46" s="97"/>
      <c r="AA46" s="99"/>
      <c r="AB46" s="58"/>
      <c r="AC46" s="59"/>
      <c r="AD46" s="56"/>
      <c r="AE46" s="56"/>
      <c r="AF46" s="157"/>
      <c r="AG46" s="100"/>
      <c r="AH46" s="63"/>
      <c r="AI46" s="101"/>
      <c r="AJ46" s="93"/>
      <c r="AK46" s="63"/>
      <c r="AL46" s="67"/>
      <c r="AM46" s="68"/>
      <c r="AN46" s="69"/>
      <c r="AO46" s="69"/>
      <c r="AP46" s="70"/>
      <c r="AQ46" s="71"/>
      <c r="AR46" s="72"/>
      <c r="AS46" s="72"/>
      <c r="AT46" s="72"/>
      <c r="AU46" s="72"/>
      <c r="AV46" s="73"/>
      <c r="AW46" s="74"/>
      <c r="AX46" s="74"/>
      <c r="AZ46" s="75">
        <f t="shared" si="1"/>
        <v>0</v>
      </c>
    </row>
    <row r="47" spans="1:52" s="75" customFormat="1" ht="39.75" customHeight="1" thickBot="1" x14ac:dyDescent="0.2">
      <c r="A47" s="45"/>
      <c r="B47" s="87"/>
      <c r="C47" s="200"/>
      <c r="D47" s="200"/>
      <c r="E47" s="200"/>
      <c r="F47" s="136"/>
      <c r="G47" s="103"/>
      <c r="H47" s="160"/>
      <c r="I47" s="195"/>
      <c r="J47" s="124"/>
      <c r="K47" s="124"/>
      <c r="L47" s="49"/>
      <c r="M47" s="104"/>
      <c r="N47" s="102">
        <f t="shared" ref="N47:N51" si="49">SUM(I47:M47)</f>
        <v>0</v>
      </c>
      <c r="O47" s="53">
        <v>1</v>
      </c>
      <c r="P47" s="107"/>
      <c r="Q47" s="193"/>
      <c r="R47" s="193"/>
      <c r="S47" s="194"/>
      <c r="T47" s="95"/>
      <c r="U47" s="56">
        <f t="shared" si="12"/>
        <v>0</v>
      </c>
      <c r="V47" s="59">
        <f t="shared" si="2"/>
        <v>0</v>
      </c>
      <c r="W47" s="131"/>
      <c r="X47" s="131"/>
      <c r="Y47" s="131"/>
      <c r="Z47" s="219"/>
      <c r="AA47" s="99"/>
      <c r="AB47" s="58" t="e">
        <f t="shared" si="3"/>
        <v>#DIV/0!</v>
      </c>
      <c r="AC47" s="59" t="e">
        <f t="shared" si="4"/>
        <v>#DIV/0!</v>
      </c>
      <c r="AD47" s="60"/>
      <c r="AE47" s="56" t="e">
        <f t="shared" si="5"/>
        <v>#DIV/0!</v>
      </c>
      <c r="AF47" s="61"/>
      <c r="AG47" s="62"/>
      <c r="AH47" s="63" t="e">
        <f t="shared" si="6"/>
        <v>#DIV/0!</v>
      </c>
      <c r="AI47" s="64">
        <v>10</v>
      </c>
      <c r="AJ47" s="64">
        <v>10</v>
      </c>
      <c r="AK47" s="64">
        <v>45</v>
      </c>
      <c r="AL47" s="65" t="e">
        <f t="shared" si="7"/>
        <v>#DIV/0!</v>
      </c>
      <c r="AM47" s="66" t="e">
        <f t="shared" si="8"/>
        <v>#DIV/0!</v>
      </c>
      <c r="AN47" s="67" t="e">
        <f t="shared" si="9"/>
        <v>#DIV/0!</v>
      </c>
      <c r="AO47" s="68"/>
      <c r="AP47" s="69">
        <f t="shared" si="10"/>
        <v>1</v>
      </c>
      <c r="AQ47" s="166">
        <v>1</v>
      </c>
      <c r="AR47" s="70"/>
      <c r="AS47" s="71"/>
      <c r="AT47" s="72"/>
      <c r="AU47" s="131"/>
      <c r="AV47" s="72"/>
      <c r="AW47" s="72"/>
      <c r="AX47" s="73"/>
      <c r="AY47" s="74">
        <f t="shared" si="11"/>
        <v>0</v>
      </c>
      <c r="AZ47" s="74">
        <f t="shared" si="1"/>
        <v>0</v>
      </c>
    </row>
    <row r="48" spans="1:52" s="75" customFormat="1" ht="19.5" customHeight="1" thickBot="1" x14ac:dyDescent="0.2">
      <c r="A48" s="45"/>
      <c r="B48" s="46"/>
      <c r="C48" s="232" t="s">
        <v>63</v>
      </c>
      <c r="D48" s="233"/>
      <c r="E48" s="233"/>
      <c r="F48" s="233"/>
      <c r="G48" s="234"/>
      <c r="H48" s="122"/>
      <c r="I48" s="89"/>
      <c r="J48" s="130"/>
      <c r="K48" s="89"/>
      <c r="L48" s="89"/>
      <c r="M48" s="89"/>
      <c r="N48" s="90">
        <f>I48*I47+J48*J47+K48*K47+L48*L47+M48*M47</f>
        <v>0</v>
      </c>
      <c r="O48" s="91"/>
      <c r="P48" s="92"/>
      <c r="Q48" s="93"/>
      <c r="R48" s="93"/>
      <c r="S48" s="94"/>
      <c r="T48" s="95"/>
      <c r="U48" s="56"/>
      <c r="V48" s="59"/>
      <c r="W48" s="96"/>
      <c r="X48" s="97"/>
      <c r="Y48" s="98"/>
      <c r="Z48" s="97"/>
      <c r="AA48" s="99"/>
      <c r="AB48" s="58"/>
      <c r="AC48" s="59"/>
      <c r="AD48" s="56"/>
      <c r="AE48" s="56"/>
      <c r="AF48" s="157"/>
      <c r="AG48" s="100"/>
      <c r="AH48" s="63"/>
      <c r="AI48" s="101"/>
      <c r="AJ48" s="93"/>
      <c r="AK48" s="63"/>
      <c r="AL48" s="67"/>
      <c r="AM48" s="68"/>
      <c r="AN48" s="69"/>
      <c r="AO48" s="69"/>
      <c r="AP48" s="70"/>
      <c r="AQ48" s="71"/>
      <c r="AR48" s="72"/>
      <c r="AS48" s="72"/>
      <c r="AT48" s="72"/>
      <c r="AU48" s="72"/>
      <c r="AV48" s="73"/>
      <c r="AW48" s="74"/>
      <c r="AX48" s="74"/>
      <c r="AZ48" s="75">
        <f t="shared" si="1"/>
        <v>0</v>
      </c>
    </row>
    <row r="49" spans="1:52" s="75" customFormat="1" ht="39.75" customHeight="1" thickBot="1" x14ac:dyDescent="0.2">
      <c r="A49" s="45"/>
      <c r="B49" s="87"/>
      <c r="C49" s="168"/>
      <c r="D49" s="168"/>
      <c r="E49" s="205"/>
      <c r="F49" s="158"/>
      <c r="G49" s="201"/>
      <c r="H49" s="170"/>
      <c r="I49" s="195"/>
      <c r="J49" s="124"/>
      <c r="K49" s="124"/>
      <c r="L49" s="49"/>
      <c r="M49" s="51"/>
      <c r="N49" s="102">
        <f t="shared" si="49"/>
        <v>0</v>
      </c>
      <c r="O49" s="53">
        <v>1</v>
      </c>
      <c r="P49" s="192"/>
      <c r="Q49" s="193"/>
      <c r="R49" s="193"/>
      <c r="S49" s="194"/>
      <c r="T49" s="95"/>
      <c r="U49" s="56">
        <f t="shared" si="12"/>
        <v>0</v>
      </c>
      <c r="V49" s="59">
        <f t="shared" si="2"/>
        <v>0</v>
      </c>
      <c r="W49" s="209"/>
      <c r="X49" s="164"/>
      <c r="Y49" s="183"/>
      <c r="Z49" s="219"/>
      <c r="AA49" s="99"/>
      <c r="AB49" s="58" t="e">
        <f t="shared" si="3"/>
        <v>#DIV/0!</v>
      </c>
      <c r="AC49" s="59" t="e">
        <f t="shared" si="4"/>
        <v>#DIV/0!</v>
      </c>
      <c r="AD49" s="60"/>
      <c r="AE49" s="56" t="e">
        <f t="shared" si="5"/>
        <v>#DIV/0!</v>
      </c>
      <c r="AF49" s="61"/>
      <c r="AG49" s="62"/>
      <c r="AH49" s="63" t="e">
        <f t="shared" si="6"/>
        <v>#DIV/0!</v>
      </c>
      <c r="AI49" s="64">
        <v>10</v>
      </c>
      <c r="AJ49" s="64">
        <v>10</v>
      </c>
      <c r="AK49" s="64">
        <v>45</v>
      </c>
      <c r="AL49" s="65" t="e">
        <f t="shared" si="7"/>
        <v>#DIV/0!</v>
      </c>
      <c r="AM49" s="66" t="e">
        <f t="shared" si="8"/>
        <v>#DIV/0!</v>
      </c>
      <c r="AN49" s="67" t="e">
        <f t="shared" si="9"/>
        <v>#DIV/0!</v>
      </c>
      <c r="AO49" s="197"/>
      <c r="AP49" s="166">
        <v>1</v>
      </c>
      <c r="AQ49" s="166">
        <v>1</v>
      </c>
      <c r="AR49" s="70"/>
      <c r="AS49" s="71"/>
      <c r="AT49" s="131"/>
      <c r="AU49" s="131"/>
      <c r="AV49" s="131"/>
      <c r="AW49" s="72"/>
      <c r="AX49" s="73"/>
      <c r="AY49" s="74">
        <f t="shared" si="11"/>
        <v>0</v>
      </c>
      <c r="AZ49" s="74">
        <f t="shared" si="1"/>
        <v>0</v>
      </c>
    </row>
    <row r="50" spans="1:52" s="75" customFormat="1" ht="19.5" customHeight="1" thickBot="1" x14ac:dyDescent="0.2">
      <c r="A50" s="45"/>
      <c r="B50" s="46"/>
      <c r="C50" s="232" t="s">
        <v>63</v>
      </c>
      <c r="D50" s="233"/>
      <c r="E50" s="233"/>
      <c r="F50" s="233"/>
      <c r="G50" s="234"/>
      <c r="H50" s="122"/>
      <c r="I50" s="89"/>
      <c r="J50" s="130"/>
      <c r="K50" s="89"/>
      <c r="L50" s="89"/>
      <c r="M50" s="89"/>
      <c r="N50" s="90">
        <f>I50*I49+J50*J49+K50*K49+L50*L49+M50*M49</f>
        <v>0</v>
      </c>
      <c r="O50" s="91"/>
      <c r="P50" s="92"/>
      <c r="Q50" s="93"/>
      <c r="R50" s="93"/>
      <c r="S50" s="94"/>
      <c r="T50" s="95"/>
      <c r="U50" s="56"/>
      <c r="V50" s="59"/>
      <c r="W50" s="96"/>
      <c r="X50" s="97"/>
      <c r="Y50" s="98"/>
      <c r="Z50" s="97"/>
      <c r="AA50" s="99"/>
      <c r="AB50" s="58"/>
      <c r="AC50" s="59"/>
      <c r="AD50" s="56"/>
      <c r="AE50" s="56"/>
      <c r="AF50" s="157"/>
      <c r="AG50" s="100"/>
      <c r="AH50" s="63"/>
      <c r="AI50" s="101"/>
      <c r="AJ50" s="93"/>
      <c r="AK50" s="63"/>
      <c r="AL50" s="67"/>
      <c r="AM50" s="68"/>
      <c r="AN50" s="69"/>
      <c r="AO50" s="69"/>
      <c r="AP50" s="70"/>
      <c r="AQ50" s="71"/>
      <c r="AR50" s="72"/>
      <c r="AS50" s="72"/>
      <c r="AT50" s="72"/>
      <c r="AU50" s="72"/>
      <c r="AV50" s="73"/>
      <c r="AW50" s="74"/>
      <c r="AX50" s="74"/>
      <c r="AZ50" s="75">
        <f t="shared" si="1"/>
        <v>0</v>
      </c>
    </row>
    <row r="51" spans="1:52" s="75" customFormat="1" ht="39.75" customHeight="1" thickBot="1" x14ac:dyDescent="0.2">
      <c r="A51" s="45"/>
      <c r="B51" s="87"/>
      <c r="C51" s="168"/>
      <c r="D51" s="159"/>
      <c r="E51" s="200"/>
      <c r="F51" s="114"/>
      <c r="G51" s="103"/>
      <c r="H51" s="160"/>
      <c r="I51" s="195"/>
      <c r="J51" s="124"/>
      <c r="K51" s="124"/>
      <c r="L51" s="49"/>
      <c r="M51" s="51"/>
      <c r="N51" s="102">
        <f t="shared" si="49"/>
        <v>0</v>
      </c>
      <c r="O51" s="53">
        <v>1</v>
      </c>
      <c r="P51" s="202"/>
      <c r="Q51" s="125"/>
      <c r="R51" s="193"/>
      <c r="S51" s="76"/>
      <c r="T51" s="95"/>
      <c r="U51" s="56">
        <f t="shared" si="12"/>
        <v>0</v>
      </c>
      <c r="V51" s="59">
        <f t="shared" si="2"/>
        <v>0</v>
      </c>
      <c r="W51" s="209"/>
      <c r="X51" s="131"/>
      <c r="Y51" s="131"/>
      <c r="Z51" s="199"/>
      <c r="AA51" s="99"/>
      <c r="AB51" s="58" t="e">
        <f t="shared" si="3"/>
        <v>#DIV/0!</v>
      </c>
      <c r="AC51" s="59" t="e">
        <f t="shared" si="4"/>
        <v>#DIV/0!</v>
      </c>
      <c r="AD51" s="60"/>
      <c r="AE51" s="56" t="e">
        <f t="shared" si="5"/>
        <v>#DIV/0!</v>
      </c>
      <c r="AF51" s="61"/>
      <c r="AG51" s="62"/>
      <c r="AH51" s="63" t="e">
        <f t="shared" si="6"/>
        <v>#DIV/0!</v>
      </c>
      <c r="AI51" s="64">
        <v>10</v>
      </c>
      <c r="AJ51" s="64">
        <v>10</v>
      </c>
      <c r="AK51" s="64">
        <v>45</v>
      </c>
      <c r="AL51" s="65" t="e">
        <f t="shared" si="7"/>
        <v>#DIV/0!</v>
      </c>
      <c r="AM51" s="66" t="e">
        <f t="shared" si="8"/>
        <v>#DIV/0!</v>
      </c>
      <c r="AN51" s="67" t="e">
        <f t="shared" si="9"/>
        <v>#DIV/0!</v>
      </c>
      <c r="AO51" s="197"/>
      <c r="AP51" s="166"/>
      <c r="AQ51" s="69">
        <f t="shared" si="10"/>
        <v>1</v>
      </c>
      <c r="AR51" s="70"/>
      <c r="AS51" s="71"/>
      <c r="AT51" s="131"/>
      <c r="AU51" s="131"/>
      <c r="AV51" s="131"/>
      <c r="AW51" s="72"/>
      <c r="AX51" s="73"/>
      <c r="AY51" s="74">
        <f t="shared" si="11"/>
        <v>0</v>
      </c>
      <c r="AZ51" s="74">
        <f t="shared" si="1"/>
        <v>0</v>
      </c>
    </row>
    <row r="52" spans="1:52" s="75" customFormat="1" ht="19.5" customHeight="1" thickBot="1" x14ac:dyDescent="0.2">
      <c r="A52" s="45"/>
      <c r="B52" s="46"/>
      <c r="C52" s="232" t="s">
        <v>66</v>
      </c>
      <c r="D52" s="233"/>
      <c r="E52" s="233"/>
      <c r="F52" s="233"/>
      <c r="G52" s="234"/>
      <c r="H52" s="122"/>
      <c r="I52" s="89"/>
      <c r="J52" s="130"/>
      <c r="K52" s="89"/>
      <c r="L52" s="89"/>
      <c r="M52" s="89"/>
      <c r="N52" s="90">
        <f>I52*I51+J52*J51+K52*K51+L52*L51+M52*M51</f>
        <v>0</v>
      </c>
      <c r="O52" s="91"/>
      <c r="P52" s="92"/>
      <c r="Q52" s="93"/>
      <c r="R52" s="93"/>
      <c r="S52" s="94"/>
      <c r="T52" s="95"/>
      <c r="U52" s="56"/>
      <c r="V52" s="59"/>
      <c r="W52" s="96"/>
      <c r="X52" s="97"/>
      <c r="Y52" s="98"/>
      <c r="Z52" s="97"/>
      <c r="AA52" s="99"/>
      <c r="AB52" s="58"/>
      <c r="AC52" s="59"/>
      <c r="AD52" s="56"/>
      <c r="AE52" s="56"/>
      <c r="AF52" s="157"/>
      <c r="AG52" s="100"/>
      <c r="AH52" s="63"/>
      <c r="AI52" s="101"/>
      <c r="AJ52" s="93"/>
      <c r="AK52" s="63"/>
      <c r="AL52" s="67"/>
      <c r="AM52" s="68"/>
      <c r="AN52" s="69"/>
      <c r="AO52" s="69"/>
      <c r="AP52" s="70"/>
      <c r="AQ52" s="71"/>
      <c r="AR52" s="72"/>
      <c r="AS52" s="72"/>
      <c r="AT52" s="72"/>
      <c r="AU52" s="72"/>
      <c r="AV52" s="73"/>
      <c r="AW52" s="74"/>
      <c r="AX52" s="74"/>
      <c r="AZ52" s="75">
        <f t="shared" si="1"/>
        <v>0</v>
      </c>
    </row>
    <row r="53" spans="1:52" s="75" customFormat="1" ht="39.75" customHeight="1" thickBot="1" x14ac:dyDescent="0.2">
      <c r="A53" s="45"/>
      <c r="B53" s="87"/>
      <c r="C53" s="168"/>
      <c r="D53" s="168"/>
      <c r="E53" s="200"/>
      <c r="F53" s="198"/>
      <c r="G53" s="103"/>
      <c r="H53" s="160"/>
      <c r="I53" s="195"/>
      <c r="J53" s="129"/>
      <c r="K53" s="124"/>
      <c r="L53" s="49"/>
      <c r="M53" s="51"/>
      <c r="N53" s="102">
        <f t="shared" ref="N53" si="50">SUM(I53:M53)</f>
        <v>0</v>
      </c>
      <c r="O53" s="53">
        <v>1</v>
      </c>
      <c r="P53" s="202"/>
      <c r="Q53" s="125"/>
      <c r="R53" s="125"/>
      <c r="S53" s="76"/>
      <c r="T53" s="95"/>
      <c r="U53" s="56">
        <f t="shared" ref="U53" si="51">ROUND(((P53*I53)+(Q53*J53)+(R53*K53)+(S53*L53)+(T53*M53))*O53,2)</f>
        <v>0</v>
      </c>
      <c r="V53" s="59">
        <f t="shared" ref="V53" si="52">IF(U53&gt;=15,15,U53)</f>
        <v>0</v>
      </c>
      <c r="W53" s="126"/>
      <c r="X53" s="218"/>
      <c r="Y53" s="126"/>
      <c r="Z53" s="218"/>
      <c r="AA53" s="99"/>
      <c r="AB53" s="58" t="e">
        <f t="shared" ref="AB53" si="53">ROUND((((W53*I53)+(X53*J53)+(Y53*K53)+(Z53*L53)+(AA53*M53))/$I$2),2)*13</f>
        <v>#DIV/0!</v>
      </c>
      <c r="AC53" s="59" t="e">
        <f t="shared" ref="AC53" si="54">IF(AB53&gt;=13,13,AB53)</f>
        <v>#DIV/0!</v>
      </c>
      <c r="AD53" s="60"/>
      <c r="AE53" s="56" t="e">
        <f t="shared" ref="AE53" si="55">IF((AC53+AD53)&gt;=15,15,(AC53+AD53))</f>
        <v>#DIV/0!</v>
      </c>
      <c r="AF53" s="61"/>
      <c r="AG53" s="62"/>
      <c r="AH53" s="63" t="e">
        <f t="shared" ref="AH53" si="56">IF((V53+AE53+AF53)&gt;=30,30,(V53+AE53+AF53))</f>
        <v>#DIV/0!</v>
      </c>
      <c r="AI53" s="64">
        <v>10</v>
      </c>
      <c r="AJ53" s="64">
        <v>10</v>
      </c>
      <c r="AK53" s="64">
        <v>45</v>
      </c>
      <c r="AL53" s="65" t="e">
        <f t="shared" ref="AL53" si="57">V53+AE53+AF53+AI53+AJ53+AK53+AG53</f>
        <v>#DIV/0!</v>
      </c>
      <c r="AM53" s="66" t="e">
        <f t="shared" ref="AM53" si="58">IF(AH53+AI53+AJ53+AK53+AG53&gt;=95,95,AH53+AI53+AJ53+AK53+AG53)</f>
        <v>#DIV/0!</v>
      </c>
      <c r="AN53" s="67" t="e">
        <f t="shared" ref="AN53" si="59">-((50-((176+(45+(50-AH53)))))/200)</f>
        <v>#DIV/0!</v>
      </c>
      <c r="AO53" s="197"/>
      <c r="AP53" s="166">
        <v>1</v>
      </c>
      <c r="AQ53" s="166">
        <v>1</v>
      </c>
      <c r="AR53" s="70"/>
      <c r="AS53" s="71"/>
      <c r="AT53" s="131"/>
      <c r="AU53" s="131"/>
      <c r="AV53" s="131"/>
      <c r="AW53" s="72"/>
      <c r="AX53" s="73"/>
      <c r="AY53" s="74">
        <f t="shared" ref="AY53" si="60">AT53+AU53+AV53+AW53+AX53</f>
        <v>0</v>
      </c>
      <c r="AZ53" s="74">
        <f t="shared" si="1"/>
        <v>0</v>
      </c>
    </row>
    <row r="54" spans="1:52" s="75" customFormat="1" ht="21" customHeight="1" thickBot="1" x14ac:dyDescent="0.2">
      <c r="A54" s="45"/>
      <c r="B54" s="46"/>
      <c r="C54" s="232" t="s">
        <v>63</v>
      </c>
      <c r="D54" s="233"/>
      <c r="E54" s="233"/>
      <c r="F54" s="233"/>
      <c r="G54" s="234"/>
      <c r="H54" s="122"/>
      <c r="I54" s="220"/>
      <c r="J54" s="89"/>
      <c r="K54" s="89"/>
      <c r="L54" s="89"/>
      <c r="M54" s="89"/>
      <c r="N54" s="90">
        <f>I54*I53+J54*J53+K54*K53+L54*L53+M54*M53</f>
        <v>0</v>
      </c>
      <c r="O54" s="91"/>
      <c r="P54" s="92"/>
      <c r="Q54" s="93"/>
      <c r="R54" s="93"/>
      <c r="S54" s="94"/>
      <c r="T54" s="95"/>
      <c r="U54" s="56"/>
      <c r="V54" s="59"/>
      <c r="W54" s="96"/>
      <c r="X54" s="97"/>
      <c r="Y54" s="98"/>
      <c r="Z54" s="97"/>
      <c r="AA54" s="99"/>
      <c r="AB54" s="58"/>
      <c r="AC54" s="59"/>
      <c r="AD54" s="56"/>
      <c r="AE54" s="56"/>
      <c r="AF54" s="157"/>
      <c r="AG54" s="100"/>
      <c r="AH54" s="63"/>
      <c r="AI54" s="101"/>
      <c r="AJ54" s="93"/>
      <c r="AK54" s="63"/>
      <c r="AL54" s="67"/>
      <c r="AM54" s="68"/>
      <c r="AN54" s="69"/>
      <c r="AO54" s="69"/>
      <c r="AP54" s="70"/>
      <c r="AQ54" s="71"/>
      <c r="AR54" s="72"/>
      <c r="AS54" s="72"/>
      <c r="AT54" s="72"/>
      <c r="AU54" s="72"/>
      <c r="AV54" s="73"/>
      <c r="AW54" s="74"/>
      <c r="AX54" s="74"/>
      <c r="AZ54" s="75">
        <f t="shared" si="1"/>
        <v>0</v>
      </c>
    </row>
    <row r="55" spans="1:52" s="75" customFormat="1" ht="39.75" customHeight="1" thickBot="1" x14ac:dyDescent="0.2">
      <c r="A55" s="45"/>
      <c r="B55" s="87"/>
      <c r="C55" s="200"/>
      <c r="D55" s="200"/>
      <c r="E55" s="200"/>
      <c r="F55" s="198"/>
      <c r="G55" s="103"/>
      <c r="H55" s="160"/>
      <c r="I55" s="48"/>
      <c r="J55" s="124"/>
      <c r="K55" s="124"/>
      <c r="L55" s="49"/>
      <c r="M55" s="104"/>
      <c r="N55" s="102">
        <f t="shared" si="48"/>
        <v>0</v>
      </c>
      <c r="O55" s="53">
        <v>1</v>
      </c>
      <c r="P55" s="54"/>
      <c r="Q55" s="125"/>
      <c r="R55" s="125"/>
      <c r="S55" s="194"/>
      <c r="T55" s="95"/>
      <c r="U55" s="56">
        <f t="shared" si="12"/>
        <v>0</v>
      </c>
      <c r="V55" s="59">
        <f t="shared" si="2"/>
        <v>0</v>
      </c>
      <c r="W55" s="131"/>
      <c r="X55" s="183"/>
      <c r="Y55" s="183"/>
      <c r="Z55" s="88"/>
      <c r="AA55" s="99"/>
      <c r="AB55" s="58" t="e">
        <f t="shared" si="3"/>
        <v>#DIV/0!</v>
      </c>
      <c r="AC55" s="59" t="e">
        <f t="shared" si="4"/>
        <v>#DIV/0!</v>
      </c>
      <c r="AD55" s="60"/>
      <c r="AE55" s="56" t="e">
        <f t="shared" si="5"/>
        <v>#DIV/0!</v>
      </c>
      <c r="AF55" s="61"/>
      <c r="AG55" s="62"/>
      <c r="AH55" s="63" t="e">
        <f t="shared" si="6"/>
        <v>#DIV/0!</v>
      </c>
      <c r="AI55" s="64">
        <v>10</v>
      </c>
      <c r="AJ55" s="64">
        <v>10</v>
      </c>
      <c r="AK55" s="64">
        <v>45</v>
      </c>
      <c r="AL55" s="65" t="e">
        <f t="shared" si="7"/>
        <v>#DIV/0!</v>
      </c>
      <c r="AM55" s="66" t="e">
        <f t="shared" si="8"/>
        <v>#DIV/0!</v>
      </c>
      <c r="AN55" s="67" t="e">
        <f t="shared" si="9"/>
        <v>#DIV/0!</v>
      </c>
      <c r="AO55" s="68"/>
      <c r="AP55" s="166">
        <v>2</v>
      </c>
      <c r="AQ55" s="166">
        <v>3</v>
      </c>
      <c r="AR55" s="70"/>
      <c r="AS55" s="71"/>
      <c r="AT55" s="72"/>
      <c r="AU55" s="72"/>
      <c r="AV55" s="131"/>
      <c r="AW55" s="72"/>
      <c r="AX55" s="73"/>
      <c r="AY55" s="74">
        <f t="shared" si="11"/>
        <v>0</v>
      </c>
      <c r="AZ55" s="74">
        <f t="shared" si="1"/>
        <v>0</v>
      </c>
    </row>
    <row r="56" spans="1:52" s="75" customFormat="1" ht="21" customHeight="1" thickBot="1" x14ac:dyDescent="0.2">
      <c r="A56" s="45"/>
      <c r="B56" s="46"/>
      <c r="C56" s="232" t="s">
        <v>63</v>
      </c>
      <c r="D56" s="233"/>
      <c r="E56" s="233"/>
      <c r="F56" s="233"/>
      <c r="G56" s="234"/>
      <c r="H56" s="122"/>
      <c r="I56" s="220"/>
      <c r="J56" s="89"/>
      <c r="K56" s="89"/>
      <c r="L56" s="89"/>
      <c r="M56" s="89"/>
      <c r="N56" s="90">
        <f>I56*I55+J56*J55+K56*K55+L56*L55+M56*M55</f>
        <v>0</v>
      </c>
      <c r="O56" s="91"/>
      <c r="P56" s="92"/>
      <c r="Q56" s="93"/>
      <c r="R56" s="93"/>
      <c r="S56" s="94"/>
      <c r="T56" s="95"/>
      <c r="U56" s="56"/>
      <c r="V56" s="59"/>
      <c r="W56" s="96"/>
      <c r="X56" s="97"/>
      <c r="Y56" s="98"/>
      <c r="Z56" s="97"/>
      <c r="AA56" s="99"/>
      <c r="AB56" s="58"/>
      <c r="AC56" s="59"/>
      <c r="AD56" s="56"/>
      <c r="AE56" s="56"/>
      <c r="AF56" s="157"/>
      <c r="AG56" s="100"/>
      <c r="AH56" s="63"/>
      <c r="AI56" s="101"/>
      <c r="AJ56" s="93"/>
      <c r="AK56" s="63"/>
      <c r="AL56" s="67"/>
      <c r="AM56" s="68"/>
      <c r="AN56" s="69"/>
      <c r="AO56" s="69"/>
      <c r="AP56" s="70"/>
      <c r="AQ56" s="71"/>
      <c r="AR56" s="72"/>
      <c r="AS56" s="72"/>
      <c r="AT56" s="72"/>
      <c r="AU56" s="72"/>
      <c r="AV56" s="73"/>
      <c r="AW56" s="74"/>
      <c r="AX56" s="74"/>
      <c r="AZ56" s="75">
        <f t="shared" si="1"/>
        <v>0</v>
      </c>
    </row>
    <row r="57" spans="1:52" s="75" customFormat="1" ht="39.75" customHeight="1" thickBot="1" x14ac:dyDescent="0.2">
      <c r="A57" s="45"/>
      <c r="B57" s="87"/>
      <c r="C57" s="200"/>
      <c r="D57" s="200"/>
      <c r="E57" s="200"/>
      <c r="F57" s="198"/>
      <c r="G57" s="103"/>
      <c r="H57" s="160"/>
      <c r="I57" s="195"/>
      <c r="J57" s="124"/>
      <c r="K57" s="124"/>
      <c r="L57" s="49"/>
      <c r="M57" s="51"/>
      <c r="N57" s="102">
        <f t="shared" si="48"/>
        <v>0</v>
      </c>
      <c r="O57" s="53">
        <v>1</v>
      </c>
      <c r="P57" s="202"/>
      <c r="Q57" s="125"/>
      <c r="R57" s="206"/>
      <c r="S57" s="76"/>
      <c r="T57" s="95"/>
      <c r="U57" s="56">
        <f t="shared" si="12"/>
        <v>0</v>
      </c>
      <c r="V57" s="59">
        <f t="shared" si="2"/>
        <v>0</v>
      </c>
      <c r="W57" s="209"/>
      <c r="X57" s="131"/>
      <c r="Y57" s="183"/>
      <c r="Z57" s="88"/>
      <c r="AA57" s="99"/>
      <c r="AB57" s="58" t="e">
        <f t="shared" si="3"/>
        <v>#DIV/0!</v>
      </c>
      <c r="AC57" s="59" t="e">
        <f t="shared" si="4"/>
        <v>#DIV/0!</v>
      </c>
      <c r="AD57" s="60"/>
      <c r="AE57" s="56" t="e">
        <f t="shared" si="5"/>
        <v>#DIV/0!</v>
      </c>
      <c r="AF57" s="61"/>
      <c r="AG57" s="62"/>
      <c r="AH57" s="63" t="e">
        <f t="shared" si="6"/>
        <v>#DIV/0!</v>
      </c>
      <c r="AI57" s="64">
        <v>10</v>
      </c>
      <c r="AJ57" s="64">
        <v>10</v>
      </c>
      <c r="AK57" s="64">
        <v>45</v>
      </c>
      <c r="AL57" s="65" t="e">
        <f t="shared" si="7"/>
        <v>#DIV/0!</v>
      </c>
      <c r="AM57" s="66" t="e">
        <f t="shared" si="8"/>
        <v>#DIV/0!</v>
      </c>
      <c r="AN57" s="67" t="e">
        <f t="shared" si="9"/>
        <v>#DIV/0!</v>
      </c>
      <c r="AO57" s="197"/>
      <c r="AP57" s="166"/>
      <c r="AQ57" s="166">
        <v>2</v>
      </c>
      <c r="AR57" s="70"/>
      <c r="AS57" s="71"/>
      <c r="AT57" s="72"/>
      <c r="AU57" s="72"/>
      <c r="AV57" s="72"/>
      <c r="AW57" s="72"/>
      <c r="AX57" s="73"/>
      <c r="AY57" s="74">
        <f t="shared" si="11"/>
        <v>0</v>
      </c>
      <c r="AZ57" s="74">
        <f t="shared" si="1"/>
        <v>0</v>
      </c>
    </row>
    <row r="58" spans="1:52" s="75" customFormat="1" ht="21" customHeight="1" thickBot="1" x14ac:dyDescent="0.2">
      <c r="A58" s="45"/>
      <c r="B58" s="46"/>
      <c r="C58" s="232" t="s">
        <v>63</v>
      </c>
      <c r="D58" s="233"/>
      <c r="E58" s="233"/>
      <c r="F58" s="233"/>
      <c r="G58" s="234"/>
      <c r="H58" s="122"/>
      <c r="I58" s="220"/>
      <c r="J58" s="89"/>
      <c r="K58" s="89"/>
      <c r="L58" s="89"/>
      <c r="M58" s="89"/>
      <c r="N58" s="90">
        <f>I58*I57+J58*J57+K58*K57+L58*L57+M58*M57</f>
        <v>0</v>
      </c>
      <c r="O58" s="91"/>
      <c r="P58" s="92"/>
      <c r="Q58" s="93"/>
      <c r="R58" s="93"/>
      <c r="S58" s="94"/>
      <c r="T58" s="95"/>
      <c r="U58" s="56"/>
      <c r="V58" s="59"/>
      <c r="W58" s="96"/>
      <c r="X58" s="97"/>
      <c r="Y58" s="98"/>
      <c r="Z58" s="97"/>
      <c r="AA58" s="99"/>
      <c r="AB58" s="58"/>
      <c r="AC58" s="59"/>
      <c r="AD58" s="56"/>
      <c r="AE58" s="56"/>
      <c r="AF58" s="157"/>
      <c r="AG58" s="100"/>
      <c r="AH58" s="63"/>
      <c r="AI58" s="101"/>
      <c r="AJ58" s="93"/>
      <c r="AK58" s="63"/>
      <c r="AL58" s="67"/>
      <c r="AM58" s="68"/>
      <c r="AN58" s="69"/>
      <c r="AO58" s="69"/>
      <c r="AP58" s="70"/>
      <c r="AQ58" s="71"/>
      <c r="AR58" s="72"/>
      <c r="AS58" s="72"/>
      <c r="AT58" s="72"/>
      <c r="AU58" s="72"/>
      <c r="AV58" s="73"/>
      <c r="AW58" s="74"/>
      <c r="AX58" s="74"/>
      <c r="AZ58" s="75">
        <f t="shared" si="1"/>
        <v>0</v>
      </c>
    </row>
    <row r="59" spans="1:52" s="75" customFormat="1" ht="39.75" customHeight="1" thickBot="1" x14ac:dyDescent="0.2">
      <c r="A59" s="45"/>
      <c r="B59" s="87"/>
      <c r="C59" s="168"/>
      <c r="D59" s="168"/>
      <c r="E59" s="168"/>
      <c r="F59" s="168"/>
      <c r="G59" s="103"/>
      <c r="H59" s="221"/>
      <c r="I59" s="195"/>
      <c r="J59" s="129"/>
      <c r="K59" s="50"/>
      <c r="L59" s="161"/>
      <c r="M59" s="175"/>
      <c r="N59" s="78">
        <f>SUM(I59:M59)</f>
        <v>0</v>
      </c>
      <c r="O59" s="53">
        <v>1</v>
      </c>
      <c r="P59" s="202"/>
      <c r="Q59" s="193"/>
      <c r="R59" s="55"/>
      <c r="S59" s="162"/>
      <c r="T59" s="181"/>
      <c r="U59" s="79">
        <f>ROUND(((P59*I59)+(Q59*J59)+(R59*K59)+(S59*L59)+(T59*M59))*O59,2)</f>
        <v>0</v>
      </c>
      <c r="V59" s="80">
        <f>IF(U59&gt;=15,15,U59)</f>
        <v>0</v>
      </c>
      <c r="W59" s="126"/>
      <c r="X59" s="222"/>
      <c r="Y59" s="126"/>
      <c r="Z59" s="126"/>
      <c r="AA59" s="99"/>
      <c r="AB59" s="58" t="e">
        <f>ROUND((((W59*I59)+(X59*J59)+(Y59*K59)+(Z59*L59)+(AA59*M59))/$I$2),2)*13</f>
        <v>#DIV/0!</v>
      </c>
      <c r="AC59" s="59" t="e">
        <f>IF(AB59&gt;=13,13,AB59)</f>
        <v>#DIV/0!</v>
      </c>
      <c r="AD59" s="60"/>
      <c r="AE59" s="56" t="e">
        <f>IF((AC59+AD59)&gt;=15,15,(AC59+AD59))</f>
        <v>#DIV/0!</v>
      </c>
      <c r="AF59" s="61"/>
      <c r="AG59" s="62"/>
      <c r="AH59" s="63" t="e">
        <f>IF((V59+AE59+AF59)&gt;=30,30,(V59+AE59+AF59))</f>
        <v>#DIV/0!</v>
      </c>
      <c r="AI59" s="64">
        <v>10</v>
      </c>
      <c r="AJ59" s="64">
        <v>10</v>
      </c>
      <c r="AK59" s="64">
        <v>45</v>
      </c>
      <c r="AL59" s="65" t="e">
        <f>V59+AE59+AF59+AI59+AJ59+AK59+AG59</f>
        <v>#DIV/0!</v>
      </c>
      <c r="AM59" s="66" t="e">
        <f>IF(AH59+AI59+AJ59+AK59+AG59&gt;=95,95,AH59+AI59+AJ59+AK59+AG59)</f>
        <v>#DIV/0!</v>
      </c>
      <c r="AN59" s="67" t="e">
        <f>-((50-((176+(45+(50-AH59)))))/200)</f>
        <v>#DIV/0!</v>
      </c>
      <c r="AO59" s="68"/>
      <c r="AP59" s="166"/>
      <c r="AQ59" s="69">
        <f t="shared" si="10"/>
        <v>1</v>
      </c>
      <c r="AR59" s="167"/>
      <c r="AS59" s="71"/>
      <c r="AT59" s="131"/>
      <c r="AU59" s="72"/>
      <c r="AV59" s="72"/>
      <c r="AW59" s="72"/>
      <c r="AX59" s="73"/>
      <c r="AY59" s="74">
        <f>AT59+AU59+AV59+AW59+AX59</f>
        <v>0</v>
      </c>
      <c r="AZ59" s="74">
        <f t="shared" si="1"/>
        <v>0</v>
      </c>
    </row>
    <row r="60" spans="1:52" s="75" customFormat="1" ht="21" customHeight="1" thickBot="1" x14ac:dyDescent="0.2">
      <c r="A60" s="45"/>
      <c r="B60" s="46"/>
      <c r="C60" s="232" t="s">
        <v>63</v>
      </c>
      <c r="D60" s="233"/>
      <c r="E60" s="233"/>
      <c r="F60" s="233"/>
      <c r="G60" s="234"/>
      <c r="H60" s="122"/>
      <c r="I60" s="220"/>
      <c r="J60" s="89"/>
      <c r="K60" s="89"/>
      <c r="L60" s="89"/>
      <c r="M60" s="89"/>
      <c r="N60" s="90">
        <f>I60*I59+J60*J59+K60*K59+L60*L59+M60*M59</f>
        <v>0</v>
      </c>
      <c r="O60" s="91"/>
      <c r="P60" s="92"/>
      <c r="Q60" s="93"/>
      <c r="R60" s="93"/>
      <c r="S60" s="94"/>
      <c r="T60" s="95"/>
      <c r="U60" s="56"/>
      <c r="V60" s="59"/>
      <c r="W60" s="96"/>
      <c r="X60" s="97"/>
      <c r="Y60" s="98"/>
      <c r="Z60" s="97"/>
      <c r="AA60" s="99"/>
      <c r="AB60" s="58"/>
      <c r="AC60" s="59"/>
      <c r="AD60" s="56"/>
      <c r="AE60" s="56"/>
      <c r="AF60" s="157"/>
      <c r="AG60" s="100"/>
      <c r="AH60" s="63"/>
      <c r="AI60" s="101"/>
      <c r="AJ60" s="93"/>
      <c r="AK60" s="63"/>
      <c r="AL60" s="67"/>
      <c r="AM60" s="68"/>
      <c r="AN60" s="69"/>
      <c r="AO60" s="69"/>
      <c r="AP60" s="70"/>
      <c r="AQ60" s="71"/>
      <c r="AR60" s="72"/>
      <c r="AS60" s="72"/>
      <c r="AT60" s="72"/>
      <c r="AU60" s="72"/>
      <c r="AV60" s="73"/>
      <c r="AW60" s="74"/>
      <c r="AX60" s="74"/>
      <c r="AZ60" s="75">
        <f t="shared" si="1"/>
        <v>0</v>
      </c>
    </row>
    <row r="61" spans="1:52" s="75" customFormat="1" ht="39.75" customHeight="1" thickBot="1" x14ac:dyDescent="0.2">
      <c r="A61" s="45"/>
      <c r="B61" s="46"/>
      <c r="C61" s="168"/>
      <c r="D61" s="200"/>
      <c r="E61" s="168"/>
      <c r="F61" s="168"/>
      <c r="G61" s="200"/>
      <c r="H61" s="160"/>
      <c r="I61" s="124"/>
      <c r="J61" s="50"/>
      <c r="K61" s="124"/>
      <c r="L61" s="161"/>
      <c r="M61" s="51"/>
      <c r="N61" s="102">
        <f t="shared" ref="N61:N63" si="61">SUM(I61:M61)</f>
        <v>0</v>
      </c>
      <c r="O61" s="53">
        <v>1</v>
      </c>
      <c r="P61" s="202"/>
      <c r="Q61" s="55"/>
      <c r="R61" s="206"/>
      <c r="S61" s="162"/>
      <c r="T61" s="95"/>
      <c r="U61" s="56">
        <f t="shared" si="12"/>
        <v>0</v>
      </c>
      <c r="V61" s="59">
        <f t="shared" si="2"/>
        <v>0</v>
      </c>
      <c r="W61" s="126"/>
      <c r="X61" s="131"/>
      <c r="Y61" s="131"/>
      <c r="Z61" s="164"/>
      <c r="AA61" s="99"/>
      <c r="AB61" s="58" t="e">
        <f t="shared" si="3"/>
        <v>#DIV/0!</v>
      </c>
      <c r="AC61" s="59" t="e">
        <f t="shared" si="4"/>
        <v>#DIV/0!</v>
      </c>
      <c r="AD61" s="60"/>
      <c r="AE61" s="56" t="e">
        <f t="shared" si="5"/>
        <v>#DIV/0!</v>
      </c>
      <c r="AF61" s="61"/>
      <c r="AG61" s="62"/>
      <c r="AH61" s="63" t="e">
        <f t="shared" si="6"/>
        <v>#DIV/0!</v>
      </c>
      <c r="AI61" s="64">
        <v>10</v>
      </c>
      <c r="AJ61" s="64">
        <v>10</v>
      </c>
      <c r="AK61" s="64">
        <v>45</v>
      </c>
      <c r="AL61" s="65" t="e">
        <f t="shared" si="7"/>
        <v>#DIV/0!</v>
      </c>
      <c r="AM61" s="66" t="e">
        <f t="shared" si="8"/>
        <v>#DIV/0!</v>
      </c>
      <c r="AN61" s="67" t="e">
        <f t="shared" si="9"/>
        <v>#DIV/0!</v>
      </c>
      <c r="AO61" s="68"/>
      <c r="AP61" s="69">
        <f t="shared" si="10"/>
        <v>1</v>
      </c>
      <c r="AQ61" s="166"/>
      <c r="AR61" s="167">
        <v>2</v>
      </c>
      <c r="AS61" s="71"/>
      <c r="AT61" s="131"/>
      <c r="AU61" s="72"/>
      <c r="AV61" s="72"/>
      <c r="AW61" s="72"/>
      <c r="AX61" s="73"/>
      <c r="AY61" s="74">
        <f t="shared" si="11"/>
        <v>0</v>
      </c>
      <c r="AZ61" s="74">
        <f t="shared" si="1"/>
        <v>0</v>
      </c>
    </row>
    <row r="62" spans="1:52" s="75" customFormat="1" ht="21" customHeight="1" thickBot="1" x14ac:dyDescent="0.2">
      <c r="A62" s="45"/>
      <c r="B62" s="46"/>
      <c r="C62" s="232" t="s">
        <v>63</v>
      </c>
      <c r="D62" s="233"/>
      <c r="E62" s="233"/>
      <c r="F62" s="233"/>
      <c r="G62" s="234"/>
      <c r="H62" s="122"/>
      <c r="I62" s="220"/>
      <c r="J62" s="89"/>
      <c r="K62" s="89"/>
      <c r="L62" s="89"/>
      <c r="M62" s="89"/>
      <c r="N62" s="90">
        <f>I62*I61+J62*J61+K62*K61+L62*L61+M62*M61</f>
        <v>0</v>
      </c>
      <c r="O62" s="91"/>
      <c r="P62" s="92"/>
      <c r="Q62" s="93"/>
      <c r="R62" s="93"/>
      <c r="S62" s="94"/>
      <c r="T62" s="95"/>
      <c r="U62" s="56"/>
      <c r="V62" s="59"/>
      <c r="W62" s="96"/>
      <c r="X62" s="97"/>
      <c r="Y62" s="98"/>
      <c r="Z62" s="97"/>
      <c r="AA62" s="99"/>
      <c r="AB62" s="58"/>
      <c r="AC62" s="59"/>
      <c r="AD62" s="56"/>
      <c r="AE62" s="56"/>
      <c r="AF62" s="157"/>
      <c r="AG62" s="100"/>
      <c r="AH62" s="63"/>
      <c r="AI62" s="101"/>
      <c r="AJ62" s="93"/>
      <c r="AK62" s="63"/>
      <c r="AL62" s="67"/>
      <c r="AM62" s="68"/>
      <c r="AN62" s="69"/>
      <c r="AO62" s="69"/>
      <c r="AP62" s="70"/>
      <c r="AQ62" s="71"/>
      <c r="AR62" s="72"/>
      <c r="AS62" s="72"/>
      <c r="AT62" s="72"/>
      <c r="AU62" s="72"/>
      <c r="AV62" s="73"/>
      <c r="AW62" s="74"/>
      <c r="AX62" s="74"/>
      <c r="AZ62" s="75">
        <f t="shared" si="1"/>
        <v>0</v>
      </c>
    </row>
    <row r="63" spans="1:52" s="75" customFormat="1" ht="39.75" customHeight="1" thickBot="1" x14ac:dyDescent="0.2">
      <c r="A63" s="45"/>
      <c r="B63" s="46"/>
      <c r="C63" s="115"/>
      <c r="D63" s="168"/>
      <c r="E63" s="159"/>
      <c r="F63" s="200"/>
      <c r="G63" s="200"/>
      <c r="H63" s="160"/>
      <c r="I63" s="50"/>
      <c r="J63" s="124"/>
      <c r="K63" s="124"/>
      <c r="L63" s="215"/>
      <c r="M63" s="51"/>
      <c r="N63" s="102">
        <f t="shared" si="61"/>
        <v>0</v>
      </c>
      <c r="O63" s="53">
        <v>1</v>
      </c>
      <c r="P63" s="54"/>
      <c r="Q63" s="125"/>
      <c r="R63" s="206"/>
      <c r="S63" s="162"/>
      <c r="T63" s="95"/>
      <c r="U63" s="56">
        <f t="shared" si="12"/>
        <v>0</v>
      </c>
      <c r="V63" s="59">
        <f t="shared" si="2"/>
        <v>0</v>
      </c>
      <c r="W63" s="199"/>
      <c r="X63" s="126"/>
      <c r="Y63" s="183"/>
      <c r="Z63" s="127"/>
      <c r="AA63" s="99"/>
      <c r="AB63" s="58" t="e">
        <f t="shared" si="3"/>
        <v>#DIV/0!</v>
      </c>
      <c r="AC63" s="59" t="e">
        <f t="shared" si="4"/>
        <v>#DIV/0!</v>
      </c>
      <c r="AD63" s="60"/>
      <c r="AE63" s="56" t="e">
        <f t="shared" si="5"/>
        <v>#DIV/0!</v>
      </c>
      <c r="AF63" s="61"/>
      <c r="AG63" s="62"/>
      <c r="AH63" s="63" t="e">
        <f t="shared" si="6"/>
        <v>#DIV/0!</v>
      </c>
      <c r="AI63" s="64">
        <v>10</v>
      </c>
      <c r="AJ63" s="64">
        <v>10</v>
      </c>
      <c r="AK63" s="64">
        <v>45</v>
      </c>
      <c r="AL63" s="65" t="e">
        <f t="shared" si="7"/>
        <v>#DIV/0!</v>
      </c>
      <c r="AM63" s="66" t="e">
        <f t="shared" si="8"/>
        <v>#DIV/0!</v>
      </c>
      <c r="AN63" s="67" t="e">
        <f t="shared" si="9"/>
        <v>#DIV/0!</v>
      </c>
      <c r="AO63" s="68"/>
      <c r="AP63" s="69">
        <f t="shared" ref="AP63:AQ63" si="62">100%+AO63</f>
        <v>1</v>
      </c>
      <c r="AQ63" s="69">
        <f t="shared" si="62"/>
        <v>2</v>
      </c>
      <c r="AR63" s="70"/>
      <c r="AS63" s="71"/>
      <c r="AT63" s="72"/>
      <c r="AU63" s="131"/>
      <c r="AV63" s="131"/>
      <c r="AW63" s="131"/>
      <c r="AX63" s="73"/>
      <c r="AY63" s="74">
        <f t="shared" si="11"/>
        <v>0</v>
      </c>
      <c r="AZ63" s="74">
        <f t="shared" si="1"/>
        <v>0</v>
      </c>
    </row>
    <row r="64" spans="1:52" s="75" customFormat="1" ht="21" customHeight="1" thickBot="1" x14ac:dyDescent="0.2">
      <c r="A64" s="45"/>
      <c r="B64" s="46"/>
      <c r="C64" s="232" t="s">
        <v>63</v>
      </c>
      <c r="D64" s="233"/>
      <c r="E64" s="233"/>
      <c r="F64" s="233"/>
      <c r="G64" s="234"/>
      <c r="H64" s="122"/>
      <c r="I64" s="220"/>
      <c r="J64" s="89"/>
      <c r="K64" s="89"/>
      <c r="L64" s="89"/>
      <c r="M64" s="89"/>
      <c r="N64" s="90">
        <f>I64*I63+J64*J63+K64*K63+L64*L63+M64*M63</f>
        <v>0</v>
      </c>
      <c r="O64" s="91"/>
      <c r="P64" s="92"/>
      <c r="Q64" s="93"/>
      <c r="R64" s="93"/>
      <c r="S64" s="94"/>
      <c r="T64" s="95"/>
      <c r="U64" s="56"/>
      <c r="V64" s="59"/>
      <c r="W64" s="96"/>
      <c r="X64" s="97"/>
      <c r="Y64" s="98"/>
      <c r="Z64" s="97"/>
      <c r="AA64" s="99"/>
      <c r="AB64" s="58"/>
      <c r="AC64" s="59"/>
      <c r="AD64" s="56"/>
      <c r="AE64" s="56"/>
      <c r="AF64" s="157"/>
      <c r="AG64" s="100"/>
      <c r="AH64" s="63"/>
      <c r="AI64" s="101"/>
      <c r="AJ64" s="93"/>
      <c r="AK64" s="63"/>
      <c r="AL64" s="67"/>
      <c r="AM64" s="68"/>
      <c r="AN64" s="69"/>
      <c r="AO64" s="69"/>
      <c r="AP64" s="70"/>
      <c r="AQ64" s="71"/>
      <c r="AR64" s="72"/>
      <c r="AS64" s="72"/>
      <c r="AT64" s="72"/>
      <c r="AU64" s="72"/>
      <c r="AV64" s="73"/>
      <c r="AW64" s="74"/>
      <c r="AX64" s="74"/>
      <c r="AZ64" s="75">
        <f t="shared" si="1"/>
        <v>0</v>
      </c>
    </row>
    <row r="65" spans="1:52" s="75" customFormat="1" ht="39.75" customHeight="1" thickBot="1" x14ac:dyDescent="0.2">
      <c r="A65" s="87"/>
      <c r="B65" s="46"/>
      <c r="C65" s="223"/>
      <c r="D65" s="87"/>
      <c r="E65" s="224"/>
      <c r="F65" s="225"/>
      <c r="G65" s="225"/>
      <c r="H65" s="160"/>
      <c r="I65" s="48"/>
      <c r="J65" s="50"/>
      <c r="K65" s="50"/>
      <c r="L65" s="49"/>
      <c r="M65" s="104"/>
      <c r="N65" s="102">
        <f>SUM(I65:M65)</f>
        <v>0</v>
      </c>
      <c r="O65" s="91">
        <v>1</v>
      </c>
      <c r="P65" s="92"/>
      <c r="Q65" s="93"/>
      <c r="R65" s="93"/>
      <c r="S65" s="214"/>
      <c r="T65" s="95"/>
      <c r="U65" s="56">
        <f>ROUND(((P65*I65)+(Q65*J65)+(R65*K65)+(S65*L65)+(T65*M65))*O65,2)</f>
        <v>0</v>
      </c>
      <c r="V65" s="59">
        <f>IF(U65&gt;=15,15,U65)</f>
        <v>0</v>
      </c>
      <c r="W65" s="110"/>
      <c r="X65" s="88"/>
      <c r="Y65" s="222"/>
      <c r="Z65" s="126"/>
      <c r="AA65" s="99"/>
      <c r="AB65" s="58" t="e">
        <f>ROUND((((W65*I65)+(X65*J65)+(Y65*K65)+(Z65*L65)+(AA65*M65))/$I$2),2)*13</f>
        <v>#DIV/0!</v>
      </c>
      <c r="AC65" s="59" t="e">
        <f>IF(AB65&gt;=13,13,AB65)</f>
        <v>#DIV/0!</v>
      </c>
      <c r="AD65" s="109"/>
      <c r="AE65" s="56" t="e">
        <f>IF((AC65+AD65)&gt;=15,15,(AC65+AD65))</f>
        <v>#DIV/0!</v>
      </c>
      <c r="AF65" s="61"/>
      <c r="AG65" s="62"/>
      <c r="AH65" s="63" t="e">
        <f>IF((V65+AE65+AF65)&gt;=30,30,(V65+AE65+AF65))</f>
        <v>#DIV/0!</v>
      </c>
      <c r="AI65" s="64">
        <v>10</v>
      </c>
      <c r="AJ65" s="64">
        <v>10</v>
      </c>
      <c r="AK65" s="64">
        <v>45</v>
      </c>
      <c r="AL65" s="65" t="e">
        <f>V65+AE65+AF65+AI65+AJ65+AK65+AG65</f>
        <v>#DIV/0!</v>
      </c>
      <c r="AM65" s="66" t="e">
        <f>IF(AH65+AI65+AJ65+AK65+AG65&gt;=95,95,AH65+AI65+AJ65+AK65+AG65)</f>
        <v>#DIV/0!</v>
      </c>
      <c r="AN65" s="67" t="e">
        <f>-((50-((176+(45+(50-AH65)))))/200)</f>
        <v>#DIV/0!</v>
      </c>
      <c r="AO65" s="68"/>
      <c r="AP65" s="69">
        <f>100%+AO65</f>
        <v>1</v>
      </c>
      <c r="AQ65" s="69">
        <f>100%+AP65</f>
        <v>2</v>
      </c>
      <c r="AR65" s="70"/>
      <c r="AS65" s="71"/>
      <c r="AT65" s="72"/>
      <c r="AU65" s="72"/>
      <c r="AV65" s="72"/>
      <c r="AW65" s="72"/>
      <c r="AX65" s="73"/>
      <c r="AY65" s="74">
        <f>AT65+AU65+AV65+AW65+AX65</f>
        <v>0</v>
      </c>
      <c r="AZ65" s="74">
        <f>(AT65*I65)+(AU65*J65)+(AV65*K65)+(AW65*L65)+(AX65*M65)</f>
        <v>0</v>
      </c>
    </row>
    <row r="66" spans="1:52" s="75" customFormat="1" ht="21" customHeight="1" thickBot="1" x14ac:dyDescent="0.2">
      <c r="A66" s="45"/>
      <c r="B66" s="46"/>
      <c r="C66" s="232" t="s">
        <v>62</v>
      </c>
      <c r="D66" s="233"/>
      <c r="E66" s="233"/>
      <c r="F66" s="233"/>
      <c r="G66" s="234"/>
      <c r="H66" s="122"/>
      <c r="I66" s="220"/>
      <c r="J66" s="89"/>
      <c r="K66" s="89"/>
      <c r="L66" s="89"/>
      <c r="M66" s="89"/>
      <c r="N66" s="90">
        <f>I66*I65+J66*J65+K66*K65+L66*L65+M66*M65</f>
        <v>0</v>
      </c>
      <c r="O66" s="91"/>
      <c r="P66" s="92"/>
      <c r="Q66" s="93"/>
      <c r="R66" s="93"/>
      <c r="S66" s="94"/>
      <c r="T66" s="95"/>
      <c r="U66" s="56"/>
      <c r="V66" s="59"/>
      <c r="W66" s="96"/>
      <c r="X66" s="97"/>
      <c r="Y66" s="98"/>
      <c r="Z66" s="97"/>
      <c r="AA66" s="99"/>
      <c r="AB66" s="58"/>
      <c r="AC66" s="59"/>
      <c r="AD66" s="56"/>
      <c r="AE66" s="56"/>
      <c r="AF66" s="157"/>
      <c r="AG66" s="100"/>
      <c r="AH66" s="63"/>
      <c r="AI66" s="101"/>
      <c r="AJ66" s="93"/>
      <c r="AK66" s="63"/>
      <c r="AL66" s="67"/>
      <c r="AM66" s="68"/>
      <c r="AN66" s="69"/>
      <c r="AO66" s="69"/>
      <c r="AP66" s="70"/>
      <c r="AQ66" s="71"/>
      <c r="AR66" s="72"/>
      <c r="AS66" s="72"/>
      <c r="AT66" s="72"/>
      <c r="AU66" s="72"/>
      <c r="AV66" s="73"/>
      <c r="AW66" s="74"/>
      <c r="AX66" s="74"/>
      <c r="AZ66" s="75">
        <f t="shared" ref="AZ66" si="63">(AT66*I66)+(AU66*J66)+(AV66*K66)+(AW66*L66)+(AX66*M66)</f>
        <v>0</v>
      </c>
    </row>
    <row r="67" spans="1:52" s="75" customFormat="1" ht="39.75" customHeight="1" thickBot="1" x14ac:dyDescent="0.2">
      <c r="A67" s="45"/>
      <c r="B67" s="87"/>
      <c r="C67" s="226"/>
      <c r="D67" s="87"/>
      <c r="E67" s="225"/>
      <c r="F67" s="225"/>
      <c r="G67" s="224"/>
      <c r="H67" s="160"/>
      <c r="I67" s="48"/>
      <c r="J67" s="50"/>
      <c r="K67" s="50"/>
      <c r="L67" s="49"/>
      <c r="M67" s="51"/>
      <c r="N67" s="102">
        <f>SUM(I67:M67)</f>
        <v>0</v>
      </c>
      <c r="O67" s="53">
        <v>1</v>
      </c>
      <c r="P67" s="107"/>
      <c r="Q67" s="108"/>
      <c r="R67" s="108"/>
      <c r="S67" s="194"/>
      <c r="T67" s="95"/>
      <c r="U67" s="56">
        <f>ROUND(((P67*I67)+(Q67*J67)+(R67*K67)+(S67*L67)+(T67*M67))*O67,2)</f>
        <v>0</v>
      </c>
      <c r="V67" s="59">
        <f>IF(U67&gt;=15,15,U67)</f>
        <v>0</v>
      </c>
      <c r="W67" s="227"/>
      <c r="X67" s="164"/>
      <c r="Y67" s="164"/>
      <c r="Z67" s="183"/>
      <c r="AA67" s="99"/>
      <c r="AB67" s="58" t="e">
        <f>ROUND((((W67*I67)+(X67*J67)+(Y67*K67)+(Z67*L67)+(AA67*M67))/$I$2),2)*13</f>
        <v>#DIV/0!</v>
      </c>
      <c r="AC67" s="59" t="e">
        <f>IF(AB67&gt;=13,13,AB67)</f>
        <v>#DIV/0!</v>
      </c>
      <c r="AD67" s="60"/>
      <c r="AE67" s="56" t="e">
        <f>IF((AC67+AD67)&gt;=15,15,(AC67+AD67))</f>
        <v>#DIV/0!</v>
      </c>
      <c r="AF67" s="61"/>
      <c r="AG67" s="62"/>
      <c r="AH67" s="63" t="e">
        <f>IF((V67+AE67+AF67)&gt;=30,30,(V67+AE67+AF67))</f>
        <v>#DIV/0!</v>
      </c>
      <c r="AI67" s="64">
        <v>10</v>
      </c>
      <c r="AJ67" s="64">
        <v>10</v>
      </c>
      <c r="AK67" s="64">
        <v>45</v>
      </c>
      <c r="AL67" s="65" t="e">
        <f>V67+AE67+AF67+AI67+AJ67+AK67+AG67</f>
        <v>#DIV/0!</v>
      </c>
      <c r="AM67" s="66" t="e">
        <f>IF(AH67+AI67+AJ67+AK67+AG67&gt;=95,95,AH67+AI67+AJ67+AK67+AG67)</f>
        <v>#DIV/0!</v>
      </c>
      <c r="AN67" s="67" t="e">
        <f>-((50-((176+(45+(50-AH67)))))/200)</f>
        <v>#DIV/0!</v>
      </c>
      <c r="AO67" s="68"/>
      <c r="AP67" s="69">
        <f>100%+AO67</f>
        <v>1</v>
      </c>
      <c r="AQ67" s="69">
        <f>100%+AP67</f>
        <v>2</v>
      </c>
      <c r="AR67" s="70"/>
      <c r="AS67" s="71"/>
      <c r="AT67" s="72"/>
      <c r="AU67" s="72"/>
      <c r="AV67" s="72"/>
      <c r="AW67" s="72"/>
      <c r="AX67" s="73"/>
      <c r="AY67" s="74">
        <f>AT67+AU67+AV67+AW67+AX67</f>
        <v>0</v>
      </c>
      <c r="AZ67" s="74">
        <f>(AT67*I67)+(AU67*J67)+(AV67*K67)+(AW67*L67)+(AX67*M67)</f>
        <v>0</v>
      </c>
    </row>
    <row r="68" spans="1:52" s="75" customFormat="1" ht="21" customHeight="1" thickBot="1" x14ac:dyDescent="0.2">
      <c r="A68" s="45"/>
      <c r="B68" s="46"/>
      <c r="C68" s="232" t="s">
        <v>63</v>
      </c>
      <c r="D68" s="233"/>
      <c r="E68" s="233"/>
      <c r="F68" s="233"/>
      <c r="G68" s="234"/>
      <c r="H68" s="122"/>
      <c r="I68" s="220"/>
      <c r="J68" s="89"/>
      <c r="K68" s="89"/>
      <c r="L68" s="89"/>
      <c r="M68" s="89"/>
      <c r="N68" s="90">
        <f>I68*I67+J68*J67+K68*K67+L68*L67+M68*M67</f>
        <v>0</v>
      </c>
      <c r="O68" s="91"/>
      <c r="P68" s="92"/>
      <c r="Q68" s="93"/>
      <c r="R68" s="93"/>
      <c r="S68" s="94"/>
      <c r="T68" s="95"/>
      <c r="U68" s="56"/>
      <c r="V68" s="59"/>
      <c r="W68" s="96"/>
      <c r="X68" s="97"/>
      <c r="Y68" s="98"/>
      <c r="Z68" s="97"/>
      <c r="AA68" s="99"/>
      <c r="AB68" s="58"/>
      <c r="AC68" s="59"/>
      <c r="AD68" s="56"/>
      <c r="AE68" s="56"/>
      <c r="AF68" s="157"/>
      <c r="AG68" s="100"/>
      <c r="AH68" s="63"/>
      <c r="AI68" s="101"/>
      <c r="AJ68" s="93"/>
      <c r="AK68" s="63"/>
      <c r="AL68" s="67"/>
      <c r="AM68" s="68"/>
      <c r="AN68" s="69"/>
      <c r="AO68" s="69"/>
      <c r="AP68" s="70"/>
      <c r="AQ68" s="71"/>
      <c r="AR68" s="72"/>
      <c r="AS68" s="72"/>
      <c r="AT68" s="72"/>
      <c r="AU68" s="72"/>
      <c r="AV68" s="73"/>
      <c r="AW68" s="74"/>
      <c r="AX68" s="74"/>
      <c r="AZ68" s="75">
        <f t="shared" ref="AZ68" si="64">(AT68*I68)+(AU68*J68)+(AV68*K68)+(AW68*L68)+(AX68*M68)</f>
        <v>0</v>
      </c>
    </row>
    <row r="69" spans="1:52" s="75" customFormat="1" ht="39.75" customHeight="1" thickBot="1" x14ac:dyDescent="0.2">
      <c r="A69" s="87"/>
      <c r="B69" s="46"/>
      <c r="C69" s="223"/>
      <c r="D69" s="87"/>
      <c r="E69" s="87"/>
      <c r="F69" s="228"/>
      <c r="G69" s="87"/>
      <c r="H69" s="160"/>
      <c r="I69" s="48"/>
      <c r="J69" s="50"/>
      <c r="K69" s="50"/>
      <c r="L69" s="49"/>
      <c r="M69" s="104"/>
      <c r="N69" s="102">
        <f t="shared" ref="N69:N79" si="65">SUM(I69:M69)</f>
        <v>0</v>
      </c>
      <c r="O69" s="91">
        <v>1</v>
      </c>
      <c r="P69" s="92"/>
      <c r="Q69" s="93"/>
      <c r="R69" s="93"/>
      <c r="S69" s="214"/>
      <c r="T69" s="95"/>
      <c r="U69" s="56">
        <f t="shared" si="12"/>
        <v>0</v>
      </c>
      <c r="V69" s="59">
        <f t="shared" si="2"/>
        <v>0</v>
      </c>
      <c r="W69" s="163"/>
      <c r="X69" s="126"/>
      <c r="Y69" s="204"/>
      <c r="Z69" s="183"/>
      <c r="AA69" s="99"/>
      <c r="AB69" s="58" t="e">
        <f t="shared" si="3"/>
        <v>#DIV/0!</v>
      </c>
      <c r="AC69" s="59" t="e">
        <f t="shared" si="4"/>
        <v>#DIV/0!</v>
      </c>
      <c r="AD69" s="109"/>
      <c r="AE69" s="56" t="e">
        <f t="shared" si="5"/>
        <v>#DIV/0!</v>
      </c>
      <c r="AF69" s="61"/>
      <c r="AG69" s="62"/>
      <c r="AH69" s="63" t="e">
        <f t="shared" si="6"/>
        <v>#DIV/0!</v>
      </c>
      <c r="AI69" s="64">
        <v>10</v>
      </c>
      <c r="AJ69" s="64">
        <v>10</v>
      </c>
      <c r="AK69" s="64">
        <v>45</v>
      </c>
      <c r="AL69" s="65" t="e">
        <f t="shared" si="7"/>
        <v>#DIV/0!</v>
      </c>
      <c r="AM69" s="66" t="e">
        <f t="shared" si="8"/>
        <v>#DIV/0!</v>
      </c>
      <c r="AN69" s="67" t="e">
        <f t="shared" si="9"/>
        <v>#DIV/0!</v>
      </c>
      <c r="AO69" s="68"/>
      <c r="AP69" s="69">
        <f t="shared" ref="AP69:AQ83" si="66">100%+AO69</f>
        <v>1</v>
      </c>
      <c r="AQ69" s="69">
        <f t="shared" si="66"/>
        <v>2</v>
      </c>
      <c r="AR69" s="70"/>
      <c r="AS69" s="71"/>
      <c r="AT69" s="72"/>
      <c r="AU69" s="72"/>
      <c r="AV69" s="72"/>
      <c r="AW69" s="72"/>
      <c r="AX69" s="73"/>
      <c r="AY69" s="74">
        <f t="shared" si="11"/>
        <v>0</v>
      </c>
      <c r="AZ69" s="74">
        <f t="shared" si="1"/>
        <v>0</v>
      </c>
    </row>
    <row r="70" spans="1:52" s="75" customFormat="1" ht="21" customHeight="1" thickBot="1" x14ac:dyDescent="0.2">
      <c r="A70" s="45"/>
      <c r="B70" s="46"/>
      <c r="C70" s="232" t="s">
        <v>63</v>
      </c>
      <c r="D70" s="233"/>
      <c r="E70" s="233"/>
      <c r="F70" s="233"/>
      <c r="G70" s="234"/>
      <c r="H70" s="122"/>
      <c r="I70" s="220"/>
      <c r="J70" s="89"/>
      <c r="K70" s="89"/>
      <c r="L70" s="89"/>
      <c r="M70" s="89"/>
      <c r="N70" s="90">
        <f>I70*I69+J70*J69+K70*K69+L70*L69+M70*M69</f>
        <v>0</v>
      </c>
      <c r="O70" s="91"/>
      <c r="P70" s="92"/>
      <c r="Q70" s="93"/>
      <c r="R70" s="93"/>
      <c r="S70" s="94"/>
      <c r="T70" s="95"/>
      <c r="U70" s="56"/>
      <c r="V70" s="59"/>
      <c r="W70" s="96"/>
      <c r="X70" s="97"/>
      <c r="Y70" s="98"/>
      <c r="Z70" s="97"/>
      <c r="AA70" s="99"/>
      <c r="AB70" s="58"/>
      <c r="AC70" s="59"/>
      <c r="AD70" s="56"/>
      <c r="AE70" s="56"/>
      <c r="AF70" s="157"/>
      <c r="AG70" s="100"/>
      <c r="AH70" s="63"/>
      <c r="AI70" s="101"/>
      <c r="AJ70" s="93"/>
      <c r="AK70" s="63"/>
      <c r="AL70" s="67"/>
      <c r="AM70" s="68"/>
      <c r="AN70" s="69"/>
      <c r="AO70" s="69"/>
      <c r="AP70" s="70"/>
      <c r="AQ70" s="71"/>
      <c r="AR70" s="72"/>
      <c r="AS70" s="72"/>
      <c r="AT70" s="72"/>
      <c r="AU70" s="72"/>
      <c r="AV70" s="73"/>
      <c r="AW70" s="74"/>
      <c r="AX70" s="74"/>
      <c r="AZ70" s="75">
        <f t="shared" ref="AZ70:AZ143" si="67">(AT70*I70)+(AU70*J70)+(AV70*K70)+(AW70*L70)+(AX70*M70)</f>
        <v>0</v>
      </c>
    </row>
    <row r="71" spans="1:52" s="75" customFormat="1" ht="39.75" customHeight="1" thickBot="1" x14ac:dyDescent="0.2">
      <c r="A71" s="45"/>
      <c r="B71" s="46"/>
      <c r="C71" s="223"/>
      <c r="D71" s="87"/>
      <c r="E71" s="87"/>
      <c r="F71" s="87"/>
      <c r="G71" s="105"/>
      <c r="H71" s="160"/>
      <c r="I71" s="48"/>
      <c r="J71" s="50"/>
      <c r="K71" s="50"/>
      <c r="L71" s="117"/>
      <c r="M71" s="51"/>
      <c r="N71" s="102">
        <f t="shared" ref="N71:N73" si="68">SUM(I71:M71)</f>
        <v>0</v>
      </c>
      <c r="O71" s="53">
        <v>1</v>
      </c>
      <c r="P71" s="54"/>
      <c r="Q71" s="55"/>
      <c r="R71" s="55"/>
      <c r="S71" s="76"/>
      <c r="T71" s="95"/>
      <c r="U71" s="56">
        <f t="shared" si="12"/>
        <v>0</v>
      </c>
      <c r="V71" s="59">
        <f t="shared" si="2"/>
        <v>0</v>
      </c>
      <c r="W71" s="199"/>
      <c r="X71" s="97"/>
      <c r="Y71" s="196"/>
      <c r="Z71" s="57"/>
      <c r="AA71" s="99"/>
      <c r="AB71" s="58" t="e">
        <f t="shared" si="3"/>
        <v>#DIV/0!</v>
      </c>
      <c r="AC71" s="59" t="e">
        <f t="shared" si="4"/>
        <v>#DIV/0!</v>
      </c>
      <c r="AD71" s="60"/>
      <c r="AE71" s="56" t="e">
        <f t="shared" si="5"/>
        <v>#DIV/0!</v>
      </c>
      <c r="AF71" s="61"/>
      <c r="AG71" s="62"/>
      <c r="AH71" s="63" t="e">
        <f t="shared" si="6"/>
        <v>#DIV/0!</v>
      </c>
      <c r="AI71" s="64">
        <v>10</v>
      </c>
      <c r="AJ71" s="64">
        <v>10</v>
      </c>
      <c r="AK71" s="64">
        <v>45</v>
      </c>
      <c r="AL71" s="65" t="e">
        <f t="shared" si="7"/>
        <v>#DIV/0!</v>
      </c>
      <c r="AM71" s="66" t="e">
        <f t="shared" si="8"/>
        <v>#DIV/0!</v>
      </c>
      <c r="AN71" s="67" t="e">
        <f t="shared" si="9"/>
        <v>#DIV/0!</v>
      </c>
      <c r="AO71" s="68"/>
      <c r="AP71" s="69">
        <f t="shared" si="66"/>
        <v>1</v>
      </c>
      <c r="AQ71" s="69">
        <f t="shared" si="66"/>
        <v>2</v>
      </c>
      <c r="AR71" s="70"/>
      <c r="AS71" s="71"/>
      <c r="AT71" s="72"/>
      <c r="AU71" s="72"/>
      <c r="AV71" s="72"/>
      <c r="AW71" s="72"/>
      <c r="AX71" s="73"/>
      <c r="AY71" s="74">
        <f t="shared" si="11"/>
        <v>0</v>
      </c>
      <c r="AZ71" s="74">
        <f t="shared" si="67"/>
        <v>0</v>
      </c>
    </row>
    <row r="72" spans="1:52" s="75" customFormat="1" ht="21" customHeight="1" thickBot="1" x14ac:dyDescent="0.2">
      <c r="A72" s="45"/>
      <c r="B72" s="46"/>
      <c r="C72" s="232" t="s">
        <v>63</v>
      </c>
      <c r="D72" s="233"/>
      <c r="E72" s="233"/>
      <c r="F72" s="233"/>
      <c r="G72" s="234"/>
      <c r="H72" s="122"/>
      <c r="I72" s="220"/>
      <c r="J72" s="89"/>
      <c r="K72" s="89"/>
      <c r="L72" s="89"/>
      <c r="M72" s="89"/>
      <c r="N72" s="90">
        <f>I72*I71+J72*J71+K72*K71+L72*L71+M72*M71</f>
        <v>0</v>
      </c>
      <c r="O72" s="91"/>
      <c r="P72" s="92"/>
      <c r="Q72" s="93"/>
      <c r="R72" s="93"/>
      <c r="S72" s="94"/>
      <c r="T72" s="95"/>
      <c r="U72" s="56"/>
      <c r="V72" s="59"/>
      <c r="W72" s="96"/>
      <c r="X72" s="97"/>
      <c r="Y72" s="98"/>
      <c r="Z72" s="97"/>
      <c r="AA72" s="99"/>
      <c r="AB72" s="58"/>
      <c r="AC72" s="59"/>
      <c r="AD72" s="56"/>
      <c r="AE72" s="56"/>
      <c r="AF72" s="157"/>
      <c r="AG72" s="100"/>
      <c r="AH72" s="63"/>
      <c r="AI72" s="101"/>
      <c r="AJ72" s="93"/>
      <c r="AK72" s="63"/>
      <c r="AL72" s="67"/>
      <c r="AM72" s="68"/>
      <c r="AN72" s="69"/>
      <c r="AO72" s="69"/>
      <c r="AP72" s="70"/>
      <c r="AQ72" s="71"/>
      <c r="AR72" s="72"/>
      <c r="AS72" s="72"/>
      <c r="AT72" s="72"/>
      <c r="AU72" s="72"/>
      <c r="AV72" s="73"/>
      <c r="AW72" s="74"/>
      <c r="AX72" s="74"/>
      <c r="AZ72" s="75">
        <f t="shared" si="67"/>
        <v>0</v>
      </c>
    </row>
    <row r="73" spans="1:52" s="75" customFormat="1" ht="39.75" customHeight="1" thickBot="1" x14ac:dyDescent="0.2">
      <c r="A73" s="45"/>
      <c r="B73" s="46"/>
      <c r="C73" s="223"/>
      <c r="D73" s="229"/>
      <c r="E73" s="229"/>
      <c r="F73" s="229"/>
      <c r="G73" s="105"/>
      <c r="H73" s="160"/>
      <c r="I73" s="48"/>
      <c r="J73" s="50"/>
      <c r="K73" s="50"/>
      <c r="L73" s="49"/>
      <c r="M73" s="51"/>
      <c r="N73" s="102">
        <f t="shared" si="68"/>
        <v>0</v>
      </c>
      <c r="O73" s="53">
        <v>1</v>
      </c>
      <c r="P73" s="54"/>
      <c r="Q73" s="55"/>
      <c r="R73" s="194"/>
      <c r="S73" s="76"/>
      <c r="T73" s="95"/>
      <c r="U73" s="56">
        <f t="shared" si="12"/>
        <v>0</v>
      </c>
      <c r="V73" s="59">
        <f t="shared" si="2"/>
        <v>0</v>
      </c>
      <c r="W73" s="163"/>
      <c r="X73" s="88"/>
      <c r="Y73" s="199"/>
      <c r="Z73" s="199"/>
      <c r="AA73" s="99"/>
      <c r="AB73" s="58" t="e">
        <f t="shared" si="3"/>
        <v>#DIV/0!</v>
      </c>
      <c r="AC73" s="59" t="e">
        <f t="shared" si="4"/>
        <v>#DIV/0!</v>
      </c>
      <c r="AD73" s="60"/>
      <c r="AE73" s="56" t="e">
        <f t="shared" si="5"/>
        <v>#DIV/0!</v>
      </c>
      <c r="AF73" s="61"/>
      <c r="AG73" s="62"/>
      <c r="AH73" s="63" t="e">
        <f t="shared" si="6"/>
        <v>#DIV/0!</v>
      </c>
      <c r="AI73" s="64">
        <v>10</v>
      </c>
      <c r="AJ73" s="64">
        <v>10</v>
      </c>
      <c r="AK73" s="64">
        <v>45</v>
      </c>
      <c r="AL73" s="65" t="e">
        <f t="shared" si="7"/>
        <v>#DIV/0!</v>
      </c>
      <c r="AM73" s="66" t="e">
        <f t="shared" si="8"/>
        <v>#DIV/0!</v>
      </c>
      <c r="AN73" s="67" t="e">
        <f t="shared" si="9"/>
        <v>#DIV/0!</v>
      </c>
      <c r="AO73" s="68"/>
      <c r="AP73" s="69">
        <f t="shared" si="66"/>
        <v>1</v>
      </c>
      <c r="AQ73" s="69">
        <f t="shared" si="66"/>
        <v>2</v>
      </c>
      <c r="AR73" s="70"/>
      <c r="AS73" s="71"/>
      <c r="AT73" s="72"/>
      <c r="AU73" s="72"/>
      <c r="AV73" s="72"/>
      <c r="AW73" s="72"/>
      <c r="AX73" s="73"/>
      <c r="AY73" s="74">
        <f t="shared" si="11"/>
        <v>0</v>
      </c>
      <c r="AZ73" s="74">
        <f t="shared" si="67"/>
        <v>0</v>
      </c>
    </row>
    <row r="74" spans="1:52" s="75" customFormat="1" ht="21" customHeight="1" thickBot="1" x14ac:dyDescent="0.2">
      <c r="A74" s="45"/>
      <c r="B74" s="46"/>
      <c r="C74" s="232" t="s">
        <v>63</v>
      </c>
      <c r="D74" s="233"/>
      <c r="E74" s="233"/>
      <c r="F74" s="233"/>
      <c r="G74" s="234"/>
      <c r="H74" s="122"/>
      <c r="I74" s="220"/>
      <c r="J74" s="89"/>
      <c r="K74" s="89"/>
      <c r="L74" s="89"/>
      <c r="M74" s="89"/>
      <c r="N74" s="90">
        <f>I74*I73+J74*J73+K74*K73+L74*L73+M74*M73</f>
        <v>0</v>
      </c>
      <c r="O74" s="91"/>
      <c r="P74" s="92"/>
      <c r="Q74" s="93"/>
      <c r="R74" s="93"/>
      <c r="S74" s="94"/>
      <c r="T74" s="95"/>
      <c r="U74" s="56"/>
      <c r="V74" s="59"/>
      <c r="W74" s="96"/>
      <c r="X74" s="97"/>
      <c r="Y74" s="98"/>
      <c r="Z74" s="97"/>
      <c r="AA74" s="99"/>
      <c r="AB74" s="58"/>
      <c r="AC74" s="59"/>
      <c r="AD74" s="56"/>
      <c r="AE74" s="56"/>
      <c r="AF74" s="157"/>
      <c r="AG74" s="100"/>
      <c r="AH74" s="63"/>
      <c r="AI74" s="101"/>
      <c r="AJ74" s="93"/>
      <c r="AK74" s="63"/>
      <c r="AL74" s="67"/>
      <c r="AM74" s="68"/>
      <c r="AN74" s="69"/>
      <c r="AO74" s="69"/>
      <c r="AP74" s="70"/>
      <c r="AQ74" s="71"/>
      <c r="AR74" s="72"/>
      <c r="AS74" s="72"/>
      <c r="AT74" s="72"/>
      <c r="AU74" s="72"/>
      <c r="AV74" s="73"/>
      <c r="AW74" s="74"/>
      <c r="AX74" s="74"/>
      <c r="AZ74" s="75">
        <f t="shared" si="67"/>
        <v>0</v>
      </c>
    </row>
    <row r="75" spans="1:52" s="75" customFormat="1" ht="39.75" customHeight="1" thickBot="1" x14ac:dyDescent="0.2">
      <c r="A75" s="87"/>
      <c r="B75" s="87"/>
      <c r="C75" s="87"/>
      <c r="D75" s="87"/>
      <c r="E75" s="87"/>
      <c r="F75" s="47"/>
      <c r="G75" s="105"/>
      <c r="H75" s="160"/>
      <c r="I75" s="48"/>
      <c r="J75" s="50"/>
      <c r="K75" s="50"/>
      <c r="L75" s="49"/>
      <c r="M75" s="104"/>
      <c r="N75" s="102">
        <f t="shared" si="65"/>
        <v>0</v>
      </c>
      <c r="O75" s="91">
        <v>1</v>
      </c>
      <c r="P75" s="92"/>
      <c r="Q75" s="93"/>
      <c r="R75" s="93"/>
      <c r="S75" s="214"/>
      <c r="T75" s="95"/>
      <c r="U75" s="56">
        <f t="shared" si="12"/>
        <v>0</v>
      </c>
      <c r="V75" s="59">
        <f t="shared" si="2"/>
        <v>0</v>
      </c>
      <c r="W75" s="110"/>
      <c r="X75" s="111"/>
      <c r="Y75" s="97"/>
      <c r="Z75" s="112"/>
      <c r="AA75" s="99"/>
      <c r="AB75" s="58" t="e">
        <f t="shared" si="3"/>
        <v>#DIV/0!</v>
      </c>
      <c r="AC75" s="59" t="e">
        <f t="shared" si="4"/>
        <v>#DIV/0!</v>
      </c>
      <c r="AD75" s="109"/>
      <c r="AE75" s="56" t="e">
        <f t="shared" si="5"/>
        <v>#DIV/0!</v>
      </c>
      <c r="AF75" s="61"/>
      <c r="AG75" s="62"/>
      <c r="AH75" s="63" t="e">
        <f t="shared" si="6"/>
        <v>#DIV/0!</v>
      </c>
      <c r="AI75" s="64">
        <v>10</v>
      </c>
      <c r="AJ75" s="64">
        <v>10</v>
      </c>
      <c r="AK75" s="64">
        <v>45</v>
      </c>
      <c r="AL75" s="65" t="e">
        <f t="shared" si="7"/>
        <v>#DIV/0!</v>
      </c>
      <c r="AM75" s="66" t="e">
        <f t="shared" si="8"/>
        <v>#DIV/0!</v>
      </c>
      <c r="AN75" s="67" t="e">
        <f t="shared" si="9"/>
        <v>#DIV/0!</v>
      </c>
      <c r="AO75" s="68"/>
      <c r="AP75" s="69">
        <f t="shared" si="66"/>
        <v>1</v>
      </c>
      <c r="AQ75" s="69">
        <f t="shared" si="66"/>
        <v>2</v>
      </c>
      <c r="AR75" s="70"/>
      <c r="AS75" s="71"/>
      <c r="AT75" s="72"/>
      <c r="AU75" s="72"/>
      <c r="AV75" s="72"/>
      <c r="AW75" s="72"/>
      <c r="AX75" s="73"/>
      <c r="AY75" s="74">
        <f t="shared" si="11"/>
        <v>0</v>
      </c>
      <c r="AZ75" s="74">
        <f t="shared" si="67"/>
        <v>0</v>
      </c>
    </row>
    <row r="76" spans="1:52" s="75" customFormat="1" ht="21" customHeight="1" thickBot="1" x14ac:dyDescent="0.2">
      <c r="A76" s="45"/>
      <c r="B76" s="46"/>
      <c r="C76" s="232" t="s">
        <v>63</v>
      </c>
      <c r="D76" s="233"/>
      <c r="E76" s="233"/>
      <c r="F76" s="233"/>
      <c r="G76" s="234"/>
      <c r="H76" s="122"/>
      <c r="I76" s="220"/>
      <c r="J76" s="89"/>
      <c r="K76" s="89"/>
      <c r="L76" s="89"/>
      <c r="M76" s="89"/>
      <c r="N76" s="90">
        <f>I76*I75+J76*J75+K76*K75+L76*L75+M76*M75</f>
        <v>0</v>
      </c>
      <c r="O76" s="91"/>
      <c r="P76" s="92"/>
      <c r="Q76" s="93"/>
      <c r="R76" s="93"/>
      <c r="S76" s="94"/>
      <c r="T76" s="95"/>
      <c r="U76" s="56"/>
      <c r="V76" s="59"/>
      <c r="W76" s="96"/>
      <c r="X76" s="97"/>
      <c r="Y76" s="98"/>
      <c r="Z76" s="97"/>
      <c r="AA76" s="99"/>
      <c r="AB76" s="58"/>
      <c r="AC76" s="59"/>
      <c r="AD76" s="56"/>
      <c r="AE76" s="56"/>
      <c r="AF76" s="157"/>
      <c r="AG76" s="100"/>
      <c r="AH76" s="63"/>
      <c r="AI76" s="101"/>
      <c r="AJ76" s="93"/>
      <c r="AK76" s="63"/>
      <c r="AL76" s="67"/>
      <c r="AM76" s="68"/>
      <c r="AN76" s="69"/>
      <c r="AO76" s="69"/>
      <c r="AP76" s="70"/>
      <c r="AQ76" s="71"/>
      <c r="AR76" s="72"/>
      <c r="AS76" s="72"/>
      <c r="AT76" s="72"/>
      <c r="AU76" s="72"/>
      <c r="AV76" s="73"/>
      <c r="AW76" s="74"/>
      <c r="AX76" s="74"/>
      <c r="AZ76" s="75">
        <f t="shared" si="67"/>
        <v>0</v>
      </c>
    </row>
    <row r="77" spans="1:52" s="75" customFormat="1" ht="39.75" customHeight="1" thickBot="1" x14ac:dyDescent="0.2">
      <c r="A77" s="87"/>
      <c r="B77" s="87"/>
      <c r="C77" s="87"/>
      <c r="D77" s="87"/>
      <c r="E77" s="87"/>
      <c r="F77" s="47"/>
      <c r="G77" s="105"/>
      <c r="H77" s="160"/>
      <c r="I77" s="48"/>
      <c r="J77" s="50"/>
      <c r="K77" s="50"/>
      <c r="L77" s="49"/>
      <c r="M77" s="104"/>
      <c r="N77" s="102">
        <f t="shared" si="65"/>
        <v>0</v>
      </c>
      <c r="O77" s="91">
        <v>1</v>
      </c>
      <c r="P77" s="92"/>
      <c r="Q77" s="93"/>
      <c r="R77" s="93"/>
      <c r="S77" s="214"/>
      <c r="T77" s="95"/>
      <c r="U77" s="56">
        <f t="shared" si="12"/>
        <v>0</v>
      </c>
      <c r="V77" s="59">
        <f t="shared" si="2"/>
        <v>0</v>
      </c>
      <c r="W77" s="110"/>
      <c r="X77" s="111"/>
      <c r="Y77" s="97"/>
      <c r="Z77" s="112"/>
      <c r="AA77" s="99"/>
      <c r="AB77" s="58" t="e">
        <f t="shared" si="3"/>
        <v>#DIV/0!</v>
      </c>
      <c r="AC77" s="59" t="e">
        <f t="shared" si="4"/>
        <v>#DIV/0!</v>
      </c>
      <c r="AD77" s="109"/>
      <c r="AE77" s="56" t="e">
        <f t="shared" si="5"/>
        <v>#DIV/0!</v>
      </c>
      <c r="AF77" s="61"/>
      <c r="AG77" s="62"/>
      <c r="AH77" s="63" t="e">
        <f t="shared" si="6"/>
        <v>#DIV/0!</v>
      </c>
      <c r="AI77" s="64">
        <v>10</v>
      </c>
      <c r="AJ77" s="64">
        <v>10</v>
      </c>
      <c r="AK77" s="64">
        <v>45</v>
      </c>
      <c r="AL77" s="65" t="e">
        <f t="shared" si="7"/>
        <v>#DIV/0!</v>
      </c>
      <c r="AM77" s="66" t="e">
        <f t="shared" si="8"/>
        <v>#DIV/0!</v>
      </c>
      <c r="AN77" s="67" t="e">
        <f t="shared" si="9"/>
        <v>#DIV/0!</v>
      </c>
      <c r="AO77" s="68"/>
      <c r="AP77" s="69">
        <f t="shared" si="66"/>
        <v>1</v>
      </c>
      <c r="AQ77" s="69">
        <f t="shared" si="66"/>
        <v>2</v>
      </c>
      <c r="AR77" s="70"/>
      <c r="AS77" s="71"/>
      <c r="AT77" s="72"/>
      <c r="AU77" s="72"/>
      <c r="AV77" s="72"/>
      <c r="AW77" s="72"/>
      <c r="AX77" s="73"/>
      <c r="AY77" s="74">
        <f t="shared" si="11"/>
        <v>0</v>
      </c>
      <c r="AZ77" s="74">
        <f t="shared" si="67"/>
        <v>0</v>
      </c>
    </row>
    <row r="78" spans="1:52" s="75" customFormat="1" ht="21" customHeight="1" thickBot="1" x14ac:dyDescent="0.2">
      <c r="A78" s="45"/>
      <c r="B78" s="46"/>
      <c r="C78" s="232" t="s">
        <v>63</v>
      </c>
      <c r="D78" s="233"/>
      <c r="E78" s="233"/>
      <c r="F78" s="233"/>
      <c r="G78" s="234"/>
      <c r="H78" s="122"/>
      <c r="I78" s="220"/>
      <c r="J78" s="89"/>
      <c r="K78" s="89"/>
      <c r="L78" s="89"/>
      <c r="M78" s="89"/>
      <c r="N78" s="90">
        <f>I78*I77+J78*J77+K78*K77+L78*L77+M78*M77</f>
        <v>0</v>
      </c>
      <c r="O78" s="91"/>
      <c r="P78" s="92"/>
      <c r="Q78" s="93"/>
      <c r="R78" s="93"/>
      <c r="S78" s="94"/>
      <c r="T78" s="95"/>
      <c r="U78" s="56"/>
      <c r="V78" s="59"/>
      <c r="W78" s="96"/>
      <c r="X78" s="97"/>
      <c r="Y78" s="98"/>
      <c r="Z78" s="97"/>
      <c r="AA78" s="99"/>
      <c r="AB78" s="58"/>
      <c r="AC78" s="59"/>
      <c r="AD78" s="56"/>
      <c r="AE78" s="56"/>
      <c r="AF78" s="157"/>
      <c r="AG78" s="100"/>
      <c r="AH78" s="63"/>
      <c r="AI78" s="101"/>
      <c r="AJ78" s="93"/>
      <c r="AK78" s="63"/>
      <c r="AL78" s="67"/>
      <c r="AM78" s="68"/>
      <c r="AN78" s="69"/>
      <c r="AO78" s="69"/>
      <c r="AP78" s="70"/>
      <c r="AQ78" s="71"/>
      <c r="AR78" s="72"/>
      <c r="AS78" s="72"/>
      <c r="AT78" s="72"/>
      <c r="AU78" s="72"/>
      <c r="AV78" s="73"/>
      <c r="AW78" s="74"/>
      <c r="AX78" s="74"/>
      <c r="AZ78" s="75">
        <f t="shared" si="67"/>
        <v>0</v>
      </c>
    </row>
    <row r="79" spans="1:52" s="75" customFormat="1" ht="39.75" customHeight="1" thickBot="1" x14ac:dyDescent="0.2">
      <c r="A79" s="87"/>
      <c r="B79" s="87"/>
      <c r="C79" s="87"/>
      <c r="D79" s="87"/>
      <c r="E79" s="87"/>
      <c r="F79" s="47"/>
      <c r="G79" s="105"/>
      <c r="H79" s="160"/>
      <c r="I79" s="48"/>
      <c r="J79" s="50"/>
      <c r="K79" s="50"/>
      <c r="L79" s="49"/>
      <c r="M79" s="104"/>
      <c r="N79" s="102">
        <f t="shared" si="65"/>
        <v>0</v>
      </c>
      <c r="O79" s="91">
        <v>1</v>
      </c>
      <c r="P79" s="92"/>
      <c r="Q79" s="93"/>
      <c r="R79" s="93"/>
      <c r="S79" s="214"/>
      <c r="T79" s="95"/>
      <c r="U79" s="56">
        <f t="shared" si="12"/>
        <v>0</v>
      </c>
      <c r="V79" s="59">
        <f t="shared" si="2"/>
        <v>0</v>
      </c>
      <c r="W79" s="110"/>
      <c r="X79" s="111"/>
      <c r="Y79" s="97"/>
      <c r="Z79" s="112"/>
      <c r="AA79" s="99"/>
      <c r="AB79" s="58" t="e">
        <f t="shared" si="3"/>
        <v>#DIV/0!</v>
      </c>
      <c r="AC79" s="59" t="e">
        <f t="shared" si="4"/>
        <v>#DIV/0!</v>
      </c>
      <c r="AD79" s="109"/>
      <c r="AE79" s="56" t="e">
        <f t="shared" si="5"/>
        <v>#DIV/0!</v>
      </c>
      <c r="AF79" s="61"/>
      <c r="AG79" s="62"/>
      <c r="AH79" s="63" t="e">
        <f t="shared" si="6"/>
        <v>#DIV/0!</v>
      </c>
      <c r="AI79" s="64">
        <v>10</v>
      </c>
      <c r="AJ79" s="64">
        <v>10</v>
      </c>
      <c r="AK79" s="64">
        <v>45</v>
      </c>
      <c r="AL79" s="65" t="e">
        <f t="shared" si="7"/>
        <v>#DIV/0!</v>
      </c>
      <c r="AM79" s="66" t="e">
        <f t="shared" si="8"/>
        <v>#DIV/0!</v>
      </c>
      <c r="AN79" s="67" t="e">
        <f t="shared" si="9"/>
        <v>#DIV/0!</v>
      </c>
      <c r="AO79" s="68"/>
      <c r="AP79" s="69">
        <f t="shared" si="66"/>
        <v>1</v>
      </c>
      <c r="AQ79" s="69">
        <f t="shared" si="66"/>
        <v>2</v>
      </c>
      <c r="AR79" s="70"/>
      <c r="AS79" s="71"/>
      <c r="AT79" s="72"/>
      <c r="AU79" s="72"/>
      <c r="AV79" s="72"/>
      <c r="AW79" s="72"/>
      <c r="AX79" s="73"/>
      <c r="AY79" s="74">
        <f t="shared" si="11"/>
        <v>0</v>
      </c>
      <c r="AZ79" s="74">
        <f t="shared" si="67"/>
        <v>0</v>
      </c>
    </row>
    <row r="80" spans="1:52" s="75" customFormat="1" ht="21" customHeight="1" thickBot="1" x14ac:dyDescent="0.2">
      <c r="A80" s="45"/>
      <c r="B80" s="46"/>
      <c r="C80" s="232" t="s">
        <v>63</v>
      </c>
      <c r="D80" s="233"/>
      <c r="E80" s="233"/>
      <c r="F80" s="233"/>
      <c r="G80" s="234"/>
      <c r="H80" s="122"/>
      <c r="I80" s="220"/>
      <c r="J80" s="89"/>
      <c r="K80" s="89"/>
      <c r="L80" s="89"/>
      <c r="M80" s="89"/>
      <c r="N80" s="90">
        <f>I80*I79+J80*J79+K80*K79+L80*L79+M80*M79</f>
        <v>0</v>
      </c>
      <c r="O80" s="91"/>
      <c r="P80" s="92"/>
      <c r="Q80" s="93"/>
      <c r="R80" s="93"/>
      <c r="S80" s="94"/>
      <c r="T80" s="95"/>
      <c r="U80" s="56"/>
      <c r="V80" s="59"/>
      <c r="W80" s="96"/>
      <c r="X80" s="97"/>
      <c r="Y80" s="98"/>
      <c r="Z80" s="97"/>
      <c r="AA80" s="99"/>
      <c r="AB80" s="58"/>
      <c r="AC80" s="59"/>
      <c r="AD80" s="56"/>
      <c r="AE80" s="56"/>
      <c r="AF80" s="157"/>
      <c r="AG80" s="100"/>
      <c r="AH80" s="63"/>
      <c r="AI80" s="101"/>
      <c r="AJ80" s="93"/>
      <c r="AK80" s="63"/>
      <c r="AL80" s="67"/>
      <c r="AM80" s="68"/>
      <c r="AN80" s="69"/>
      <c r="AO80" s="69"/>
      <c r="AP80" s="70"/>
      <c r="AQ80" s="71"/>
      <c r="AR80" s="72"/>
      <c r="AS80" s="72"/>
      <c r="AT80" s="72"/>
      <c r="AU80" s="72"/>
      <c r="AV80" s="73"/>
      <c r="AW80" s="74"/>
      <c r="AX80" s="74"/>
      <c r="AZ80" s="75">
        <f t="shared" si="67"/>
        <v>0</v>
      </c>
    </row>
    <row r="81" spans="1:52" s="75" customFormat="1" ht="39.75" customHeight="1" thickBot="1" x14ac:dyDescent="0.2">
      <c r="A81" s="113"/>
      <c r="B81" s="113"/>
      <c r="C81" s="113"/>
      <c r="D81" s="113"/>
      <c r="E81" s="113"/>
      <c r="F81" s="47"/>
      <c r="G81" s="105"/>
      <c r="H81" s="160"/>
      <c r="I81" s="48"/>
      <c r="J81" s="50"/>
      <c r="K81" s="50"/>
      <c r="L81" s="49"/>
      <c r="M81" s="104"/>
      <c r="N81" s="102">
        <f t="shared" ref="N81:N144" si="69">SUM(I81:M81)</f>
        <v>0</v>
      </c>
      <c r="O81" s="91">
        <v>1</v>
      </c>
      <c r="P81" s="92"/>
      <c r="Q81" s="93"/>
      <c r="R81" s="93"/>
      <c r="S81" s="214"/>
      <c r="T81" s="95"/>
      <c r="U81" s="56">
        <f t="shared" ref="U81:U144" si="70">ROUND(((P81*I81)+(Q81*J81)+(R81*K81)+(S81*L81)+(T81*M81))*O81,2)</f>
        <v>0</v>
      </c>
      <c r="V81" s="59">
        <f t="shared" ref="V81:V144" si="71">IF(U81&gt;=15,15,U81)</f>
        <v>0</v>
      </c>
      <c r="W81" s="110"/>
      <c r="X81" s="111"/>
      <c r="Y81" s="97"/>
      <c r="Z81" s="112"/>
      <c r="AA81" s="99"/>
      <c r="AB81" s="58" t="e">
        <f t="shared" ref="AB81:AB144" si="72">ROUND((((W81*I81)+(X81*J81)+(Y81*K81)+(Z81*L81)+(AA81*M81))/$I$2),2)*13</f>
        <v>#DIV/0!</v>
      </c>
      <c r="AC81" s="59" t="e">
        <f t="shared" ref="AC81:AC144" si="73">IF(AB81&gt;=13,13,AB81)</f>
        <v>#DIV/0!</v>
      </c>
      <c r="AD81" s="109"/>
      <c r="AE81" s="56" t="e">
        <f t="shared" ref="AE81:AE144" si="74">IF((AC81+AD81)&gt;=15,15,(AC81+AD81))</f>
        <v>#DIV/0!</v>
      </c>
      <c r="AF81" s="61"/>
      <c r="AG81" s="62"/>
      <c r="AH81" s="63" t="e">
        <f t="shared" ref="AH81:AH144" si="75">IF((V81+AE81+AF81)&gt;=30,30,(V81+AE81+AF81))</f>
        <v>#DIV/0!</v>
      </c>
      <c r="AI81" s="64">
        <v>10</v>
      </c>
      <c r="AJ81" s="64">
        <v>10</v>
      </c>
      <c r="AK81" s="64">
        <v>45</v>
      </c>
      <c r="AL81" s="65" t="e">
        <f t="shared" ref="AL81:AL144" si="76">V81+AE81+AF81+AI81+AJ81+AK81+AG81</f>
        <v>#DIV/0!</v>
      </c>
      <c r="AM81" s="66" t="e">
        <f t="shared" ref="AM81:AM144" si="77">IF(AH81+AI81+AJ81+AK81+AG81&gt;=95,95,AH81+AI81+AJ81+AK81+AG81)</f>
        <v>#DIV/0!</v>
      </c>
      <c r="AN81" s="67" t="e">
        <f t="shared" ref="AN81:AN144" si="78">-((50-((176+(45+(50-AH81)))))/200)</f>
        <v>#DIV/0!</v>
      </c>
      <c r="AO81" s="68"/>
      <c r="AP81" s="69">
        <f t="shared" si="66"/>
        <v>1</v>
      </c>
      <c r="AQ81" s="69">
        <f t="shared" si="66"/>
        <v>2</v>
      </c>
      <c r="AR81" s="70"/>
      <c r="AS81" s="71"/>
      <c r="AT81" s="72"/>
      <c r="AU81" s="72"/>
      <c r="AV81" s="72"/>
      <c r="AW81" s="72"/>
      <c r="AX81" s="73"/>
      <c r="AY81" s="74">
        <f t="shared" ref="AY81:AY144" si="79">AT81+AU81+AV81+AW81+AX81</f>
        <v>0</v>
      </c>
      <c r="AZ81" s="74">
        <f t="shared" si="67"/>
        <v>0</v>
      </c>
    </row>
    <row r="82" spans="1:52" s="75" customFormat="1" ht="21" customHeight="1" thickBot="1" x14ac:dyDescent="0.2">
      <c r="A82" s="45"/>
      <c r="B82" s="46"/>
      <c r="C82" s="232" t="s">
        <v>66</v>
      </c>
      <c r="D82" s="233"/>
      <c r="E82" s="233"/>
      <c r="F82" s="233"/>
      <c r="G82" s="234"/>
      <c r="H82" s="122"/>
      <c r="I82" s="220"/>
      <c r="J82" s="89"/>
      <c r="K82" s="89"/>
      <c r="L82" s="89"/>
      <c r="M82" s="89"/>
      <c r="N82" s="90">
        <f>I82*I81+J82*J81+K82*K81+L82*L81+M82*M81</f>
        <v>0</v>
      </c>
      <c r="O82" s="91"/>
      <c r="P82" s="92"/>
      <c r="Q82" s="93"/>
      <c r="R82" s="93"/>
      <c r="S82" s="94"/>
      <c r="T82" s="95"/>
      <c r="U82" s="56"/>
      <c r="V82" s="59"/>
      <c r="W82" s="96"/>
      <c r="X82" s="97"/>
      <c r="Y82" s="98"/>
      <c r="Z82" s="97"/>
      <c r="AA82" s="99"/>
      <c r="AB82" s="58"/>
      <c r="AC82" s="59"/>
      <c r="AD82" s="56"/>
      <c r="AE82" s="56"/>
      <c r="AF82" s="157"/>
      <c r="AG82" s="100"/>
      <c r="AH82" s="63"/>
      <c r="AI82" s="101"/>
      <c r="AJ82" s="93"/>
      <c r="AK82" s="63"/>
      <c r="AL82" s="67"/>
      <c r="AM82" s="68"/>
      <c r="AN82" s="69"/>
      <c r="AO82" s="69"/>
      <c r="AP82" s="70"/>
      <c r="AQ82" s="71"/>
      <c r="AR82" s="72"/>
      <c r="AS82" s="72"/>
      <c r="AT82" s="72"/>
      <c r="AU82" s="72"/>
      <c r="AV82" s="73"/>
      <c r="AW82" s="74"/>
      <c r="AX82" s="74"/>
      <c r="AZ82" s="75">
        <f t="shared" si="67"/>
        <v>0</v>
      </c>
    </row>
    <row r="83" spans="1:52" s="75" customFormat="1" ht="39.75" customHeight="1" thickBot="1" x14ac:dyDescent="0.2">
      <c r="A83" s="114"/>
      <c r="B83" s="114"/>
      <c r="C83" s="87"/>
      <c r="D83" s="87"/>
      <c r="E83" s="87"/>
      <c r="F83" s="226"/>
      <c r="G83" s="230"/>
      <c r="H83" s="160"/>
      <c r="I83" s="48"/>
      <c r="J83" s="50"/>
      <c r="K83" s="50"/>
      <c r="L83" s="49"/>
      <c r="M83" s="104"/>
      <c r="N83" s="102">
        <f t="shared" si="69"/>
        <v>0</v>
      </c>
      <c r="O83" s="91">
        <v>1</v>
      </c>
      <c r="P83" s="92"/>
      <c r="Q83" s="93"/>
      <c r="R83" s="93"/>
      <c r="S83" s="214"/>
      <c r="T83" s="95"/>
      <c r="U83" s="56">
        <f t="shared" si="70"/>
        <v>0</v>
      </c>
      <c r="V83" s="59">
        <f t="shared" si="71"/>
        <v>0</v>
      </c>
      <c r="W83" s="110"/>
      <c r="X83" s="111"/>
      <c r="Y83" s="97"/>
      <c r="Z83" s="112"/>
      <c r="AA83" s="99"/>
      <c r="AB83" s="58" t="e">
        <f t="shared" si="72"/>
        <v>#DIV/0!</v>
      </c>
      <c r="AC83" s="59" t="e">
        <f t="shared" si="73"/>
        <v>#DIV/0!</v>
      </c>
      <c r="AD83" s="109"/>
      <c r="AE83" s="56" t="e">
        <f t="shared" si="74"/>
        <v>#DIV/0!</v>
      </c>
      <c r="AF83" s="61"/>
      <c r="AG83" s="62"/>
      <c r="AH83" s="63" t="e">
        <f t="shared" si="75"/>
        <v>#DIV/0!</v>
      </c>
      <c r="AI83" s="64">
        <v>10</v>
      </c>
      <c r="AJ83" s="64">
        <v>10</v>
      </c>
      <c r="AK83" s="64">
        <v>45</v>
      </c>
      <c r="AL83" s="65" t="e">
        <f t="shared" si="76"/>
        <v>#DIV/0!</v>
      </c>
      <c r="AM83" s="66" t="e">
        <f t="shared" si="77"/>
        <v>#DIV/0!</v>
      </c>
      <c r="AN83" s="67" t="e">
        <f t="shared" si="78"/>
        <v>#DIV/0!</v>
      </c>
      <c r="AO83" s="68"/>
      <c r="AP83" s="69">
        <f t="shared" si="66"/>
        <v>1</v>
      </c>
      <c r="AQ83" s="69">
        <f t="shared" si="66"/>
        <v>2</v>
      </c>
      <c r="AR83" s="70"/>
      <c r="AS83" s="71"/>
      <c r="AT83" s="72"/>
      <c r="AU83" s="72"/>
      <c r="AV83" s="72"/>
      <c r="AW83" s="72"/>
      <c r="AX83" s="73"/>
      <c r="AY83" s="74">
        <f t="shared" si="79"/>
        <v>0</v>
      </c>
      <c r="AZ83" s="74">
        <f t="shared" si="67"/>
        <v>0</v>
      </c>
    </row>
    <row r="84" spans="1:52" s="75" customFormat="1" ht="21" customHeight="1" thickBot="1" x14ac:dyDescent="0.2">
      <c r="A84" s="45"/>
      <c r="B84" s="46"/>
      <c r="C84" s="232" t="s">
        <v>66</v>
      </c>
      <c r="D84" s="233"/>
      <c r="E84" s="233"/>
      <c r="F84" s="233"/>
      <c r="G84" s="234"/>
      <c r="H84" s="122"/>
      <c r="I84" s="220"/>
      <c r="J84" s="89"/>
      <c r="K84" s="89"/>
      <c r="L84" s="89"/>
      <c r="M84" s="89"/>
      <c r="N84" s="90">
        <f>I84*I83+J84*J83+K84*K83+L84*L83+M84*M83</f>
        <v>0</v>
      </c>
      <c r="O84" s="91"/>
      <c r="P84" s="92"/>
      <c r="Q84" s="93"/>
      <c r="R84" s="93"/>
      <c r="S84" s="94"/>
      <c r="T84" s="95"/>
      <c r="U84" s="56"/>
      <c r="V84" s="59"/>
      <c r="W84" s="96"/>
      <c r="X84" s="97"/>
      <c r="Y84" s="98"/>
      <c r="Z84" s="97"/>
      <c r="AA84" s="99"/>
      <c r="AB84" s="58"/>
      <c r="AC84" s="59"/>
      <c r="AD84" s="56"/>
      <c r="AE84" s="56"/>
      <c r="AF84" s="157"/>
      <c r="AG84" s="100"/>
      <c r="AH84" s="63"/>
      <c r="AI84" s="101"/>
      <c r="AJ84" s="93"/>
      <c r="AK84" s="63"/>
      <c r="AL84" s="67"/>
      <c r="AM84" s="68"/>
      <c r="AN84" s="69"/>
      <c r="AO84" s="69"/>
      <c r="AP84" s="70"/>
      <c r="AQ84" s="71"/>
      <c r="AR84" s="72"/>
      <c r="AS84" s="72"/>
      <c r="AT84" s="72"/>
      <c r="AU84" s="72"/>
      <c r="AV84" s="73"/>
      <c r="AW84" s="74"/>
      <c r="AX84" s="74"/>
      <c r="AZ84" s="75">
        <f t="shared" si="67"/>
        <v>0</v>
      </c>
    </row>
    <row r="85" spans="1:52" s="75" customFormat="1" ht="39.75" customHeight="1" thickBot="1" x14ac:dyDescent="0.2">
      <c r="A85" s="114"/>
      <c r="B85" s="114"/>
      <c r="C85" s="114"/>
      <c r="D85" s="114"/>
      <c r="E85" s="114"/>
      <c r="F85" s="115"/>
      <c r="G85" s="116"/>
      <c r="H85" s="160"/>
      <c r="I85" s="48"/>
      <c r="J85" s="50"/>
      <c r="K85" s="50"/>
      <c r="L85" s="49"/>
      <c r="M85" s="104"/>
      <c r="N85" s="102">
        <f t="shared" si="69"/>
        <v>0</v>
      </c>
      <c r="O85" s="91">
        <v>1</v>
      </c>
      <c r="P85" s="92"/>
      <c r="Q85" s="93"/>
      <c r="R85" s="93"/>
      <c r="S85" s="214"/>
      <c r="T85" s="95"/>
      <c r="U85" s="56">
        <f t="shared" si="70"/>
        <v>0</v>
      </c>
      <c r="V85" s="59">
        <f t="shared" si="71"/>
        <v>0</v>
      </c>
      <c r="W85" s="110"/>
      <c r="X85" s="111"/>
      <c r="Y85" s="97"/>
      <c r="Z85" s="112"/>
      <c r="AA85" s="99"/>
      <c r="AB85" s="58" t="e">
        <f t="shared" si="72"/>
        <v>#DIV/0!</v>
      </c>
      <c r="AC85" s="59" t="e">
        <f t="shared" si="73"/>
        <v>#DIV/0!</v>
      </c>
      <c r="AD85" s="109"/>
      <c r="AE85" s="56" t="e">
        <f t="shared" si="74"/>
        <v>#DIV/0!</v>
      </c>
      <c r="AF85" s="61"/>
      <c r="AG85" s="62"/>
      <c r="AH85" s="63" t="e">
        <f t="shared" si="75"/>
        <v>#DIV/0!</v>
      </c>
      <c r="AI85" s="64">
        <v>10</v>
      </c>
      <c r="AJ85" s="64">
        <v>10</v>
      </c>
      <c r="AK85" s="64">
        <v>45</v>
      </c>
      <c r="AL85" s="65" t="e">
        <f t="shared" si="76"/>
        <v>#DIV/0!</v>
      </c>
      <c r="AM85" s="66" t="e">
        <f t="shared" si="77"/>
        <v>#DIV/0!</v>
      </c>
      <c r="AN85" s="67" t="e">
        <f t="shared" si="78"/>
        <v>#DIV/0!</v>
      </c>
      <c r="AO85" s="68"/>
      <c r="AP85" s="69">
        <f t="shared" ref="AP85:AQ103" si="80">100%+AO85</f>
        <v>1</v>
      </c>
      <c r="AQ85" s="69">
        <f t="shared" si="80"/>
        <v>2</v>
      </c>
      <c r="AR85" s="70"/>
      <c r="AS85" s="71"/>
      <c r="AT85" s="72"/>
      <c r="AU85" s="72"/>
      <c r="AV85" s="72"/>
      <c r="AW85" s="72"/>
      <c r="AX85" s="73"/>
      <c r="AY85" s="74">
        <f t="shared" si="79"/>
        <v>0</v>
      </c>
      <c r="AZ85" s="74">
        <f t="shared" si="67"/>
        <v>0</v>
      </c>
    </row>
    <row r="86" spans="1:52" s="75" customFormat="1" ht="21" customHeight="1" thickBot="1" x14ac:dyDescent="0.2">
      <c r="A86" s="45"/>
      <c r="B86" s="46"/>
      <c r="C86" s="232" t="s">
        <v>63</v>
      </c>
      <c r="D86" s="233"/>
      <c r="E86" s="233"/>
      <c r="F86" s="233"/>
      <c r="G86" s="234"/>
      <c r="H86" s="122"/>
      <c r="I86" s="220"/>
      <c r="J86" s="89"/>
      <c r="K86" s="89"/>
      <c r="L86" s="89"/>
      <c r="M86" s="89"/>
      <c r="N86" s="90">
        <f>I86*I85+J86*J85+K86*K85+L86*L85+M86*M85</f>
        <v>0</v>
      </c>
      <c r="O86" s="91"/>
      <c r="P86" s="92"/>
      <c r="Q86" s="93"/>
      <c r="R86" s="93"/>
      <c r="S86" s="94"/>
      <c r="T86" s="95"/>
      <c r="U86" s="56"/>
      <c r="V86" s="59"/>
      <c r="W86" s="96"/>
      <c r="X86" s="97"/>
      <c r="Y86" s="98"/>
      <c r="Z86" s="97"/>
      <c r="AA86" s="99"/>
      <c r="AB86" s="58"/>
      <c r="AC86" s="59"/>
      <c r="AD86" s="56"/>
      <c r="AE86" s="56"/>
      <c r="AF86" s="157"/>
      <c r="AG86" s="100"/>
      <c r="AH86" s="63"/>
      <c r="AI86" s="101"/>
      <c r="AJ86" s="93"/>
      <c r="AK86" s="63"/>
      <c r="AL86" s="67"/>
      <c r="AM86" s="68"/>
      <c r="AN86" s="69"/>
      <c r="AO86" s="69"/>
      <c r="AP86" s="70"/>
      <c r="AQ86" s="71"/>
      <c r="AR86" s="72"/>
      <c r="AS86" s="72"/>
      <c r="AT86" s="72"/>
      <c r="AU86" s="72"/>
      <c r="AV86" s="73"/>
      <c r="AW86" s="74"/>
      <c r="AX86" s="74"/>
      <c r="AZ86" s="75">
        <f t="shared" si="67"/>
        <v>0</v>
      </c>
    </row>
    <row r="87" spans="1:52" s="75" customFormat="1" ht="39.75" customHeight="1" thickBot="1" x14ac:dyDescent="0.2">
      <c r="A87" s="114"/>
      <c r="B87" s="114"/>
      <c r="C87" s="114"/>
      <c r="D87" s="114"/>
      <c r="E87" s="114"/>
      <c r="F87" s="115"/>
      <c r="G87" s="116"/>
      <c r="H87" s="160"/>
      <c r="I87" s="48"/>
      <c r="J87" s="50"/>
      <c r="K87" s="50"/>
      <c r="L87" s="49"/>
      <c r="M87" s="104"/>
      <c r="N87" s="102">
        <f t="shared" si="69"/>
        <v>0</v>
      </c>
      <c r="O87" s="91">
        <v>1</v>
      </c>
      <c r="P87" s="92"/>
      <c r="Q87" s="93"/>
      <c r="R87" s="93"/>
      <c r="S87" s="214"/>
      <c r="T87" s="95"/>
      <c r="U87" s="56">
        <f t="shared" si="70"/>
        <v>0</v>
      </c>
      <c r="V87" s="59">
        <f t="shared" si="71"/>
        <v>0</v>
      </c>
      <c r="W87" s="110"/>
      <c r="X87" s="111"/>
      <c r="Y87" s="97"/>
      <c r="Z87" s="112"/>
      <c r="AA87" s="99"/>
      <c r="AB87" s="58" t="e">
        <f t="shared" si="72"/>
        <v>#DIV/0!</v>
      </c>
      <c r="AC87" s="59" t="e">
        <f t="shared" si="73"/>
        <v>#DIV/0!</v>
      </c>
      <c r="AD87" s="109"/>
      <c r="AE87" s="56" t="e">
        <f t="shared" si="74"/>
        <v>#DIV/0!</v>
      </c>
      <c r="AF87" s="61"/>
      <c r="AG87" s="62"/>
      <c r="AH87" s="63" t="e">
        <f t="shared" si="75"/>
        <v>#DIV/0!</v>
      </c>
      <c r="AI87" s="64">
        <v>10</v>
      </c>
      <c r="AJ87" s="64">
        <v>10</v>
      </c>
      <c r="AK87" s="64">
        <v>45</v>
      </c>
      <c r="AL87" s="65" t="e">
        <f t="shared" si="76"/>
        <v>#DIV/0!</v>
      </c>
      <c r="AM87" s="66" t="e">
        <f t="shared" si="77"/>
        <v>#DIV/0!</v>
      </c>
      <c r="AN87" s="67" t="e">
        <f t="shared" si="78"/>
        <v>#DIV/0!</v>
      </c>
      <c r="AO87" s="68"/>
      <c r="AP87" s="69">
        <f t="shared" si="80"/>
        <v>1</v>
      </c>
      <c r="AQ87" s="69">
        <f t="shared" si="80"/>
        <v>2</v>
      </c>
      <c r="AR87" s="70"/>
      <c r="AS87" s="71"/>
      <c r="AT87" s="72"/>
      <c r="AU87" s="72"/>
      <c r="AV87" s="72"/>
      <c r="AW87" s="72"/>
      <c r="AX87" s="73"/>
      <c r="AY87" s="74">
        <f t="shared" si="79"/>
        <v>0</v>
      </c>
      <c r="AZ87" s="74">
        <f t="shared" si="67"/>
        <v>0</v>
      </c>
    </row>
    <row r="88" spans="1:52" s="75" customFormat="1" ht="21" customHeight="1" thickBot="1" x14ac:dyDescent="0.2">
      <c r="A88" s="45"/>
      <c r="B88" s="46"/>
      <c r="C88" s="232" t="s">
        <v>63</v>
      </c>
      <c r="D88" s="233"/>
      <c r="E88" s="233"/>
      <c r="F88" s="233"/>
      <c r="G88" s="234"/>
      <c r="H88" s="122"/>
      <c r="I88" s="220"/>
      <c r="J88" s="89"/>
      <c r="K88" s="89"/>
      <c r="L88" s="89"/>
      <c r="M88" s="89"/>
      <c r="N88" s="90">
        <f>I88*I87+J88*J87+K88*K87+L88*L87+M88*M87</f>
        <v>0</v>
      </c>
      <c r="O88" s="91"/>
      <c r="P88" s="92"/>
      <c r="Q88" s="93"/>
      <c r="R88" s="93"/>
      <c r="S88" s="94"/>
      <c r="T88" s="95"/>
      <c r="U88" s="56"/>
      <c r="V88" s="59"/>
      <c r="W88" s="96"/>
      <c r="X88" s="97"/>
      <c r="Y88" s="98"/>
      <c r="Z88" s="97"/>
      <c r="AA88" s="99"/>
      <c r="AB88" s="58"/>
      <c r="AC88" s="59"/>
      <c r="AD88" s="56"/>
      <c r="AE88" s="56"/>
      <c r="AF88" s="157"/>
      <c r="AG88" s="100"/>
      <c r="AH88" s="63"/>
      <c r="AI88" s="101"/>
      <c r="AJ88" s="93"/>
      <c r="AK88" s="63"/>
      <c r="AL88" s="67"/>
      <c r="AM88" s="68"/>
      <c r="AN88" s="69"/>
      <c r="AO88" s="69"/>
      <c r="AP88" s="70"/>
      <c r="AQ88" s="71"/>
      <c r="AR88" s="72"/>
      <c r="AS88" s="72"/>
      <c r="AT88" s="72"/>
      <c r="AU88" s="72"/>
      <c r="AV88" s="73"/>
      <c r="AW88" s="74"/>
      <c r="AX88" s="74"/>
      <c r="AZ88" s="75">
        <f t="shared" si="67"/>
        <v>0</v>
      </c>
    </row>
    <row r="89" spans="1:52" s="75" customFormat="1" ht="39.75" customHeight="1" thickBot="1" x14ac:dyDescent="0.2">
      <c r="A89" s="114"/>
      <c r="B89" s="114"/>
      <c r="C89" s="114"/>
      <c r="D89" s="114"/>
      <c r="E89" s="114"/>
      <c r="F89" s="115"/>
      <c r="G89" s="116"/>
      <c r="H89" s="160"/>
      <c r="I89" s="48"/>
      <c r="J89" s="50"/>
      <c r="K89" s="50"/>
      <c r="L89" s="49"/>
      <c r="M89" s="104"/>
      <c r="N89" s="102">
        <f t="shared" si="69"/>
        <v>0</v>
      </c>
      <c r="O89" s="91">
        <v>1</v>
      </c>
      <c r="P89" s="92"/>
      <c r="Q89" s="93"/>
      <c r="R89" s="93"/>
      <c r="S89" s="214"/>
      <c r="T89" s="95"/>
      <c r="U89" s="56">
        <f t="shared" si="70"/>
        <v>0</v>
      </c>
      <c r="V89" s="59">
        <f t="shared" si="71"/>
        <v>0</v>
      </c>
      <c r="W89" s="110"/>
      <c r="X89" s="111"/>
      <c r="Y89" s="97"/>
      <c r="Z89" s="112"/>
      <c r="AA89" s="99"/>
      <c r="AB89" s="58" t="e">
        <f t="shared" si="72"/>
        <v>#DIV/0!</v>
      </c>
      <c r="AC89" s="59" t="e">
        <f t="shared" si="73"/>
        <v>#DIV/0!</v>
      </c>
      <c r="AD89" s="109"/>
      <c r="AE89" s="56" t="e">
        <f t="shared" si="74"/>
        <v>#DIV/0!</v>
      </c>
      <c r="AF89" s="61"/>
      <c r="AG89" s="62"/>
      <c r="AH89" s="63" t="e">
        <f t="shared" si="75"/>
        <v>#DIV/0!</v>
      </c>
      <c r="AI89" s="64">
        <v>10</v>
      </c>
      <c r="AJ89" s="64">
        <v>10</v>
      </c>
      <c r="AK89" s="64">
        <v>45</v>
      </c>
      <c r="AL89" s="65" t="e">
        <f t="shared" si="76"/>
        <v>#DIV/0!</v>
      </c>
      <c r="AM89" s="66" t="e">
        <f t="shared" si="77"/>
        <v>#DIV/0!</v>
      </c>
      <c r="AN89" s="67" t="e">
        <f t="shared" si="78"/>
        <v>#DIV/0!</v>
      </c>
      <c r="AO89" s="68"/>
      <c r="AP89" s="69">
        <f t="shared" si="80"/>
        <v>1</v>
      </c>
      <c r="AQ89" s="69">
        <f t="shared" si="80"/>
        <v>2</v>
      </c>
      <c r="AR89" s="70"/>
      <c r="AS89" s="71"/>
      <c r="AT89" s="72"/>
      <c r="AU89" s="72"/>
      <c r="AV89" s="72"/>
      <c r="AW89" s="72"/>
      <c r="AX89" s="73"/>
      <c r="AY89" s="74">
        <f t="shared" si="79"/>
        <v>0</v>
      </c>
      <c r="AZ89" s="74">
        <f t="shared" si="67"/>
        <v>0</v>
      </c>
    </row>
    <row r="90" spans="1:52" s="75" customFormat="1" ht="39.75" customHeight="1" thickBot="1" x14ac:dyDescent="0.2">
      <c r="A90" s="114"/>
      <c r="B90" s="114"/>
      <c r="C90" s="114"/>
      <c r="D90" s="114"/>
      <c r="E90" s="114"/>
      <c r="F90" s="115"/>
      <c r="G90" s="116"/>
      <c r="H90" s="160"/>
      <c r="I90" s="48"/>
      <c r="J90" s="50"/>
      <c r="K90" s="50"/>
      <c r="L90" s="49"/>
      <c r="M90" s="104"/>
      <c r="N90" s="102">
        <f t="shared" si="69"/>
        <v>0</v>
      </c>
      <c r="O90" s="91">
        <v>1</v>
      </c>
      <c r="P90" s="92"/>
      <c r="Q90" s="93"/>
      <c r="R90" s="93"/>
      <c r="S90" s="214"/>
      <c r="T90" s="95"/>
      <c r="U90" s="56">
        <f t="shared" si="70"/>
        <v>0</v>
      </c>
      <c r="V90" s="59">
        <f t="shared" si="71"/>
        <v>0</v>
      </c>
      <c r="W90" s="110"/>
      <c r="X90" s="111"/>
      <c r="Y90" s="97"/>
      <c r="Z90" s="112"/>
      <c r="AA90" s="99"/>
      <c r="AB90" s="58" t="e">
        <f t="shared" si="72"/>
        <v>#DIV/0!</v>
      </c>
      <c r="AC90" s="59" t="e">
        <f t="shared" si="73"/>
        <v>#DIV/0!</v>
      </c>
      <c r="AD90" s="109"/>
      <c r="AE90" s="56" t="e">
        <f t="shared" si="74"/>
        <v>#DIV/0!</v>
      </c>
      <c r="AF90" s="61"/>
      <c r="AG90" s="62"/>
      <c r="AH90" s="63" t="e">
        <f t="shared" si="75"/>
        <v>#DIV/0!</v>
      </c>
      <c r="AI90" s="64">
        <v>10</v>
      </c>
      <c r="AJ90" s="64">
        <v>10</v>
      </c>
      <c r="AK90" s="64">
        <v>45</v>
      </c>
      <c r="AL90" s="65" t="e">
        <f t="shared" si="76"/>
        <v>#DIV/0!</v>
      </c>
      <c r="AM90" s="66" t="e">
        <f t="shared" si="77"/>
        <v>#DIV/0!</v>
      </c>
      <c r="AN90" s="67" t="e">
        <f t="shared" si="78"/>
        <v>#DIV/0!</v>
      </c>
      <c r="AO90" s="68"/>
      <c r="AP90" s="69">
        <f t="shared" si="80"/>
        <v>1</v>
      </c>
      <c r="AQ90" s="69">
        <f t="shared" si="80"/>
        <v>2</v>
      </c>
      <c r="AR90" s="70"/>
      <c r="AS90" s="71"/>
      <c r="AT90" s="72"/>
      <c r="AU90" s="72"/>
      <c r="AV90" s="72"/>
      <c r="AW90" s="72"/>
      <c r="AX90" s="73"/>
      <c r="AY90" s="74">
        <f t="shared" si="79"/>
        <v>0</v>
      </c>
      <c r="AZ90" s="74">
        <f t="shared" si="67"/>
        <v>0</v>
      </c>
    </row>
    <row r="91" spans="1:52" s="75" customFormat="1" ht="39.75" customHeight="1" thickBot="1" x14ac:dyDescent="0.2">
      <c r="A91" s="114"/>
      <c r="B91" s="114"/>
      <c r="C91" s="114"/>
      <c r="D91" s="114"/>
      <c r="E91" s="114"/>
      <c r="F91" s="115"/>
      <c r="G91" s="116"/>
      <c r="H91" s="160"/>
      <c r="I91" s="48"/>
      <c r="J91" s="50"/>
      <c r="K91" s="50"/>
      <c r="L91" s="49"/>
      <c r="M91" s="104"/>
      <c r="N91" s="102">
        <f t="shared" si="69"/>
        <v>0</v>
      </c>
      <c r="O91" s="91">
        <v>1</v>
      </c>
      <c r="P91" s="92"/>
      <c r="Q91" s="93"/>
      <c r="R91" s="93"/>
      <c r="S91" s="93"/>
      <c r="T91" s="95"/>
      <c r="U91" s="56">
        <f t="shared" si="70"/>
        <v>0</v>
      </c>
      <c r="V91" s="59">
        <f t="shared" si="71"/>
        <v>0</v>
      </c>
      <c r="W91" s="110"/>
      <c r="X91" s="111"/>
      <c r="Y91" s="97"/>
      <c r="Z91" s="112"/>
      <c r="AA91" s="99"/>
      <c r="AB91" s="58" t="e">
        <f t="shared" si="72"/>
        <v>#DIV/0!</v>
      </c>
      <c r="AC91" s="59" t="e">
        <f t="shared" si="73"/>
        <v>#DIV/0!</v>
      </c>
      <c r="AD91" s="109"/>
      <c r="AE91" s="56" t="e">
        <f t="shared" si="74"/>
        <v>#DIV/0!</v>
      </c>
      <c r="AF91" s="61"/>
      <c r="AG91" s="62"/>
      <c r="AH91" s="63" t="e">
        <f t="shared" si="75"/>
        <v>#DIV/0!</v>
      </c>
      <c r="AI91" s="64">
        <v>10</v>
      </c>
      <c r="AJ91" s="64">
        <v>10</v>
      </c>
      <c r="AK91" s="64">
        <v>45</v>
      </c>
      <c r="AL91" s="65" t="e">
        <f t="shared" si="76"/>
        <v>#DIV/0!</v>
      </c>
      <c r="AM91" s="66" t="e">
        <f t="shared" si="77"/>
        <v>#DIV/0!</v>
      </c>
      <c r="AN91" s="67" t="e">
        <f t="shared" si="78"/>
        <v>#DIV/0!</v>
      </c>
      <c r="AO91" s="68"/>
      <c r="AP91" s="69">
        <f t="shared" si="80"/>
        <v>1</v>
      </c>
      <c r="AQ91" s="69">
        <f t="shared" si="80"/>
        <v>2</v>
      </c>
      <c r="AR91" s="70"/>
      <c r="AS91" s="71"/>
      <c r="AT91" s="72"/>
      <c r="AU91" s="72"/>
      <c r="AV91" s="72"/>
      <c r="AW91" s="72"/>
      <c r="AX91" s="73"/>
      <c r="AY91" s="74">
        <f t="shared" si="79"/>
        <v>0</v>
      </c>
      <c r="AZ91" s="74">
        <f t="shared" si="67"/>
        <v>0</v>
      </c>
    </row>
    <row r="92" spans="1:52" s="75" customFormat="1" ht="39.75" customHeight="1" thickBot="1" x14ac:dyDescent="0.2">
      <c r="A92" s="114"/>
      <c r="B92" s="114"/>
      <c r="C92" s="114"/>
      <c r="D92" s="114"/>
      <c r="E92" s="114"/>
      <c r="F92" s="115"/>
      <c r="G92" s="116"/>
      <c r="H92" s="160"/>
      <c r="I92" s="48"/>
      <c r="J92" s="50"/>
      <c r="K92" s="50"/>
      <c r="L92" s="49"/>
      <c r="M92" s="104"/>
      <c r="N92" s="102">
        <f t="shared" si="69"/>
        <v>0</v>
      </c>
      <c r="O92" s="91">
        <v>1</v>
      </c>
      <c r="P92" s="92"/>
      <c r="Q92" s="93"/>
      <c r="R92" s="93"/>
      <c r="S92" s="93"/>
      <c r="T92" s="95"/>
      <c r="U92" s="56">
        <f t="shared" si="70"/>
        <v>0</v>
      </c>
      <c r="V92" s="59">
        <f t="shared" si="71"/>
        <v>0</v>
      </c>
      <c r="W92" s="110"/>
      <c r="X92" s="111"/>
      <c r="Y92" s="97"/>
      <c r="Z92" s="112"/>
      <c r="AA92" s="99"/>
      <c r="AB92" s="58" t="e">
        <f t="shared" si="72"/>
        <v>#DIV/0!</v>
      </c>
      <c r="AC92" s="59" t="e">
        <f t="shared" si="73"/>
        <v>#DIV/0!</v>
      </c>
      <c r="AD92" s="109"/>
      <c r="AE92" s="56" t="e">
        <f t="shared" si="74"/>
        <v>#DIV/0!</v>
      </c>
      <c r="AF92" s="61"/>
      <c r="AG92" s="62"/>
      <c r="AH92" s="63" t="e">
        <f t="shared" si="75"/>
        <v>#DIV/0!</v>
      </c>
      <c r="AI92" s="64">
        <v>10</v>
      </c>
      <c r="AJ92" s="64">
        <v>10</v>
      </c>
      <c r="AK92" s="64">
        <v>45</v>
      </c>
      <c r="AL92" s="65" t="e">
        <f t="shared" si="76"/>
        <v>#DIV/0!</v>
      </c>
      <c r="AM92" s="66" t="e">
        <f t="shared" si="77"/>
        <v>#DIV/0!</v>
      </c>
      <c r="AN92" s="67" t="e">
        <f t="shared" si="78"/>
        <v>#DIV/0!</v>
      </c>
      <c r="AO92" s="68"/>
      <c r="AP92" s="69">
        <f t="shared" si="80"/>
        <v>1</v>
      </c>
      <c r="AQ92" s="69">
        <f t="shared" si="80"/>
        <v>2</v>
      </c>
      <c r="AR92" s="70"/>
      <c r="AS92" s="71"/>
      <c r="AT92" s="72"/>
      <c r="AU92" s="72"/>
      <c r="AV92" s="72"/>
      <c r="AW92" s="72"/>
      <c r="AX92" s="73"/>
      <c r="AY92" s="74">
        <f t="shared" si="79"/>
        <v>0</v>
      </c>
      <c r="AZ92" s="74">
        <f t="shared" si="67"/>
        <v>0</v>
      </c>
    </row>
    <row r="93" spans="1:52" s="75" customFormat="1" ht="39.75" customHeight="1" thickBot="1" x14ac:dyDescent="0.2">
      <c r="A93" s="114"/>
      <c r="B93" s="114"/>
      <c r="C93" s="114"/>
      <c r="D93" s="114"/>
      <c r="E93" s="114"/>
      <c r="F93" s="115"/>
      <c r="G93" s="116"/>
      <c r="H93" s="160"/>
      <c r="I93" s="48"/>
      <c r="J93" s="50"/>
      <c r="K93" s="50"/>
      <c r="L93" s="49"/>
      <c r="M93" s="104"/>
      <c r="N93" s="102">
        <f t="shared" si="69"/>
        <v>0</v>
      </c>
      <c r="O93" s="91">
        <v>1</v>
      </c>
      <c r="P93" s="92"/>
      <c r="Q93" s="93"/>
      <c r="R93" s="93"/>
      <c r="S93" s="93"/>
      <c r="T93" s="95"/>
      <c r="U93" s="56">
        <f t="shared" si="70"/>
        <v>0</v>
      </c>
      <c r="V93" s="59">
        <f t="shared" si="71"/>
        <v>0</v>
      </c>
      <c r="W93" s="110"/>
      <c r="X93" s="111"/>
      <c r="Y93" s="97"/>
      <c r="Z93" s="112"/>
      <c r="AA93" s="99"/>
      <c r="AB93" s="58" t="e">
        <f t="shared" si="72"/>
        <v>#DIV/0!</v>
      </c>
      <c r="AC93" s="59" t="e">
        <f t="shared" si="73"/>
        <v>#DIV/0!</v>
      </c>
      <c r="AD93" s="109"/>
      <c r="AE93" s="56" t="e">
        <f t="shared" si="74"/>
        <v>#DIV/0!</v>
      </c>
      <c r="AF93" s="61"/>
      <c r="AG93" s="100"/>
      <c r="AH93" s="63" t="e">
        <f t="shared" si="75"/>
        <v>#DIV/0!</v>
      </c>
      <c r="AI93" s="64">
        <v>10</v>
      </c>
      <c r="AJ93" s="64">
        <v>10</v>
      </c>
      <c r="AK93" s="64">
        <v>45</v>
      </c>
      <c r="AL93" s="65" t="e">
        <f t="shared" si="76"/>
        <v>#DIV/0!</v>
      </c>
      <c r="AM93" s="66" t="e">
        <f t="shared" si="77"/>
        <v>#DIV/0!</v>
      </c>
      <c r="AN93" s="67" t="e">
        <f t="shared" si="78"/>
        <v>#DIV/0!</v>
      </c>
      <c r="AO93" s="68"/>
      <c r="AP93" s="69">
        <f t="shared" si="80"/>
        <v>1</v>
      </c>
      <c r="AQ93" s="69">
        <f t="shared" si="80"/>
        <v>2</v>
      </c>
      <c r="AR93" s="70"/>
      <c r="AS93" s="71"/>
      <c r="AT93" s="72"/>
      <c r="AU93" s="72"/>
      <c r="AV93" s="72"/>
      <c r="AW93" s="72"/>
      <c r="AX93" s="73"/>
      <c r="AY93" s="74">
        <f t="shared" si="79"/>
        <v>0</v>
      </c>
      <c r="AZ93" s="74">
        <f t="shared" si="67"/>
        <v>0</v>
      </c>
    </row>
    <row r="94" spans="1:52" s="75" customFormat="1" ht="39.75" customHeight="1" thickBot="1" x14ac:dyDescent="0.2">
      <c r="A94" s="114"/>
      <c r="B94" s="114"/>
      <c r="C94" s="114"/>
      <c r="D94" s="114"/>
      <c r="E94" s="114"/>
      <c r="F94" s="115"/>
      <c r="G94" s="116"/>
      <c r="H94" s="160"/>
      <c r="I94" s="48"/>
      <c r="J94" s="50"/>
      <c r="K94" s="50"/>
      <c r="L94" s="49"/>
      <c r="M94" s="104"/>
      <c r="N94" s="102">
        <f t="shared" si="69"/>
        <v>0</v>
      </c>
      <c r="O94" s="91">
        <v>1</v>
      </c>
      <c r="P94" s="92"/>
      <c r="Q94" s="93"/>
      <c r="R94" s="93"/>
      <c r="S94" s="93"/>
      <c r="T94" s="95"/>
      <c r="U94" s="56">
        <f t="shared" si="70"/>
        <v>0</v>
      </c>
      <c r="V94" s="59">
        <f t="shared" si="71"/>
        <v>0</v>
      </c>
      <c r="W94" s="110"/>
      <c r="X94" s="111"/>
      <c r="Y94" s="97"/>
      <c r="Z94" s="112"/>
      <c r="AA94" s="99"/>
      <c r="AB94" s="58" t="e">
        <f t="shared" si="72"/>
        <v>#DIV/0!</v>
      </c>
      <c r="AC94" s="59" t="e">
        <f t="shared" si="73"/>
        <v>#DIV/0!</v>
      </c>
      <c r="AD94" s="109"/>
      <c r="AE94" s="56" t="e">
        <f t="shared" si="74"/>
        <v>#DIV/0!</v>
      </c>
      <c r="AF94" s="61"/>
      <c r="AG94" s="100"/>
      <c r="AH94" s="63" t="e">
        <f t="shared" si="75"/>
        <v>#DIV/0!</v>
      </c>
      <c r="AI94" s="64">
        <v>10</v>
      </c>
      <c r="AJ94" s="64">
        <v>10</v>
      </c>
      <c r="AK94" s="64">
        <v>45</v>
      </c>
      <c r="AL94" s="65" t="e">
        <f t="shared" si="76"/>
        <v>#DIV/0!</v>
      </c>
      <c r="AM94" s="66" t="e">
        <f t="shared" si="77"/>
        <v>#DIV/0!</v>
      </c>
      <c r="AN94" s="67" t="e">
        <f t="shared" si="78"/>
        <v>#DIV/0!</v>
      </c>
      <c r="AO94" s="68"/>
      <c r="AP94" s="69">
        <f t="shared" si="80"/>
        <v>1</v>
      </c>
      <c r="AQ94" s="69">
        <f t="shared" si="80"/>
        <v>2</v>
      </c>
      <c r="AR94" s="70"/>
      <c r="AS94" s="71"/>
      <c r="AT94" s="72"/>
      <c r="AU94" s="72"/>
      <c r="AV94" s="72"/>
      <c r="AW94" s="72"/>
      <c r="AX94" s="73"/>
      <c r="AY94" s="74">
        <f t="shared" si="79"/>
        <v>0</v>
      </c>
      <c r="AZ94" s="74">
        <f t="shared" si="67"/>
        <v>0</v>
      </c>
    </row>
    <row r="95" spans="1:52" s="75" customFormat="1" ht="39.75" customHeight="1" thickBot="1" x14ac:dyDescent="0.2">
      <c r="A95" s="114"/>
      <c r="B95" s="114"/>
      <c r="C95" s="114"/>
      <c r="D95" s="114"/>
      <c r="E95" s="114"/>
      <c r="F95" s="115"/>
      <c r="G95" s="116"/>
      <c r="H95" s="160"/>
      <c r="I95" s="48"/>
      <c r="J95" s="50"/>
      <c r="K95" s="50"/>
      <c r="L95" s="117"/>
      <c r="M95" s="104"/>
      <c r="N95" s="102">
        <f t="shared" si="69"/>
        <v>0</v>
      </c>
      <c r="O95" s="91">
        <v>1</v>
      </c>
      <c r="P95" s="92"/>
      <c r="Q95" s="93"/>
      <c r="R95" s="93"/>
      <c r="S95" s="93"/>
      <c r="T95" s="95"/>
      <c r="U95" s="56">
        <f t="shared" si="70"/>
        <v>0</v>
      </c>
      <c r="V95" s="59">
        <f t="shared" si="71"/>
        <v>0</v>
      </c>
      <c r="W95" s="110"/>
      <c r="X95" s="111"/>
      <c r="Y95" s="97"/>
      <c r="Z95" s="112"/>
      <c r="AA95" s="99"/>
      <c r="AB95" s="58" t="e">
        <f t="shared" si="72"/>
        <v>#DIV/0!</v>
      </c>
      <c r="AC95" s="59" t="e">
        <f t="shared" si="73"/>
        <v>#DIV/0!</v>
      </c>
      <c r="AD95" s="109"/>
      <c r="AE95" s="56" t="e">
        <f t="shared" si="74"/>
        <v>#DIV/0!</v>
      </c>
      <c r="AF95" s="61"/>
      <c r="AG95" s="100"/>
      <c r="AH95" s="63" t="e">
        <f t="shared" si="75"/>
        <v>#DIV/0!</v>
      </c>
      <c r="AI95" s="64">
        <v>10</v>
      </c>
      <c r="AJ95" s="64">
        <v>10</v>
      </c>
      <c r="AK95" s="64">
        <v>45</v>
      </c>
      <c r="AL95" s="65" t="e">
        <f t="shared" si="76"/>
        <v>#DIV/0!</v>
      </c>
      <c r="AM95" s="66" t="e">
        <f t="shared" si="77"/>
        <v>#DIV/0!</v>
      </c>
      <c r="AN95" s="67" t="e">
        <f t="shared" si="78"/>
        <v>#DIV/0!</v>
      </c>
      <c r="AO95" s="68"/>
      <c r="AP95" s="69">
        <f t="shared" si="80"/>
        <v>1</v>
      </c>
      <c r="AQ95" s="69">
        <f t="shared" si="80"/>
        <v>2</v>
      </c>
      <c r="AR95" s="70"/>
      <c r="AS95" s="71"/>
      <c r="AT95" s="72"/>
      <c r="AU95" s="72"/>
      <c r="AV95" s="72"/>
      <c r="AW95" s="72"/>
      <c r="AX95" s="73"/>
      <c r="AY95" s="74">
        <f t="shared" si="79"/>
        <v>0</v>
      </c>
      <c r="AZ95" s="74">
        <f t="shared" si="67"/>
        <v>0</v>
      </c>
    </row>
    <row r="96" spans="1:52" s="75" customFormat="1" ht="39.75" customHeight="1" thickBot="1" x14ac:dyDescent="0.2">
      <c r="A96" s="114"/>
      <c r="B96" s="114"/>
      <c r="C96" s="114"/>
      <c r="D96" s="114"/>
      <c r="E96" s="114"/>
      <c r="F96" s="115"/>
      <c r="G96" s="116"/>
      <c r="H96" s="160"/>
      <c r="I96" s="48"/>
      <c r="J96" s="50"/>
      <c r="K96" s="50"/>
      <c r="L96" s="117"/>
      <c r="M96" s="104"/>
      <c r="N96" s="102">
        <f t="shared" si="69"/>
        <v>0</v>
      </c>
      <c r="O96" s="91">
        <v>1</v>
      </c>
      <c r="P96" s="92"/>
      <c r="Q96" s="93"/>
      <c r="R96" s="93"/>
      <c r="S96" s="93"/>
      <c r="T96" s="95"/>
      <c r="U96" s="56">
        <f t="shared" si="70"/>
        <v>0</v>
      </c>
      <c r="V96" s="59">
        <f t="shared" si="71"/>
        <v>0</v>
      </c>
      <c r="W96" s="110"/>
      <c r="X96" s="111"/>
      <c r="Y96" s="97"/>
      <c r="Z96" s="112"/>
      <c r="AA96" s="99"/>
      <c r="AB96" s="58" t="e">
        <f t="shared" si="72"/>
        <v>#DIV/0!</v>
      </c>
      <c r="AC96" s="59" t="e">
        <f t="shared" si="73"/>
        <v>#DIV/0!</v>
      </c>
      <c r="AD96" s="109"/>
      <c r="AE96" s="56" t="e">
        <f t="shared" si="74"/>
        <v>#DIV/0!</v>
      </c>
      <c r="AF96" s="61"/>
      <c r="AG96" s="100"/>
      <c r="AH96" s="63" t="e">
        <f t="shared" si="75"/>
        <v>#DIV/0!</v>
      </c>
      <c r="AI96" s="64">
        <v>10</v>
      </c>
      <c r="AJ96" s="64">
        <v>10</v>
      </c>
      <c r="AK96" s="64">
        <v>45</v>
      </c>
      <c r="AL96" s="65" t="e">
        <f t="shared" si="76"/>
        <v>#DIV/0!</v>
      </c>
      <c r="AM96" s="66" t="e">
        <f t="shared" si="77"/>
        <v>#DIV/0!</v>
      </c>
      <c r="AN96" s="67" t="e">
        <f t="shared" si="78"/>
        <v>#DIV/0!</v>
      </c>
      <c r="AO96" s="68"/>
      <c r="AP96" s="69">
        <f t="shared" si="80"/>
        <v>1</v>
      </c>
      <c r="AQ96" s="69">
        <f t="shared" si="80"/>
        <v>2</v>
      </c>
      <c r="AR96" s="70"/>
      <c r="AS96" s="71"/>
      <c r="AT96" s="72"/>
      <c r="AU96" s="72"/>
      <c r="AV96" s="72"/>
      <c r="AW96" s="72"/>
      <c r="AX96" s="73"/>
      <c r="AY96" s="74">
        <f t="shared" si="79"/>
        <v>0</v>
      </c>
      <c r="AZ96" s="74">
        <f t="shared" si="67"/>
        <v>0</v>
      </c>
    </row>
    <row r="97" spans="1:52" s="75" customFormat="1" ht="39.75" customHeight="1" thickBot="1" x14ac:dyDescent="0.2">
      <c r="A97" s="114"/>
      <c r="B97" s="114"/>
      <c r="C97" s="114"/>
      <c r="D97" s="114"/>
      <c r="E97" s="114"/>
      <c r="F97" s="115"/>
      <c r="G97" s="116"/>
      <c r="H97" s="160"/>
      <c r="I97" s="48"/>
      <c r="J97" s="50"/>
      <c r="K97" s="50"/>
      <c r="L97" s="117"/>
      <c r="M97" s="104"/>
      <c r="N97" s="102">
        <f t="shared" si="69"/>
        <v>0</v>
      </c>
      <c r="O97" s="91">
        <v>1</v>
      </c>
      <c r="P97" s="92"/>
      <c r="Q97" s="93"/>
      <c r="R97" s="93"/>
      <c r="S97" s="93"/>
      <c r="T97" s="95"/>
      <c r="U97" s="56">
        <f t="shared" si="70"/>
        <v>0</v>
      </c>
      <c r="V97" s="59">
        <f t="shared" si="71"/>
        <v>0</v>
      </c>
      <c r="W97" s="110"/>
      <c r="X97" s="111"/>
      <c r="Y97" s="97"/>
      <c r="Z97" s="112"/>
      <c r="AA97" s="99"/>
      <c r="AB97" s="58" t="e">
        <f t="shared" si="72"/>
        <v>#DIV/0!</v>
      </c>
      <c r="AC97" s="59" t="e">
        <f t="shared" si="73"/>
        <v>#DIV/0!</v>
      </c>
      <c r="AD97" s="109"/>
      <c r="AE97" s="56" t="e">
        <f t="shared" si="74"/>
        <v>#DIV/0!</v>
      </c>
      <c r="AF97" s="61"/>
      <c r="AG97" s="100"/>
      <c r="AH97" s="63" t="e">
        <f t="shared" si="75"/>
        <v>#DIV/0!</v>
      </c>
      <c r="AI97" s="64">
        <v>10</v>
      </c>
      <c r="AJ97" s="64">
        <v>10</v>
      </c>
      <c r="AK97" s="64">
        <v>45</v>
      </c>
      <c r="AL97" s="65" t="e">
        <f t="shared" si="76"/>
        <v>#DIV/0!</v>
      </c>
      <c r="AM97" s="66" t="e">
        <f t="shared" si="77"/>
        <v>#DIV/0!</v>
      </c>
      <c r="AN97" s="67" t="e">
        <f t="shared" si="78"/>
        <v>#DIV/0!</v>
      </c>
      <c r="AO97" s="68"/>
      <c r="AP97" s="69">
        <f t="shared" si="80"/>
        <v>1</v>
      </c>
      <c r="AQ97" s="69">
        <f t="shared" si="80"/>
        <v>2</v>
      </c>
      <c r="AR97" s="70"/>
      <c r="AS97" s="71"/>
      <c r="AT97" s="72"/>
      <c r="AU97" s="72"/>
      <c r="AV97" s="72"/>
      <c r="AW97" s="72"/>
      <c r="AX97" s="73"/>
      <c r="AY97" s="74">
        <f t="shared" si="79"/>
        <v>0</v>
      </c>
      <c r="AZ97" s="74">
        <f t="shared" si="67"/>
        <v>0</v>
      </c>
    </row>
    <row r="98" spans="1:52" s="75" customFormat="1" ht="39.75" customHeight="1" thickBot="1" x14ac:dyDescent="0.2">
      <c r="A98" s="114"/>
      <c r="B98" s="114"/>
      <c r="C98" s="114"/>
      <c r="D98" s="114"/>
      <c r="E98" s="114"/>
      <c r="F98" s="115"/>
      <c r="G98" s="116"/>
      <c r="H98" s="160"/>
      <c r="I98" s="48"/>
      <c r="J98" s="50"/>
      <c r="K98" s="50"/>
      <c r="L98" s="117"/>
      <c r="M98" s="104"/>
      <c r="N98" s="102">
        <f t="shared" si="69"/>
        <v>0</v>
      </c>
      <c r="O98" s="91">
        <v>1</v>
      </c>
      <c r="P98" s="92"/>
      <c r="Q98" s="93"/>
      <c r="R98" s="93"/>
      <c r="S98" s="93"/>
      <c r="T98" s="95"/>
      <c r="U98" s="56">
        <f t="shared" si="70"/>
        <v>0</v>
      </c>
      <c r="V98" s="59">
        <f t="shared" si="71"/>
        <v>0</v>
      </c>
      <c r="W98" s="110"/>
      <c r="X98" s="111"/>
      <c r="Y98" s="97"/>
      <c r="Z98" s="112"/>
      <c r="AA98" s="99"/>
      <c r="AB98" s="58" t="e">
        <f t="shared" si="72"/>
        <v>#DIV/0!</v>
      </c>
      <c r="AC98" s="59" t="e">
        <f t="shared" si="73"/>
        <v>#DIV/0!</v>
      </c>
      <c r="AD98" s="109"/>
      <c r="AE98" s="56" t="e">
        <f t="shared" si="74"/>
        <v>#DIV/0!</v>
      </c>
      <c r="AF98" s="61"/>
      <c r="AG98" s="100"/>
      <c r="AH98" s="63" t="e">
        <f t="shared" si="75"/>
        <v>#DIV/0!</v>
      </c>
      <c r="AI98" s="64">
        <v>10</v>
      </c>
      <c r="AJ98" s="64">
        <v>10</v>
      </c>
      <c r="AK98" s="64">
        <v>45</v>
      </c>
      <c r="AL98" s="65" t="e">
        <f t="shared" si="76"/>
        <v>#DIV/0!</v>
      </c>
      <c r="AM98" s="66" t="e">
        <f t="shared" si="77"/>
        <v>#DIV/0!</v>
      </c>
      <c r="AN98" s="67" t="e">
        <f t="shared" si="78"/>
        <v>#DIV/0!</v>
      </c>
      <c r="AO98" s="68"/>
      <c r="AP98" s="69">
        <f t="shared" si="80"/>
        <v>1</v>
      </c>
      <c r="AQ98" s="69">
        <f t="shared" si="80"/>
        <v>2</v>
      </c>
      <c r="AR98" s="70"/>
      <c r="AS98" s="71"/>
      <c r="AT98" s="72"/>
      <c r="AU98" s="72"/>
      <c r="AV98" s="72"/>
      <c r="AW98" s="72"/>
      <c r="AX98" s="73"/>
      <c r="AY98" s="74">
        <f t="shared" si="79"/>
        <v>0</v>
      </c>
      <c r="AZ98" s="74">
        <f t="shared" si="67"/>
        <v>0</v>
      </c>
    </row>
    <row r="99" spans="1:52" s="75" customFormat="1" ht="39.75" customHeight="1" thickBot="1" x14ac:dyDescent="0.2">
      <c r="A99" s="114"/>
      <c r="B99" s="114"/>
      <c r="C99" s="114"/>
      <c r="D99" s="114"/>
      <c r="E99" s="114"/>
      <c r="F99" s="115"/>
      <c r="G99" s="116"/>
      <c r="H99" s="160"/>
      <c r="I99" s="48"/>
      <c r="J99" s="50"/>
      <c r="K99" s="50"/>
      <c r="L99" s="117"/>
      <c r="M99" s="104"/>
      <c r="N99" s="102">
        <f t="shared" si="69"/>
        <v>0</v>
      </c>
      <c r="O99" s="91">
        <v>1</v>
      </c>
      <c r="P99" s="92"/>
      <c r="Q99" s="93"/>
      <c r="R99" s="93"/>
      <c r="S99" s="93"/>
      <c r="T99" s="95"/>
      <c r="U99" s="56">
        <f t="shared" si="70"/>
        <v>0</v>
      </c>
      <c r="V99" s="59">
        <f t="shared" si="71"/>
        <v>0</v>
      </c>
      <c r="W99" s="110"/>
      <c r="X99" s="111"/>
      <c r="Y99" s="97"/>
      <c r="Z99" s="112"/>
      <c r="AA99" s="99"/>
      <c r="AB99" s="58" t="e">
        <f t="shared" si="72"/>
        <v>#DIV/0!</v>
      </c>
      <c r="AC99" s="59" t="e">
        <f t="shared" si="73"/>
        <v>#DIV/0!</v>
      </c>
      <c r="AD99" s="109"/>
      <c r="AE99" s="56" t="e">
        <f t="shared" si="74"/>
        <v>#DIV/0!</v>
      </c>
      <c r="AF99" s="61"/>
      <c r="AG99" s="100"/>
      <c r="AH99" s="63" t="e">
        <f t="shared" si="75"/>
        <v>#DIV/0!</v>
      </c>
      <c r="AI99" s="64">
        <v>10</v>
      </c>
      <c r="AJ99" s="64">
        <v>10</v>
      </c>
      <c r="AK99" s="64">
        <v>45</v>
      </c>
      <c r="AL99" s="65" t="e">
        <f t="shared" si="76"/>
        <v>#DIV/0!</v>
      </c>
      <c r="AM99" s="66" t="e">
        <f t="shared" si="77"/>
        <v>#DIV/0!</v>
      </c>
      <c r="AN99" s="67" t="e">
        <f t="shared" si="78"/>
        <v>#DIV/0!</v>
      </c>
      <c r="AO99" s="68"/>
      <c r="AP99" s="69">
        <f t="shared" si="80"/>
        <v>1</v>
      </c>
      <c r="AQ99" s="69">
        <f t="shared" si="80"/>
        <v>2</v>
      </c>
      <c r="AR99" s="70"/>
      <c r="AS99" s="71"/>
      <c r="AT99" s="72"/>
      <c r="AU99" s="72"/>
      <c r="AV99" s="72"/>
      <c r="AW99" s="72"/>
      <c r="AX99" s="73"/>
      <c r="AY99" s="74">
        <f t="shared" si="79"/>
        <v>0</v>
      </c>
      <c r="AZ99" s="74">
        <f t="shared" si="67"/>
        <v>0</v>
      </c>
    </row>
    <row r="100" spans="1:52" s="75" customFormat="1" ht="39.75" customHeight="1" thickBot="1" x14ac:dyDescent="0.2">
      <c r="A100" s="114"/>
      <c r="B100" s="114"/>
      <c r="C100" s="114"/>
      <c r="D100" s="114"/>
      <c r="E100" s="114"/>
      <c r="F100" s="115"/>
      <c r="G100" s="116"/>
      <c r="H100" s="231"/>
      <c r="I100" s="48"/>
      <c r="J100" s="50"/>
      <c r="K100" s="50"/>
      <c r="L100" s="117"/>
      <c r="M100" s="104"/>
      <c r="N100" s="102">
        <f t="shared" si="69"/>
        <v>0</v>
      </c>
      <c r="O100" s="91">
        <v>1</v>
      </c>
      <c r="P100" s="92"/>
      <c r="Q100" s="93"/>
      <c r="R100" s="93"/>
      <c r="S100" s="93"/>
      <c r="T100" s="95"/>
      <c r="U100" s="56">
        <f t="shared" si="70"/>
        <v>0</v>
      </c>
      <c r="V100" s="59">
        <f t="shared" si="71"/>
        <v>0</v>
      </c>
      <c r="W100" s="110"/>
      <c r="X100" s="111"/>
      <c r="Y100" s="97"/>
      <c r="Z100" s="118"/>
      <c r="AA100" s="99"/>
      <c r="AB100" s="58" t="e">
        <f t="shared" si="72"/>
        <v>#DIV/0!</v>
      </c>
      <c r="AC100" s="59" t="e">
        <f t="shared" si="73"/>
        <v>#DIV/0!</v>
      </c>
      <c r="AD100" s="109"/>
      <c r="AE100" s="56" t="e">
        <f t="shared" si="74"/>
        <v>#DIV/0!</v>
      </c>
      <c r="AF100" s="61"/>
      <c r="AG100" s="100"/>
      <c r="AH100" s="63" t="e">
        <f t="shared" si="75"/>
        <v>#DIV/0!</v>
      </c>
      <c r="AI100" s="64">
        <v>10</v>
      </c>
      <c r="AJ100" s="64">
        <v>10</v>
      </c>
      <c r="AK100" s="64">
        <v>45</v>
      </c>
      <c r="AL100" s="65" t="e">
        <f t="shared" si="76"/>
        <v>#DIV/0!</v>
      </c>
      <c r="AM100" s="66" t="e">
        <f t="shared" si="77"/>
        <v>#DIV/0!</v>
      </c>
      <c r="AN100" s="67" t="e">
        <f t="shared" si="78"/>
        <v>#DIV/0!</v>
      </c>
      <c r="AO100" s="68"/>
      <c r="AP100" s="69">
        <f t="shared" si="80"/>
        <v>1</v>
      </c>
      <c r="AQ100" s="69">
        <f t="shared" si="80"/>
        <v>2</v>
      </c>
      <c r="AR100" s="70"/>
      <c r="AS100" s="71"/>
      <c r="AT100" s="72"/>
      <c r="AU100" s="72"/>
      <c r="AV100" s="72"/>
      <c r="AW100" s="72"/>
      <c r="AX100" s="73"/>
      <c r="AY100" s="74">
        <f t="shared" si="79"/>
        <v>0</v>
      </c>
      <c r="AZ100" s="74">
        <f t="shared" si="67"/>
        <v>0</v>
      </c>
    </row>
    <row r="101" spans="1:52" s="75" customFormat="1" ht="39.75" customHeight="1" thickBot="1" x14ac:dyDescent="0.2">
      <c r="A101" s="114"/>
      <c r="B101" s="114"/>
      <c r="C101" s="114"/>
      <c r="D101" s="114"/>
      <c r="E101" s="114"/>
      <c r="F101" s="115"/>
      <c r="G101" s="116"/>
      <c r="H101" s="231"/>
      <c r="I101" s="48"/>
      <c r="J101" s="50"/>
      <c r="K101" s="50"/>
      <c r="L101" s="117"/>
      <c r="M101" s="104"/>
      <c r="N101" s="102">
        <f t="shared" si="69"/>
        <v>0</v>
      </c>
      <c r="O101" s="91">
        <v>1</v>
      </c>
      <c r="P101" s="92"/>
      <c r="Q101" s="93"/>
      <c r="R101" s="93"/>
      <c r="S101" s="93"/>
      <c r="T101" s="95"/>
      <c r="U101" s="56">
        <f t="shared" si="70"/>
        <v>0</v>
      </c>
      <c r="V101" s="59">
        <f t="shared" si="71"/>
        <v>0</v>
      </c>
      <c r="W101" s="110"/>
      <c r="X101" s="111"/>
      <c r="Y101" s="97"/>
      <c r="Z101" s="118"/>
      <c r="AA101" s="99"/>
      <c r="AB101" s="58" t="e">
        <f t="shared" si="72"/>
        <v>#DIV/0!</v>
      </c>
      <c r="AC101" s="59" t="e">
        <f t="shared" si="73"/>
        <v>#DIV/0!</v>
      </c>
      <c r="AD101" s="109"/>
      <c r="AE101" s="56" t="e">
        <f t="shared" si="74"/>
        <v>#DIV/0!</v>
      </c>
      <c r="AF101" s="61"/>
      <c r="AG101" s="100"/>
      <c r="AH101" s="63" t="e">
        <f t="shared" si="75"/>
        <v>#DIV/0!</v>
      </c>
      <c r="AI101" s="64">
        <v>10</v>
      </c>
      <c r="AJ101" s="64">
        <v>10</v>
      </c>
      <c r="AK101" s="64">
        <v>45</v>
      </c>
      <c r="AL101" s="65" t="e">
        <f t="shared" si="76"/>
        <v>#DIV/0!</v>
      </c>
      <c r="AM101" s="66" t="e">
        <f t="shared" si="77"/>
        <v>#DIV/0!</v>
      </c>
      <c r="AN101" s="67" t="e">
        <f t="shared" si="78"/>
        <v>#DIV/0!</v>
      </c>
      <c r="AO101" s="68"/>
      <c r="AP101" s="69">
        <f t="shared" si="80"/>
        <v>1</v>
      </c>
      <c r="AQ101" s="69">
        <f t="shared" si="80"/>
        <v>2</v>
      </c>
      <c r="AR101" s="70"/>
      <c r="AS101" s="71"/>
      <c r="AT101" s="72"/>
      <c r="AU101" s="72"/>
      <c r="AV101" s="72"/>
      <c r="AW101" s="72"/>
      <c r="AX101" s="73"/>
      <c r="AY101" s="74">
        <f t="shared" si="79"/>
        <v>0</v>
      </c>
      <c r="AZ101" s="74">
        <f t="shared" si="67"/>
        <v>0</v>
      </c>
    </row>
    <row r="102" spans="1:52" s="75" customFormat="1" ht="39.75" customHeight="1" thickBot="1" x14ac:dyDescent="0.2">
      <c r="A102" s="114"/>
      <c r="B102" s="114"/>
      <c r="C102" s="114"/>
      <c r="D102" s="114"/>
      <c r="E102" s="114"/>
      <c r="F102" s="115"/>
      <c r="G102" s="116"/>
      <c r="H102" s="231"/>
      <c r="I102" s="48"/>
      <c r="J102" s="50"/>
      <c r="K102" s="50"/>
      <c r="L102" s="117"/>
      <c r="M102" s="104"/>
      <c r="N102" s="102">
        <f t="shared" si="69"/>
        <v>0</v>
      </c>
      <c r="O102" s="91">
        <v>1</v>
      </c>
      <c r="P102" s="92"/>
      <c r="Q102" s="93"/>
      <c r="R102" s="93"/>
      <c r="S102" s="93"/>
      <c r="T102" s="95"/>
      <c r="U102" s="56">
        <f t="shared" si="70"/>
        <v>0</v>
      </c>
      <c r="V102" s="59">
        <f t="shared" si="71"/>
        <v>0</v>
      </c>
      <c r="W102" s="110"/>
      <c r="X102" s="111"/>
      <c r="Y102" s="97"/>
      <c r="Z102" s="118"/>
      <c r="AA102" s="99"/>
      <c r="AB102" s="58" t="e">
        <f t="shared" si="72"/>
        <v>#DIV/0!</v>
      </c>
      <c r="AC102" s="59" t="e">
        <f t="shared" si="73"/>
        <v>#DIV/0!</v>
      </c>
      <c r="AD102" s="109"/>
      <c r="AE102" s="56" t="e">
        <f t="shared" si="74"/>
        <v>#DIV/0!</v>
      </c>
      <c r="AF102" s="61"/>
      <c r="AG102" s="100"/>
      <c r="AH102" s="63" t="e">
        <f t="shared" si="75"/>
        <v>#DIV/0!</v>
      </c>
      <c r="AI102" s="64">
        <v>10</v>
      </c>
      <c r="AJ102" s="64">
        <v>10</v>
      </c>
      <c r="AK102" s="64">
        <v>45</v>
      </c>
      <c r="AL102" s="65" t="e">
        <f t="shared" si="76"/>
        <v>#DIV/0!</v>
      </c>
      <c r="AM102" s="66" t="e">
        <f t="shared" si="77"/>
        <v>#DIV/0!</v>
      </c>
      <c r="AN102" s="67" t="e">
        <f t="shared" si="78"/>
        <v>#DIV/0!</v>
      </c>
      <c r="AO102" s="68"/>
      <c r="AP102" s="69">
        <f t="shared" si="80"/>
        <v>1</v>
      </c>
      <c r="AQ102" s="69">
        <f t="shared" si="80"/>
        <v>2</v>
      </c>
      <c r="AR102" s="70"/>
      <c r="AS102" s="71"/>
      <c r="AT102" s="72"/>
      <c r="AU102" s="72"/>
      <c r="AV102" s="72"/>
      <c r="AW102" s="72"/>
      <c r="AX102" s="73"/>
      <c r="AY102" s="74">
        <f t="shared" si="79"/>
        <v>0</v>
      </c>
      <c r="AZ102" s="74">
        <f t="shared" si="67"/>
        <v>0</v>
      </c>
    </row>
    <row r="103" spans="1:52" s="75" customFormat="1" ht="39.75" customHeight="1" thickBot="1" x14ac:dyDescent="0.2">
      <c r="A103" s="114"/>
      <c r="B103" s="114"/>
      <c r="C103" s="114"/>
      <c r="D103" s="114"/>
      <c r="E103" s="114"/>
      <c r="F103" s="115"/>
      <c r="G103" s="116"/>
      <c r="H103" s="231"/>
      <c r="I103" s="48"/>
      <c r="J103" s="50"/>
      <c r="K103" s="50"/>
      <c r="L103" s="117"/>
      <c r="M103" s="104"/>
      <c r="N103" s="102">
        <f t="shared" si="69"/>
        <v>0</v>
      </c>
      <c r="O103" s="91">
        <v>1</v>
      </c>
      <c r="P103" s="92"/>
      <c r="Q103" s="93"/>
      <c r="R103" s="93"/>
      <c r="S103" s="93"/>
      <c r="T103" s="95"/>
      <c r="U103" s="56">
        <f t="shared" si="70"/>
        <v>0</v>
      </c>
      <c r="V103" s="59">
        <f t="shared" si="71"/>
        <v>0</v>
      </c>
      <c r="W103" s="110"/>
      <c r="X103" s="111"/>
      <c r="Y103" s="97"/>
      <c r="Z103" s="118"/>
      <c r="AA103" s="99"/>
      <c r="AB103" s="58" t="e">
        <f t="shared" si="72"/>
        <v>#DIV/0!</v>
      </c>
      <c r="AC103" s="59" t="e">
        <f t="shared" si="73"/>
        <v>#DIV/0!</v>
      </c>
      <c r="AD103" s="109"/>
      <c r="AE103" s="56" t="e">
        <f t="shared" si="74"/>
        <v>#DIV/0!</v>
      </c>
      <c r="AF103" s="61"/>
      <c r="AG103" s="100"/>
      <c r="AH103" s="63" t="e">
        <f t="shared" si="75"/>
        <v>#DIV/0!</v>
      </c>
      <c r="AI103" s="64">
        <v>10</v>
      </c>
      <c r="AJ103" s="64">
        <v>10</v>
      </c>
      <c r="AK103" s="64">
        <v>45</v>
      </c>
      <c r="AL103" s="65" t="e">
        <f t="shared" si="76"/>
        <v>#DIV/0!</v>
      </c>
      <c r="AM103" s="66" t="e">
        <f t="shared" si="77"/>
        <v>#DIV/0!</v>
      </c>
      <c r="AN103" s="67" t="e">
        <f t="shared" si="78"/>
        <v>#DIV/0!</v>
      </c>
      <c r="AO103" s="68"/>
      <c r="AP103" s="69">
        <f t="shared" si="80"/>
        <v>1</v>
      </c>
      <c r="AQ103" s="69">
        <f t="shared" si="80"/>
        <v>2</v>
      </c>
      <c r="AR103" s="70"/>
      <c r="AS103" s="71"/>
      <c r="AT103" s="72"/>
      <c r="AU103" s="72"/>
      <c r="AV103" s="72"/>
      <c r="AW103" s="72"/>
      <c r="AX103" s="73"/>
      <c r="AY103" s="74">
        <f t="shared" si="79"/>
        <v>0</v>
      </c>
      <c r="AZ103" s="74">
        <f t="shared" si="67"/>
        <v>0</v>
      </c>
    </row>
    <row r="104" spans="1:52" s="75" customFormat="1" ht="39.75" customHeight="1" thickBot="1" x14ac:dyDescent="0.2">
      <c r="A104" s="114"/>
      <c r="B104" s="114"/>
      <c r="C104" s="114"/>
      <c r="D104" s="114"/>
      <c r="E104" s="114"/>
      <c r="F104" s="115"/>
      <c r="G104" s="116"/>
      <c r="H104" s="231"/>
      <c r="I104" s="48"/>
      <c r="J104" s="50"/>
      <c r="K104" s="50"/>
      <c r="L104" s="117"/>
      <c r="M104" s="104"/>
      <c r="N104" s="102">
        <f t="shared" si="69"/>
        <v>0</v>
      </c>
      <c r="O104" s="91">
        <v>1</v>
      </c>
      <c r="P104" s="92"/>
      <c r="Q104" s="93"/>
      <c r="R104" s="93"/>
      <c r="S104" s="93"/>
      <c r="T104" s="95"/>
      <c r="U104" s="56">
        <f t="shared" si="70"/>
        <v>0</v>
      </c>
      <c r="V104" s="59">
        <f t="shared" si="71"/>
        <v>0</v>
      </c>
      <c r="W104" s="110"/>
      <c r="X104" s="111"/>
      <c r="Y104" s="97"/>
      <c r="Z104" s="118"/>
      <c r="AA104" s="99"/>
      <c r="AB104" s="58" t="e">
        <f t="shared" si="72"/>
        <v>#DIV/0!</v>
      </c>
      <c r="AC104" s="59" t="e">
        <f t="shared" si="73"/>
        <v>#DIV/0!</v>
      </c>
      <c r="AD104" s="109"/>
      <c r="AE104" s="56" t="e">
        <f t="shared" si="74"/>
        <v>#DIV/0!</v>
      </c>
      <c r="AF104" s="61"/>
      <c r="AG104" s="100"/>
      <c r="AH104" s="63" t="e">
        <f t="shared" si="75"/>
        <v>#DIV/0!</v>
      </c>
      <c r="AI104" s="64">
        <v>10</v>
      </c>
      <c r="AJ104" s="64">
        <v>10</v>
      </c>
      <c r="AK104" s="64">
        <v>45</v>
      </c>
      <c r="AL104" s="65" t="e">
        <f t="shared" si="76"/>
        <v>#DIV/0!</v>
      </c>
      <c r="AM104" s="66" t="e">
        <f t="shared" si="77"/>
        <v>#DIV/0!</v>
      </c>
      <c r="AN104" s="67" t="e">
        <f t="shared" si="78"/>
        <v>#DIV/0!</v>
      </c>
      <c r="AO104" s="68"/>
      <c r="AP104" s="69">
        <f t="shared" ref="AP104:AQ123" si="81">100%+AO104</f>
        <v>1</v>
      </c>
      <c r="AQ104" s="69">
        <f t="shared" si="81"/>
        <v>2</v>
      </c>
      <c r="AR104" s="70"/>
      <c r="AS104" s="71"/>
      <c r="AT104" s="72"/>
      <c r="AU104" s="72"/>
      <c r="AV104" s="72"/>
      <c r="AW104" s="72"/>
      <c r="AX104" s="73"/>
      <c r="AY104" s="74">
        <f t="shared" si="79"/>
        <v>0</v>
      </c>
      <c r="AZ104" s="74">
        <f t="shared" si="67"/>
        <v>0</v>
      </c>
    </row>
    <row r="105" spans="1:52" s="75" customFormat="1" ht="39.75" customHeight="1" thickBot="1" x14ac:dyDescent="0.2">
      <c r="A105" s="114"/>
      <c r="B105" s="114"/>
      <c r="C105" s="114"/>
      <c r="D105" s="114"/>
      <c r="E105" s="114"/>
      <c r="F105" s="115"/>
      <c r="G105" s="116"/>
      <c r="H105" s="231"/>
      <c r="I105" s="48"/>
      <c r="J105" s="50"/>
      <c r="K105" s="50"/>
      <c r="L105" s="117"/>
      <c r="M105" s="104"/>
      <c r="N105" s="102">
        <f t="shared" si="69"/>
        <v>0</v>
      </c>
      <c r="O105" s="91">
        <v>1</v>
      </c>
      <c r="P105" s="92"/>
      <c r="Q105" s="93"/>
      <c r="R105" s="93"/>
      <c r="S105" s="93"/>
      <c r="T105" s="95"/>
      <c r="U105" s="56">
        <f t="shared" si="70"/>
        <v>0</v>
      </c>
      <c r="V105" s="59">
        <f t="shared" si="71"/>
        <v>0</v>
      </c>
      <c r="W105" s="110"/>
      <c r="X105" s="111"/>
      <c r="Y105" s="97"/>
      <c r="Z105" s="118"/>
      <c r="AA105" s="99"/>
      <c r="AB105" s="58" t="e">
        <f t="shared" si="72"/>
        <v>#DIV/0!</v>
      </c>
      <c r="AC105" s="59" t="e">
        <f t="shared" si="73"/>
        <v>#DIV/0!</v>
      </c>
      <c r="AD105" s="109"/>
      <c r="AE105" s="56" t="e">
        <f t="shared" si="74"/>
        <v>#DIV/0!</v>
      </c>
      <c r="AF105" s="61"/>
      <c r="AG105" s="100"/>
      <c r="AH105" s="63" t="e">
        <f t="shared" si="75"/>
        <v>#DIV/0!</v>
      </c>
      <c r="AI105" s="64">
        <v>10</v>
      </c>
      <c r="AJ105" s="64">
        <v>10</v>
      </c>
      <c r="AK105" s="64">
        <v>45</v>
      </c>
      <c r="AL105" s="65" t="e">
        <f t="shared" si="76"/>
        <v>#DIV/0!</v>
      </c>
      <c r="AM105" s="66" t="e">
        <f t="shared" si="77"/>
        <v>#DIV/0!</v>
      </c>
      <c r="AN105" s="67" t="e">
        <f t="shared" si="78"/>
        <v>#DIV/0!</v>
      </c>
      <c r="AO105" s="68"/>
      <c r="AP105" s="69">
        <f t="shared" si="81"/>
        <v>1</v>
      </c>
      <c r="AQ105" s="69">
        <f t="shared" si="81"/>
        <v>2</v>
      </c>
      <c r="AR105" s="70"/>
      <c r="AS105" s="71"/>
      <c r="AT105" s="72"/>
      <c r="AU105" s="72"/>
      <c r="AV105" s="72"/>
      <c r="AW105" s="72"/>
      <c r="AX105" s="73"/>
      <c r="AY105" s="74">
        <f t="shared" si="79"/>
        <v>0</v>
      </c>
      <c r="AZ105" s="74">
        <f t="shared" si="67"/>
        <v>0</v>
      </c>
    </row>
    <row r="106" spans="1:52" s="75" customFormat="1" ht="39.75" customHeight="1" thickBot="1" x14ac:dyDescent="0.2">
      <c r="A106" s="114"/>
      <c r="B106" s="114"/>
      <c r="C106" s="114"/>
      <c r="D106" s="114"/>
      <c r="E106" s="114"/>
      <c r="F106" s="115"/>
      <c r="G106" s="116"/>
      <c r="H106" s="231"/>
      <c r="I106" s="48"/>
      <c r="J106" s="50"/>
      <c r="K106" s="50"/>
      <c r="L106" s="117"/>
      <c r="M106" s="104"/>
      <c r="N106" s="102">
        <f t="shared" si="69"/>
        <v>0</v>
      </c>
      <c r="O106" s="91">
        <v>1</v>
      </c>
      <c r="P106" s="92"/>
      <c r="Q106" s="93"/>
      <c r="R106" s="93"/>
      <c r="S106" s="93"/>
      <c r="T106" s="95"/>
      <c r="U106" s="56">
        <f t="shared" si="70"/>
        <v>0</v>
      </c>
      <c r="V106" s="59">
        <f t="shared" si="71"/>
        <v>0</v>
      </c>
      <c r="W106" s="110"/>
      <c r="X106" s="111"/>
      <c r="Y106" s="97"/>
      <c r="Z106" s="118"/>
      <c r="AA106" s="99"/>
      <c r="AB106" s="58" t="e">
        <f t="shared" si="72"/>
        <v>#DIV/0!</v>
      </c>
      <c r="AC106" s="59" t="e">
        <f t="shared" si="73"/>
        <v>#DIV/0!</v>
      </c>
      <c r="AD106" s="109"/>
      <c r="AE106" s="56" t="e">
        <f t="shared" si="74"/>
        <v>#DIV/0!</v>
      </c>
      <c r="AF106" s="61"/>
      <c r="AG106" s="100"/>
      <c r="AH106" s="63" t="e">
        <f t="shared" si="75"/>
        <v>#DIV/0!</v>
      </c>
      <c r="AI106" s="64">
        <v>10</v>
      </c>
      <c r="AJ106" s="64">
        <v>10</v>
      </c>
      <c r="AK106" s="64">
        <v>45</v>
      </c>
      <c r="AL106" s="65" t="e">
        <f t="shared" si="76"/>
        <v>#DIV/0!</v>
      </c>
      <c r="AM106" s="66" t="e">
        <f t="shared" si="77"/>
        <v>#DIV/0!</v>
      </c>
      <c r="AN106" s="67" t="e">
        <f t="shared" si="78"/>
        <v>#DIV/0!</v>
      </c>
      <c r="AO106" s="68"/>
      <c r="AP106" s="69">
        <f t="shared" si="81"/>
        <v>1</v>
      </c>
      <c r="AQ106" s="69">
        <f t="shared" si="81"/>
        <v>2</v>
      </c>
      <c r="AR106" s="70"/>
      <c r="AS106" s="71"/>
      <c r="AT106" s="72"/>
      <c r="AU106" s="72"/>
      <c r="AV106" s="72"/>
      <c r="AW106" s="72"/>
      <c r="AX106" s="73"/>
      <c r="AY106" s="74">
        <f t="shared" si="79"/>
        <v>0</v>
      </c>
      <c r="AZ106" s="74">
        <f t="shared" si="67"/>
        <v>0</v>
      </c>
    </row>
    <row r="107" spans="1:52" s="28" customFormat="1" ht="39.75" customHeight="1" thickBot="1" x14ac:dyDescent="0.2">
      <c r="A107" s="114"/>
      <c r="B107" s="114"/>
      <c r="C107" s="114"/>
      <c r="D107" s="114"/>
      <c r="E107" s="114"/>
      <c r="F107" s="115"/>
      <c r="G107" s="116"/>
      <c r="H107" s="231"/>
      <c r="I107" s="48"/>
      <c r="J107" s="50"/>
      <c r="K107" s="50"/>
      <c r="L107" s="117"/>
      <c r="M107" s="104"/>
      <c r="N107" s="102">
        <f t="shared" si="69"/>
        <v>0</v>
      </c>
      <c r="O107" s="91">
        <v>1</v>
      </c>
      <c r="P107" s="92"/>
      <c r="Q107" s="93"/>
      <c r="R107" s="93"/>
      <c r="S107" s="93"/>
      <c r="T107" s="95"/>
      <c r="U107" s="56">
        <f t="shared" si="70"/>
        <v>0</v>
      </c>
      <c r="V107" s="59">
        <f t="shared" si="71"/>
        <v>0</v>
      </c>
      <c r="W107" s="110"/>
      <c r="X107" s="111"/>
      <c r="Y107" s="97"/>
      <c r="Z107" s="118"/>
      <c r="AA107" s="99"/>
      <c r="AB107" s="58" t="e">
        <f t="shared" si="72"/>
        <v>#DIV/0!</v>
      </c>
      <c r="AC107" s="59" t="e">
        <f t="shared" si="73"/>
        <v>#DIV/0!</v>
      </c>
      <c r="AD107" s="109"/>
      <c r="AE107" s="56" t="e">
        <f t="shared" si="74"/>
        <v>#DIV/0!</v>
      </c>
      <c r="AF107" s="61"/>
      <c r="AG107" s="100"/>
      <c r="AH107" s="63" t="e">
        <f t="shared" si="75"/>
        <v>#DIV/0!</v>
      </c>
      <c r="AI107" s="64">
        <v>10</v>
      </c>
      <c r="AJ107" s="64">
        <v>10</v>
      </c>
      <c r="AK107" s="64">
        <v>45</v>
      </c>
      <c r="AL107" s="65" t="e">
        <f t="shared" si="76"/>
        <v>#DIV/0!</v>
      </c>
      <c r="AM107" s="66" t="e">
        <f t="shared" si="77"/>
        <v>#DIV/0!</v>
      </c>
      <c r="AN107" s="67" t="e">
        <f t="shared" si="78"/>
        <v>#DIV/0!</v>
      </c>
      <c r="AO107" s="68"/>
      <c r="AP107" s="69">
        <f t="shared" si="81"/>
        <v>1</v>
      </c>
      <c r="AQ107" s="69">
        <f t="shared" si="81"/>
        <v>2</v>
      </c>
      <c r="AR107" s="70"/>
      <c r="AS107" s="71"/>
      <c r="AT107" s="72"/>
      <c r="AU107" s="72"/>
      <c r="AV107" s="72"/>
      <c r="AW107" s="72"/>
      <c r="AX107" s="73"/>
      <c r="AY107" s="74">
        <f t="shared" si="79"/>
        <v>0</v>
      </c>
      <c r="AZ107" s="74">
        <f t="shared" si="67"/>
        <v>0</v>
      </c>
    </row>
    <row r="108" spans="1:52" s="75" customFormat="1" ht="39.75" customHeight="1" thickBot="1" x14ac:dyDescent="0.2">
      <c r="A108" s="114"/>
      <c r="B108" s="114"/>
      <c r="C108" s="114"/>
      <c r="D108" s="114"/>
      <c r="E108" s="114"/>
      <c r="F108" s="115"/>
      <c r="G108" s="116"/>
      <c r="H108" s="231"/>
      <c r="I108" s="48"/>
      <c r="J108" s="50"/>
      <c r="K108" s="50"/>
      <c r="L108" s="117"/>
      <c r="M108" s="104"/>
      <c r="N108" s="102">
        <f t="shared" si="69"/>
        <v>0</v>
      </c>
      <c r="O108" s="91">
        <v>1</v>
      </c>
      <c r="P108" s="92"/>
      <c r="Q108" s="93"/>
      <c r="R108" s="93"/>
      <c r="S108" s="93"/>
      <c r="T108" s="95"/>
      <c r="U108" s="56">
        <f t="shared" si="70"/>
        <v>0</v>
      </c>
      <c r="V108" s="59">
        <f t="shared" si="71"/>
        <v>0</v>
      </c>
      <c r="W108" s="110"/>
      <c r="X108" s="111"/>
      <c r="Y108" s="97"/>
      <c r="Z108" s="118"/>
      <c r="AA108" s="99"/>
      <c r="AB108" s="58" t="e">
        <f t="shared" si="72"/>
        <v>#DIV/0!</v>
      </c>
      <c r="AC108" s="59" t="e">
        <f t="shared" si="73"/>
        <v>#DIV/0!</v>
      </c>
      <c r="AD108" s="109"/>
      <c r="AE108" s="56" t="e">
        <f t="shared" si="74"/>
        <v>#DIV/0!</v>
      </c>
      <c r="AF108" s="61"/>
      <c r="AG108" s="100"/>
      <c r="AH108" s="63" t="e">
        <f t="shared" si="75"/>
        <v>#DIV/0!</v>
      </c>
      <c r="AI108" s="64">
        <v>10</v>
      </c>
      <c r="AJ108" s="64">
        <v>10</v>
      </c>
      <c r="AK108" s="64">
        <v>45</v>
      </c>
      <c r="AL108" s="65" t="e">
        <f t="shared" si="76"/>
        <v>#DIV/0!</v>
      </c>
      <c r="AM108" s="66" t="e">
        <f t="shared" si="77"/>
        <v>#DIV/0!</v>
      </c>
      <c r="AN108" s="67" t="e">
        <f t="shared" si="78"/>
        <v>#DIV/0!</v>
      </c>
      <c r="AO108" s="68"/>
      <c r="AP108" s="69">
        <f t="shared" si="81"/>
        <v>1</v>
      </c>
      <c r="AQ108" s="69">
        <f t="shared" si="81"/>
        <v>2</v>
      </c>
      <c r="AR108" s="70"/>
      <c r="AS108" s="71"/>
      <c r="AT108" s="72"/>
      <c r="AU108" s="72"/>
      <c r="AV108" s="72"/>
      <c r="AW108" s="72"/>
      <c r="AX108" s="73"/>
      <c r="AY108" s="74">
        <f t="shared" si="79"/>
        <v>0</v>
      </c>
      <c r="AZ108" s="74">
        <f t="shared" si="67"/>
        <v>0</v>
      </c>
    </row>
    <row r="109" spans="1:52" s="75" customFormat="1" ht="39.75" customHeight="1" thickBot="1" x14ac:dyDescent="0.2">
      <c r="A109" s="114"/>
      <c r="B109" s="114"/>
      <c r="C109" s="114"/>
      <c r="D109" s="114"/>
      <c r="E109" s="114"/>
      <c r="F109" s="115"/>
      <c r="G109" s="116"/>
      <c r="H109" s="231"/>
      <c r="I109" s="48"/>
      <c r="J109" s="50"/>
      <c r="K109" s="50"/>
      <c r="L109" s="117"/>
      <c r="M109" s="104"/>
      <c r="N109" s="102">
        <f t="shared" si="69"/>
        <v>0</v>
      </c>
      <c r="O109" s="91">
        <v>1</v>
      </c>
      <c r="P109" s="92"/>
      <c r="Q109" s="93"/>
      <c r="R109" s="93"/>
      <c r="S109" s="93"/>
      <c r="T109" s="95"/>
      <c r="U109" s="56">
        <f t="shared" si="70"/>
        <v>0</v>
      </c>
      <c r="V109" s="59">
        <f t="shared" si="71"/>
        <v>0</v>
      </c>
      <c r="W109" s="110"/>
      <c r="X109" s="111"/>
      <c r="Y109" s="97"/>
      <c r="Z109" s="118"/>
      <c r="AA109" s="99"/>
      <c r="AB109" s="58" t="e">
        <f t="shared" si="72"/>
        <v>#DIV/0!</v>
      </c>
      <c r="AC109" s="59" t="e">
        <f t="shared" si="73"/>
        <v>#DIV/0!</v>
      </c>
      <c r="AD109" s="109"/>
      <c r="AE109" s="56" t="e">
        <f t="shared" si="74"/>
        <v>#DIV/0!</v>
      </c>
      <c r="AF109" s="61"/>
      <c r="AG109" s="100"/>
      <c r="AH109" s="63" t="e">
        <f t="shared" si="75"/>
        <v>#DIV/0!</v>
      </c>
      <c r="AI109" s="64">
        <v>10</v>
      </c>
      <c r="AJ109" s="64">
        <v>10</v>
      </c>
      <c r="AK109" s="64">
        <v>45</v>
      </c>
      <c r="AL109" s="65" t="e">
        <f t="shared" si="76"/>
        <v>#DIV/0!</v>
      </c>
      <c r="AM109" s="66" t="e">
        <f t="shared" si="77"/>
        <v>#DIV/0!</v>
      </c>
      <c r="AN109" s="67" t="e">
        <f t="shared" si="78"/>
        <v>#DIV/0!</v>
      </c>
      <c r="AO109" s="68"/>
      <c r="AP109" s="69">
        <f t="shared" si="81"/>
        <v>1</v>
      </c>
      <c r="AQ109" s="69">
        <f t="shared" si="81"/>
        <v>2</v>
      </c>
      <c r="AR109" s="70"/>
      <c r="AS109" s="71"/>
      <c r="AT109" s="72"/>
      <c r="AU109" s="72"/>
      <c r="AV109" s="72"/>
      <c r="AW109" s="72"/>
      <c r="AX109" s="73"/>
      <c r="AY109" s="74">
        <f t="shared" si="79"/>
        <v>0</v>
      </c>
      <c r="AZ109" s="74">
        <f t="shared" si="67"/>
        <v>0</v>
      </c>
    </row>
    <row r="110" spans="1:52" s="75" customFormat="1" ht="39.75" customHeight="1" thickBot="1" x14ac:dyDescent="0.2">
      <c r="A110" s="114"/>
      <c r="B110" s="114"/>
      <c r="C110" s="114"/>
      <c r="D110" s="114"/>
      <c r="E110" s="114"/>
      <c r="F110" s="115"/>
      <c r="G110" s="116"/>
      <c r="H110" s="231"/>
      <c r="I110" s="48"/>
      <c r="J110" s="50"/>
      <c r="K110" s="50"/>
      <c r="L110" s="117"/>
      <c r="M110" s="104"/>
      <c r="N110" s="102">
        <f t="shared" si="69"/>
        <v>0</v>
      </c>
      <c r="O110" s="91">
        <v>1</v>
      </c>
      <c r="P110" s="92"/>
      <c r="Q110" s="93"/>
      <c r="R110" s="93"/>
      <c r="S110" s="93"/>
      <c r="T110" s="95"/>
      <c r="U110" s="56">
        <f t="shared" si="70"/>
        <v>0</v>
      </c>
      <c r="V110" s="59">
        <f t="shared" si="71"/>
        <v>0</v>
      </c>
      <c r="W110" s="110"/>
      <c r="X110" s="111"/>
      <c r="Y110" s="97"/>
      <c r="Z110" s="118"/>
      <c r="AA110" s="99"/>
      <c r="AB110" s="58" t="e">
        <f t="shared" si="72"/>
        <v>#DIV/0!</v>
      </c>
      <c r="AC110" s="59" t="e">
        <f t="shared" si="73"/>
        <v>#DIV/0!</v>
      </c>
      <c r="AD110" s="109"/>
      <c r="AE110" s="56" t="e">
        <f t="shared" si="74"/>
        <v>#DIV/0!</v>
      </c>
      <c r="AF110" s="61"/>
      <c r="AG110" s="100"/>
      <c r="AH110" s="63" t="e">
        <f t="shared" si="75"/>
        <v>#DIV/0!</v>
      </c>
      <c r="AI110" s="64">
        <v>10</v>
      </c>
      <c r="AJ110" s="64">
        <v>10</v>
      </c>
      <c r="AK110" s="64">
        <v>45</v>
      </c>
      <c r="AL110" s="65" t="e">
        <f t="shared" si="76"/>
        <v>#DIV/0!</v>
      </c>
      <c r="AM110" s="66" t="e">
        <f t="shared" si="77"/>
        <v>#DIV/0!</v>
      </c>
      <c r="AN110" s="67" t="e">
        <f t="shared" si="78"/>
        <v>#DIV/0!</v>
      </c>
      <c r="AO110" s="68"/>
      <c r="AP110" s="69">
        <f t="shared" si="81"/>
        <v>1</v>
      </c>
      <c r="AQ110" s="69">
        <f t="shared" si="81"/>
        <v>2</v>
      </c>
      <c r="AR110" s="70"/>
      <c r="AS110" s="71"/>
      <c r="AT110" s="72"/>
      <c r="AU110" s="72"/>
      <c r="AV110" s="72"/>
      <c r="AW110" s="72"/>
      <c r="AX110" s="73"/>
      <c r="AY110" s="74">
        <f t="shared" si="79"/>
        <v>0</v>
      </c>
      <c r="AZ110" s="74">
        <f t="shared" si="67"/>
        <v>0</v>
      </c>
    </row>
    <row r="111" spans="1:52" s="75" customFormat="1" ht="39.75" customHeight="1" thickBot="1" x14ac:dyDescent="0.2">
      <c r="A111" s="114"/>
      <c r="B111" s="114"/>
      <c r="C111" s="114"/>
      <c r="D111" s="114"/>
      <c r="E111" s="114"/>
      <c r="F111" s="115"/>
      <c r="G111" s="116"/>
      <c r="H111" s="231"/>
      <c r="I111" s="48"/>
      <c r="J111" s="50"/>
      <c r="K111" s="50"/>
      <c r="L111" s="117"/>
      <c r="M111" s="104"/>
      <c r="N111" s="102">
        <f t="shared" si="69"/>
        <v>0</v>
      </c>
      <c r="O111" s="91">
        <v>1</v>
      </c>
      <c r="P111" s="92"/>
      <c r="Q111" s="93"/>
      <c r="R111" s="93"/>
      <c r="S111" s="93"/>
      <c r="T111" s="95"/>
      <c r="U111" s="56">
        <f t="shared" si="70"/>
        <v>0</v>
      </c>
      <c r="V111" s="59">
        <f t="shared" si="71"/>
        <v>0</v>
      </c>
      <c r="W111" s="110"/>
      <c r="X111" s="111"/>
      <c r="Y111" s="97"/>
      <c r="Z111" s="118"/>
      <c r="AA111" s="99"/>
      <c r="AB111" s="58" t="e">
        <f t="shared" si="72"/>
        <v>#DIV/0!</v>
      </c>
      <c r="AC111" s="59" t="e">
        <f t="shared" si="73"/>
        <v>#DIV/0!</v>
      </c>
      <c r="AD111" s="109"/>
      <c r="AE111" s="56" t="e">
        <f t="shared" si="74"/>
        <v>#DIV/0!</v>
      </c>
      <c r="AF111" s="61"/>
      <c r="AG111" s="100"/>
      <c r="AH111" s="63" t="e">
        <f t="shared" si="75"/>
        <v>#DIV/0!</v>
      </c>
      <c r="AI111" s="64">
        <v>10</v>
      </c>
      <c r="AJ111" s="64">
        <v>10</v>
      </c>
      <c r="AK111" s="64">
        <v>45</v>
      </c>
      <c r="AL111" s="65" t="e">
        <f t="shared" si="76"/>
        <v>#DIV/0!</v>
      </c>
      <c r="AM111" s="66" t="e">
        <f t="shared" si="77"/>
        <v>#DIV/0!</v>
      </c>
      <c r="AN111" s="67" t="e">
        <f t="shared" si="78"/>
        <v>#DIV/0!</v>
      </c>
      <c r="AO111" s="68"/>
      <c r="AP111" s="69">
        <f t="shared" si="81"/>
        <v>1</v>
      </c>
      <c r="AQ111" s="69">
        <f t="shared" si="81"/>
        <v>2</v>
      </c>
      <c r="AR111" s="70"/>
      <c r="AS111" s="71"/>
      <c r="AT111" s="72"/>
      <c r="AU111" s="72"/>
      <c r="AV111" s="72"/>
      <c r="AW111" s="72"/>
      <c r="AX111" s="73"/>
      <c r="AY111" s="74">
        <f t="shared" si="79"/>
        <v>0</v>
      </c>
      <c r="AZ111" s="74">
        <f t="shared" si="67"/>
        <v>0</v>
      </c>
    </row>
    <row r="112" spans="1:52" s="75" customFormat="1" ht="39.75" customHeight="1" thickBot="1" x14ac:dyDescent="0.2">
      <c r="A112" s="114"/>
      <c r="B112" s="114"/>
      <c r="C112" s="114"/>
      <c r="D112" s="114"/>
      <c r="E112" s="114"/>
      <c r="F112" s="115"/>
      <c r="G112" s="116"/>
      <c r="H112" s="231"/>
      <c r="I112" s="48"/>
      <c r="J112" s="50"/>
      <c r="K112" s="50"/>
      <c r="L112" s="117"/>
      <c r="M112" s="104"/>
      <c r="N112" s="102">
        <f t="shared" si="69"/>
        <v>0</v>
      </c>
      <c r="O112" s="91">
        <v>1</v>
      </c>
      <c r="P112" s="92"/>
      <c r="Q112" s="93"/>
      <c r="R112" s="93"/>
      <c r="S112" s="93"/>
      <c r="T112" s="95"/>
      <c r="U112" s="56">
        <f t="shared" si="70"/>
        <v>0</v>
      </c>
      <c r="V112" s="59">
        <f t="shared" si="71"/>
        <v>0</v>
      </c>
      <c r="W112" s="110"/>
      <c r="X112" s="111"/>
      <c r="Y112" s="97"/>
      <c r="Z112" s="118"/>
      <c r="AA112" s="99"/>
      <c r="AB112" s="58" t="e">
        <f t="shared" si="72"/>
        <v>#DIV/0!</v>
      </c>
      <c r="AC112" s="59" t="e">
        <f t="shared" si="73"/>
        <v>#DIV/0!</v>
      </c>
      <c r="AD112" s="109"/>
      <c r="AE112" s="56" t="e">
        <f t="shared" si="74"/>
        <v>#DIV/0!</v>
      </c>
      <c r="AF112" s="61"/>
      <c r="AG112" s="100"/>
      <c r="AH112" s="63" t="e">
        <f t="shared" si="75"/>
        <v>#DIV/0!</v>
      </c>
      <c r="AI112" s="64">
        <v>10</v>
      </c>
      <c r="AJ112" s="64">
        <v>10</v>
      </c>
      <c r="AK112" s="64">
        <v>45</v>
      </c>
      <c r="AL112" s="65" t="e">
        <f t="shared" si="76"/>
        <v>#DIV/0!</v>
      </c>
      <c r="AM112" s="66" t="e">
        <f t="shared" si="77"/>
        <v>#DIV/0!</v>
      </c>
      <c r="AN112" s="67" t="e">
        <f t="shared" si="78"/>
        <v>#DIV/0!</v>
      </c>
      <c r="AO112" s="68"/>
      <c r="AP112" s="69">
        <f t="shared" si="81"/>
        <v>1</v>
      </c>
      <c r="AQ112" s="69">
        <f t="shared" si="81"/>
        <v>2</v>
      </c>
      <c r="AR112" s="70"/>
      <c r="AS112" s="71"/>
      <c r="AT112" s="72"/>
      <c r="AU112" s="72"/>
      <c r="AV112" s="72"/>
      <c r="AW112" s="72"/>
      <c r="AX112" s="73"/>
      <c r="AY112" s="74">
        <f t="shared" si="79"/>
        <v>0</v>
      </c>
      <c r="AZ112" s="74">
        <f t="shared" si="67"/>
        <v>0</v>
      </c>
    </row>
    <row r="113" spans="1:52" s="75" customFormat="1" ht="39.75" customHeight="1" thickBot="1" x14ac:dyDescent="0.2">
      <c r="A113" s="114"/>
      <c r="B113" s="114"/>
      <c r="C113" s="114"/>
      <c r="D113" s="114"/>
      <c r="E113" s="114"/>
      <c r="F113" s="115"/>
      <c r="G113" s="116"/>
      <c r="H113" s="231"/>
      <c r="I113" s="48"/>
      <c r="J113" s="50"/>
      <c r="K113" s="50"/>
      <c r="L113" s="117"/>
      <c r="M113" s="104"/>
      <c r="N113" s="102">
        <f t="shared" si="69"/>
        <v>0</v>
      </c>
      <c r="O113" s="91">
        <v>1</v>
      </c>
      <c r="P113" s="92"/>
      <c r="Q113" s="93"/>
      <c r="R113" s="93"/>
      <c r="S113" s="93"/>
      <c r="T113" s="95"/>
      <c r="U113" s="56">
        <f t="shared" si="70"/>
        <v>0</v>
      </c>
      <c r="V113" s="59">
        <f t="shared" si="71"/>
        <v>0</v>
      </c>
      <c r="W113" s="110"/>
      <c r="X113" s="111"/>
      <c r="Y113" s="97"/>
      <c r="Z113" s="118"/>
      <c r="AA113" s="99"/>
      <c r="AB113" s="58" t="e">
        <f t="shared" si="72"/>
        <v>#DIV/0!</v>
      </c>
      <c r="AC113" s="59" t="e">
        <f t="shared" si="73"/>
        <v>#DIV/0!</v>
      </c>
      <c r="AD113" s="109"/>
      <c r="AE113" s="56" t="e">
        <f t="shared" si="74"/>
        <v>#DIV/0!</v>
      </c>
      <c r="AF113" s="61"/>
      <c r="AG113" s="100"/>
      <c r="AH113" s="63" t="e">
        <f t="shared" si="75"/>
        <v>#DIV/0!</v>
      </c>
      <c r="AI113" s="64">
        <v>10</v>
      </c>
      <c r="AJ113" s="64">
        <v>10</v>
      </c>
      <c r="AK113" s="64">
        <v>45</v>
      </c>
      <c r="AL113" s="65" t="e">
        <f t="shared" si="76"/>
        <v>#DIV/0!</v>
      </c>
      <c r="AM113" s="66" t="e">
        <f t="shared" si="77"/>
        <v>#DIV/0!</v>
      </c>
      <c r="AN113" s="67" t="e">
        <f t="shared" si="78"/>
        <v>#DIV/0!</v>
      </c>
      <c r="AO113" s="68"/>
      <c r="AP113" s="69">
        <f t="shared" si="81"/>
        <v>1</v>
      </c>
      <c r="AQ113" s="69">
        <f t="shared" si="81"/>
        <v>2</v>
      </c>
      <c r="AR113" s="70"/>
      <c r="AS113" s="71"/>
      <c r="AT113" s="72"/>
      <c r="AU113" s="72"/>
      <c r="AV113" s="72"/>
      <c r="AW113" s="72"/>
      <c r="AX113" s="73"/>
      <c r="AY113" s="74">
        <f t="shared" si="79"/>
        <v>0</v>
      </c>
      <c r="AZ113" s="74">
        <f t="shared" si="67"/>
        <v>0</v>
      </c>
    </row>
    <row r="114" spans="1:52" s="75" customFormat="1" ht="39.75" customHeight="1" thickBot="1" x14ac:dyDescent="0.2">
      <c r="A114" s="114"/>
      <c r="B114" s="114"/>
      <c r="C114" s="114"/>
      <c r="D114" s="114"/>
      <c r="E114" s="114"/>
      <c r="F114" s="114"/>
      <c r="G114" s="116"/>
      <c r="H114" s="231"/>
      <c r="I114" s="48"/>
      <c r="J114" s="50"/>
      <c r="K114" s="50"/>
      <c r="L114" s="117"/>
      <c r="M114" s="104"/>
      <c r="N114" s="102">
        <f t="shared" si="69"/>
        <v>0</v>
      </c>
      <c r="O114" s="91">
        <v>1</v>
      </c>
      <c r="P114" s="92"/>
      <c r="Q114" s="93"/>
      <c r="R114" s="93"/>
      <c r="S114" s="93"/>
      <c r="T114" s="95"/>
      <c r="U114" s="56">
        <f t="shared" si="70"/>
        <v>0</v>
      </c>
      <c r="V114" s="59">
        <f t="shared" si="71"/>
        <v>0</v>
      </c>
      <c r="W114" s="110"/>
      <c r="X114" s="111"/>
      <c r="Y114" s="97"/>
      <c r="Z114" s="118"/>
      <c r="AA114" s="99"/>
      <c r="AB114" s="58" t="e">
        <f t="shared" si="72"/>
        <v>#DIV/0!</v>
      </c>
      <c r="AC114" s="59" t="e">
        <f t="shared" si="73"/>
        <v>#DIV/0!</v>
      </c>
      <c r="AD114" s="109"/>
      <c r="AE114" s="56" t="e">
        <f t="shared" si="74"/>
        <v>#DIV/0!</v>
      </c>
      <c r="AF114" s="61"/>
      <c r="AG114" s="100"/>
      <c r="AH114" s="63" t="e">
        <f t="shared" si="75"/>
        <v>#DIV/0!</v>
      </c>
      <c r="AI114" s="64">
        <v>10</v>
      </c>
      <c r="AJ114" s="64">
        <v>10</v>
      </c>
      <c r="AK114" s="64">
        <v>45</v>
      </c>
      <c r="AL114" s="65" t="e">
        <f t="shared" si="76"/>
        <v>#DIV/0!</v>
      </c>
      <c r="AM114" s="66" t="e">
        <f t="shared" si="77"/>
        <v>#DIV/0!</v>
      </c>
      <c r="AN114" s="67" t="e">
        <f t="shared" si="78"/>
        <v>#DIV/0!</v>
      </c>
      <c r="AO114" s="68"/>
      <c r="AP114" s="69">
        <f t="shared" si="81"/>
        <v>1</v>
      </c>
      <c r="AQ114" s="69">
        <f t="shared" si="81"/>
        <v>2</v>
      </c>
      <c r="AR114" s="70"/>
      <c r="AS114" s="71"/>
      <c r="AT114" s="72"/>
      <c r="AU114" s="72"/>
      <c r="AV114" s="72"/>
      <c r="AW114" s="72"/>
      <c r="AX114" s="73"/>
      <c r="AY114" s="74">
        <f t="shared" si="79"/>
        <v>0</v>
      </c>
      <c r="AZ114" s="74">
        <f t="shared" si="67"/>
        <v>0</v>
      </c>
    </row>
    <row r="115" spans="1:52" s="75" customFormat="1" ht="39.75" customHeight="1" thickBot="1" x14ac:dyDescent="0.2">
      <c r="A115" s="114"/>
      <c r="B115" s="114"/>
      <c r="C115" s="114"/>
      <c r="D115" s="114"/>
      <c r="E115" s="114"/>
      <c r="F115" s="114"/>
      <c r="G115" s="116"/>
      <c r="H115" s="231"/>
      <c r="I115" s="48"/>
      <c r="J115" s="50"/>
      <c r="K115" s="50"/>
      <c r="L115" s="117"/>
      <c r="M115" s="104"/>
      <c r="N115" s="102">
        <f t="shared" si="69"/>
        <v>0</v>
      </c>
      <c r="O115" s="91">
        <v>1</v>
      </c>
      <c r="P115" s="92"/>
      <c r="Q115" s="93"/>
      <c r="R115" s="93"/>
      <c r="S115" s="93"/>
      <c r="T115" s="95"/>
      <c r="U115" s="56">
        <f t="shared" si="70"/>
        <v>0</v>
      </c>
      <c r="V115" s="59">
        <f t="shared" si="71"/>
        <v>0</v>
      </c>
      <c r="W115" s="110"/>
      <c r="X115" s="111"/>
      <c r="Y115" s="97"/>
      <c r="Z115" s="118"/>
      <c r="AA115" s="99"/>
      <c r="AB115" s="58" t="e">
        <f t="shared" si="72"/>
        <v>#DIV/0!</v>
      </c>
      <c r="AC115" s="59" t="e">
        <f t="shared" si="73"/>
        <v>#DIV/0!</v>
      </c>
      <c r="AD115" s="109"/>
      <c r="AE115" s="56" t="e">
        <f t="shared" si="74"/>
        <v>#DIV/0!</v>
      </c>
      <c r="AF115" s="61"/>
      <c r="AG115" s="100"/>
      <c r="AH115" s="63" t="e">
        <f t="shared" si="75"/>
        <v>#DIV/0!</v>
      </c>
      <c r="AI115" s="64">
        <v>10</v>
      </c>
      <c r="AJ115" s="64">
        <v>10</v>
      </c>
      <c r="AK115" s="64">
        <v>45</v>
      </c>
      <c r="AL115" s="65" t="e">
        <f t="shared" si="76"/>
        <v>#DIV/0!</v>
      </c>
      <c r="AM115" s="66" t="e">
        <f t="shared" si="77"/>
        <v>#DIV/0!</v>
      </c>
      <c r="AN115" s="67" t="e">
        <f t="shared" si="78"/>
        <v>#DIV/0!</v>
      </c>
      <c r="AO115" s="68"/>
      <c r="AP115" s="69">
        <f t="shared" si="81"/>
        <v>1</v>
      </c>
      <c r="AQ115" s="69">
        <f t="shared" si="81"/>
        <v>2</v>
      </c>
      <c r="AR115" s="70"/>
      <c r="AS115" s="71"/>
      <c r="AT115" s="72"/>
      <c r="AU115" s="72"/>
      <c r="AV115" s="72"/>
      <c r="AW115" s="72"/>
      <c r="AX115" s="73"/>
      <c r="AY115" s="74">
        <f t="shared" si="79"/>
        <v>0</v>
      </c>
      <c r="AZ115" s="74">
        <f t="shared" si="67"/>
        <v>0</v>
      </c>
    </row>
    <row r="116" spans="1:52" s="28" customFormat="1" ht="39.75" customHeight="1" thickBot="1" x14ac:dyDescent="0.2">
      <c r="A116" s="114"/>
      <c r="B116" s="114"/>
      <c r="C116" s="114"/>
      <c r="D116" s="114"/>
      <c r="E116" s="114"/>
      <c r="F116" s="114"/>
      <c r="G116" s="116"/>
      <c r="H116" s="231"/>
      <c r="I116" s="48"/>
      <c r="J116" s="50"/>
      <c r="K116" s="50"/>
      <c r="L116" s="117"/>
      <c r="M116" s="104"/>
      <c r="N116" s="102">
        <f t="shared" si="69"/>
        <v>0</v>
      </c>
      <c r="O116" s="91">
        <v>1</v>
      </c>
      <c r="P116" s="92"/>
      <c r="Q116" s="93"/>
      <c r="R116" s="93"/>
      <c r="S116" s="93"/>
      <c r="T116" s="95"/>
      <c r="U116" s="56">
        <f t="shared" si="70"/>
        <v>0</v>
      </c>
      <c r="V116" s="59">
        <f t="shared" si="71"/>
        <v>0</v>
      </c>
      <c r="W116" s="110"/>
      <c r="X116" s="111"/>
      <c r="Y116" s="97"/>
      <c r="Z116" s="118"/>
      <c r="AA116" s="99"/>
      <c r="AB116" s="58" t="e">
        <f t="shared" si="72"/>
        <v>#DIV/0!</v>
      </c>
      <c r="AC116" s="59" t="e">
        <f t="shared" si="73"/>
        <v>#DIV/0!</v>
      </c>
      <c r="AD116" s="109"/>
      <c r="AE116" s="56" t="e">
        <f t="shared" si="74"/>
        <v>#DIV/0!</v>
      </c>
      <c r="AF116" s="61"/>
      <c r="AG116" s="100"/>
      <c r="AH116" s="63" t="e">
        <f t="shared" si="75"/>
        <v>#DIV/0!</v>
      </c>
      <c r="AI116" s="64">
        <v>10</v>
      </c>
      <c r="AJ116" s="64">
        <v>10</v>
      </c>
      <c r="AK116" s="64">
        <v>45</v>
      </c>
      <c r="AL116" s="65" t="e">
        <f t="shared" si="76"/>
        <v>#DIV/0!</v>
      </c>
      <c r="AM116" s="66" t="e">
        <f t="shared" si="77"/>
        <v>#DIV/0!</v>
      </c>
      <c r="AN116" s="67" t="e">
        <f t="shared" si="78"/>
        <v>#DIV/0!</v>
      </c>
      <c r="AO116" s="68"/>
      <c r="AP116" s="69">
        <f t="shared" si="81"/>
        <v>1</v>
      </c>
      <c r="AQ116" s="69">
        <f t="shared" si="81"/>
        <v>2</v>
      </c>
      <c r="AR116" s="70"/>
      <c r="AS116" s="71"/>
      <c r="AT116" s="72"/>
      <c r="AU116" s="72"/>
      <c r="AV116" s="72"/>
      <c r="AW116" s="72"/>
      <c r="AX116" s="73"/>
      <c r="AY116" s="74">
        <f t="shared" si="79"/>
        <v>0</v>
      </c>
      <c r="AZ116" s="74">
        <f t="shared" si="67"/>
        <v>0</v>
      </c>
    </row>
    <row r="117" spans="1:52" s="75" customFormat="1" ht="39.75" customHeight="1" thickBot="1" x14ac:dyDescent="0.2">
      <c r="A117" s="114"/>
      <c r="B117" s="114"/>
      <c r="C117" s="114"/>
      <c r="D117" s="114"/>
      <c r="E117" s="114"/>
      <c r="F117" s="114"/>
      <c r="G117" s="116"/>
      <c r="H117" s="231"/>
      <c r="I117" s="48"/>
      <c r="J117" s="50"/>
      <c r="K117" s="50"/>
      <c r="L117" s="117"/>
      <c r="M117" s="104"/>
      <c r="N117" s="102">
        <f t="shared" si="69"/>
        <v>0</v>
      </c>
      <c r="O117" s="91">
        <v>1</v>
      </c>
      <c r="P117" s="92"/>
      <c r="Q117" s="93"/>
      <c r="R117" s="93"/>
      <c r="S117" s="93"/>
      <c r="T117" s="95"/>
      <c r="U117" s="56">
        <f t="shared" si="70"/>
        <v>0</v>
      </c>
      <c r="V117" s="59">
        <f t="shared" si="71"/>
        <v>0</v>
      </c>
      <c r="W117" s="110"/>
      <c r="X117" s="111"/>
      <c r="Y117" s="97"/>
      <c r="Z117" s="118"/>
      <c r="AA117" s="99"/>
      <c r="AB117" s="58" t="e">
        <f t="shared" si="72"/>
        <v>#DIV/0!</v>
      </c>
      <c r="AC117" s="59" t="e">
        <f t="shared" si="73"/>
        <v>#DIV/0!</v>
      </c>
      <c r="AD117" s="109"/>
      <c r="AE117" s="56" t="e">
        <f t="shared" si="74"/>
        <v>#DIV/0!</v>
      </c>
      <c r="AF117" s="61"/>
      <c r="AG117" s="100"/>
      <c r="AH117" s="63" t="e">
        <f t="shared" si="75"/>
        <v>#DIV/0!</v>
      </c>
      <c r="AI117" s="64">
        <v>10</v>
      </c>
      <c r="AJ117" s="64">
        <v>10</v>
      </c>
      <c r="AK117" s="64">
        <v>45</v>
      </c>
      <c r="AL117" s="65" t="e">
        <f t="shared" si="76"/>
        <v>#DIV/0!</v>
      </c>
      <c r="AM117" s="66" t="e">
        <f t="shared" si="77"/>
        <v>#DIV/0!</v>
      </c>
      <c r="AN117" s="67" t="e">
        <f t="shared" si="78"/>
        <v>#DIV/0!</v>
      </c>
      <c r="AO117" s="68"/>
      <c r="AP117" s="69">
        <f t="shared" si="81"/>
        <v>1</v>
      </c>
      <c r="AQ117" s="69">
        <f t="shared" si="81"/>
        <v>2</v>
      </c>
      <c r="AR117" s="70"/>
      <c r="AS117" s="71"/>
      <c r="AT117" s="72"/>
      <c r="AU117" s="72"/>
      <c r="AV117" s="72"/>
      <c r="AW117" s="72"/>
      <c r="AX117" s="73"/>
      <c r="AY117" s="74">
        <f t="shared" si="79"/>
        <v>0</v>
      </c>
      <c r="AZ117" s="74">
        <f t="shared" si="67"/>
        <v>0</v>
      </c>
    </row>
    <row r="118" spans="1:52" s="75" customFormat="1" ht="39.75" customHeight="1" thickBot="1" x14ac:dyDescent="0.2">
      <c r="A118" s="114"/>
      <c r="B118" s="114"/>
      <c r="C118" s="114"/>
      <c r="D118" s="114"/>
      <c r="E118" s="114"/>
      <c r="F118" s="114"/>
      <c r="G118" s="116"/>
      <c r="H118" s="231"/>
      <c r="I118" s="48"/>
      <c r="J118" s="50"/>
      <c r="K118" s="50"/>
      <c r="L118" s="117"/>
      <c r="M118" s="104"/>
      <c r="N118" s="102">
        <f t="shared" si="69"/>
        <v>0</v>
      </c>
      <c r="O118" s="91">
        <v>1</v>
      </c>
      <c r="P118" s="92"/>
      <c r="Q118" s="93"/>
      <c r="R118" s="93"/>
      <c r="S118" s="93"/>
      <c r="T118" s="95"/>
      <c r="U118" s="56">
        <f t="shared" si="70"/>
        <v>0</v>
      </c>
      <c r="V118" s="59">
        <f t="shared" si="71"/>
        <v>0</v>
      </c>
      <c r="W118" s="110"/>
      <c r="X118" s="111"/>
      <c r="Y118" s="97"/>
      <c r="Z118" s="118"/>
      <c r="AA118" s="99"/>
      <c r="AB118" s="58" t="e">
        <f t="shared" si="72"/>
        <v>#DIV/0!</v>
      </c>
      <c r="AC118" s="59" t="e">
        <f t="shared" si="73"/>
        <v>#DIV/0!</v>
      </c>
      <c r="AD118" s="109"/>
      <c r="AE118" s="56" t="e">
        <f t="shared" si="74"/>
        <v>#DIV/0!</v>
      </c>
      <c r="AF118" s="61"/>
      <c r="AG118" s="100"/>
      <c r="AH118" s="63" t="e">
        <f t="shared" si="75"/>
        <v>#DIV/0!</v>
      </c>
      <c r="AI118" s="64">
        <v>10</v>
      </c>
      <c r="AJ118" s="64">
        <v>10</v>
      </c>
      <c r="AK118" s="64">
        <v>45</v>
      </c>
      <c r="AL118" s="65" t="e">
        <f t="shared" si="76"/>
        <v>#DIV/0!</v>
      </c>
      <c r="AM118" s="66" t="e">
        <f t="shared" si="77"/>
        <v>#DIV/0!</v>
      </c>
      <c r="AN118" s="67" t="e">
        <f t="shared" si="78"/>
        <v>#DIV/0!</v>
      </c>
      <c r="AO118" s="68"/>
      <c r="AP118" s="69">
        <f t="shared" si="81"/>
        <v>1</v>
      </c>
      <c r="AQ118" s="69">
        <f t="shared" si="81"/>
        <v>2</v>
      </c>
      <c r="AR118" s="70"/>
      <c r="AS118" s="71"/>
      <c r="AT118" s="72"/>
      <c r="AU118" s="72"/>
      <c r="AV118" s="72"/>
      <c r="AW118" s="72"/>
      <c r="AX118" s="73"/>
      <c r="AY118" s="74">
        <f t="shared" si="79"/>
        <v>0</v>
      </c>
      <c r="AZ118" s="74">
        <f t="shared" si="67"/>
        <v>0</v>
      </c>
    </row>
    <row r="119" spans="1:52" s="28" customFormat="1" ht="39.75" customHeight="1" thickBot="1" x14ac:dyDescent="0.2">
      <c r="A119" s="114"/>
      <c r="B119" s="114"/>
      <c r="C119" s="114"/>
      <c r="D119" s="114"/>
      <c r="E119" s="114"/>
      <c r="F119" s="114"/>
      <c r="G119" s="116"/>
      <c r="H119" s="231"/>
      <c r="I119" s="48"/>
      <c r="J119" s="50"/>
      <c r="K119" s="50"/>
      <c r="L119" s="117"/>
      <c r="M119" s="104"/>
      <c r="N119" s="102">
        <f t="shared" si="69"/>
        <v>0</v>
      </c>
      <c r="O119" s="91">
        <v>1</v>
      </c>
      <c r="P119" s="92"/>
      <c r="Q119" s="93"/>
      <c r="R119" s="93"/>
      <c r="S119" s="93"/>
      <c r="T119" s="95"/>
      <c r="U119" s="56">
        <f t="shared" si="70"/>
        <v>0</v>
      </c>
      <c r="V119" s="59">
        <f t="shared" si="71"/>
        <v>0</v>
      </c>
      <c r="W119" s="110"/>
      <c r="X119" s="111"/>
      <c r="Y119" s="97"/>
      <c r="Z119" s="118"/>
      <c r="AA119" s="99"/>
      <c r="AB119" s="58" t="e">
        <f t="shared" si="72"/>
        <v>#DIV/0!</v>
      </c>
      <c r="AC119" s="59" t="e">
        <f t="shared" si="73"/>
        <v>#DIV/0!</v>
      </c>
      <c r="AD119" s="109"/>
      <c r="AE119" s="56" t="e">
        <f t="shared" si="74"/>
        <v>#DIV/0!</v>
      </c>
      <c r="AF119" s="61"/>
      <c r="AG119" s="100"/>
      <c r="AH119" s="63" t="e">
        <f t="shared" si="75"/>
        <v>#DIV/0!</v>
      </c>
      <c r="AI119" s="64">
        <v>10</v>
      </c>
      <c r="AJ119" s="64">
        <v>10</v>
      </c>
      <c r="AK119" s="64">
        <v>45</v>
      </c>
      <c r="AL119" s="65" t="e">
        <f t="shared" si="76"/>
        <v>#DIV/0!</v>
      </c>
      <c r="AM119" s="66" t="e">
        <f t="shared" si="77"/>
        <v>#DIV/0!</v>
      </c>
      <c r="AN119" s="67" t="e">
        <f t="shared" si="78"/>
        <v>#DIV/0!</v>
      </c>
      <c r="AO119" s="68"/>
      <c r="AP119" s="69">
        <f t="shared" si="81"/>
        <v>1</v>
      </c>
      <c r="AQ119" s="69">
        <f t="shared" si="81"/>
        <v>2</v>
      </c>
      <c r="AR119" s="70"/>
      <c r="AS119" s="71"/>
      <c r="AT119" s="72"/>
      <c r="AU119" s="72"/>
      <c r="AV119" s="72"/>
      <c r="AW119" s="72"/>
      <c r="AX119" s="73"/>
      <c r="AY119" s="74">
        <f t="shared" si="79"/>
        <v>0</v>
      </c>
      <c r="AZ119" s="74">
        <f t="shared" si="67"/>
        <v>0</v>
      </c>
    </row>
    <row r="120" spans="1:52" s="75" customFormat="1" ht="39.75" customHeight="1" thickBot="1" x14ac:dyDescent="0.2">
      <c r="A120" s="114"/>
      <c r="B120" s="114"/>
      <c r="C120" s="114"/>
      <c r="D120" s="114"/>
      <c r="E120" s="114"/>
      <c r="F120" s="114"/>
      <c r="G120" s="116"/>
      <c r="H120" s="231"/>
      <c r="I120" s="48"/>
      <c r="J120" s="50"/>
      <c r="K120" s="50"/>
      <c r="L120" s="117"/>
      <c r="M120" s="104"/>
      <c r="N120" s="102">
        <f t="shared" si="69"/>
        <v>0</v>
      </c>
      <c r="O120" s="91">
        <v>1</v>
      </c>
      <c r="P120" s="92"/>
      <c r="Q120" s="93"/>
      <c r="R120" s="93"/>
      <c r="S120" s="93"/>
      <c r="T120" s="95"/>
      <c r="U120" s="56">
        <f t="shared" si="70"/>
        <v>0</v>
      </c>
      <c r="V120" s="59">
        <f t="shared" si="71"/>
        <v>0</v>
      </c>
      <c r="W120" s="110"/>
      <c r="X120" s="111"/>
      <c r="Y120" s="97"/>
      <c r="Z120" s="118"/>
      <c r="AA120" s="99"/>
      <c r="AB120" s="58" t="e">
        <f t="shared" si="72"/>
        <v>#DIV/0!</v>
      </c>
      <c r="AC120" s="59" t="e">
        <f t="shared" si="73"/>
        <v>#DIV/0!</v>
      </c>
      <c r="AD120" s="109"/>
      <c r="AE120" s="56" t="e">
        <f t="shared" si="74"/>
        <v>#DIV/0!</v>
      </c>
      <c r="AF120" s="61"/>
      <c r="AG120" s="100"/>
      <c r="AH120" s="63" t="e">
        <f t="shared" si="75"/>
        <v>#DIV/0!</v>
      </c>
      <c r="AI120" s="64">
        <v>10</v>
      </c>
      <c r="AJ120" s="64">
        <v>10</v>
      </c>
      <c r="AK120" s="64">
        <v>45</v>
      </c>
      <c r="AL120" s="65" t="e">
        <f t="shared" si="76"/>
        <v>#DIV/0!</v>
      </c>
      <c r="AM120" s="66" t="e">
        <f t="shared" si="77"/>
        <v>#DIV/0!</v>
      </c>
      <c r="AN120" s="67" t="e">
        <f t="shared" si="78"/>
        <v>#DIV/0!</v>
      </c>
      <c r="AO120" s="68"/>
      <c r="AP120" s="69">
        <f t="shared" si="81"/>
        <v>1</v>
      </c>
      <c r="AQ120" s="69">
        <f t="shared" si="81"/>
        <v>2</v>
      </c>
      <c r="AR120" s="70"/>
      <c r="AS120" s="71"/>
      <c r="AT120" s="72"/>
      <c r="AU120" s="72"/>
      <c r="AV120" s="72"/>
      <c r="AW120" s="72"/>
      <c r="AX120" s="73"/>
      <c r="AY120" s="74">
        <f t="shared" si="79"/>
        <v>0</v>
      </c>
      <c r="AZ120" s="74">
        <f t="shared" si="67"/>
        <v>0</v>
      </c>
    </row>
    <row r="121" spans="1:52" s="75" customFormat="1" ht="39.75" customHeight="1" thickBot="1" x14ac:dyDescent="0.2">
      <c r="A121" s="114"/>
      <c r="B121" s="114"/>
      <c r="C121" s="114"/>
      <c r="D121" s="114"/>
      <c r="E121" s="114"/>
      <c r="F121" s="114"/>
      <c r="G121" s="116"/>
      <c r="H121" s="231"/>
      <c r="I121" s="48"/>
      <c r="J121" s="50"/>
      <c r="K121" s="50"/>
      <c r="L121" s="117"/>
      <c r="M121" s="104"/>
      <c r="N121" s="102">
        <f t="shared" si="69"/>
        <v>0</v>
      </c>
      <c r="O121" s="91">
        <v>1</v>
      </c>
      <c r="P121" s="92"/>
      <c r="Q121" s="93"/>
      <c r="R121" s="93"/>
      <c r="S121" s="93"/>
      <c r="T121" s="95"/>
      <c r="U121" s="56">
        <f t="shared" si="70"/>
        <v>0</v>
      </c>
      <c r="V121" s="59">
        <f t="shared" si="71"/>
        <v>0</v>
      </c>
      <c r="W121" s="110"/>
      <c r="X121" s="111"/>
      <c r="Y121" s="97"/>
      <c r="Z121" s="118"/>
      <c r="AA121" s="99"/>
      <c r="AB121" s="58" t="e">
        <f t="shared" si="72"/>
        <v>#DIV/0!</v>
      </c>
      <c r="AC121" s="59" t="e">
        <f t="shared" si="73"/>
        <v>#DIV/0!</v>
      </c>
      <c r="AD121" s="109"/>
      <c r="AE121" s="56" t="e">
        <f t="shared" si="74"/>
        <v>#DIV/0!</v>
      </c>
      <c r="AF121" s="61"/>
      <c r="AG121" s="100"/>
      <c r="AH121" s="63" t="e">
        <f t="shared" si="75"/>
        <v>#DIV/0!</v>
      </c>
      <c r="AI121" s="64">
        <v>10</v>
      </c>
      <c r="AJ121" s="64">
        <v>10</v>
      </c>
      <c r="AK121" s="64">
        <v>45</v>
      </c>
      <c r="AL121" s="65" t="e">
        <f t="shared" si="76"/>
        <v>#DIV/0!</v>
      </c>
      <c r="AM121" s="66" t="e">
        <f t="shared" si="77"/>
        <v>#DIV/0!</v>
      </c>
      <c r="AN121" s="67" t="e">
        <f t="shared" si="78"/>
        <v>#DIV/0!</v>
      </c>
      <c r="AO121" s="68"/>
      <c r="AP121" s="69">
        <f t="shared" si="81"/>
        <v>1</v>
      </c>
      <c r="AQ121" s="69">
        <f t="shared" si="81"/>
        <v>2</v>
      </c>
      <c r="AR121" s="70"/>
      <c r="AS121" s="71"/>
      <c r="AT121" s="72"/>
      <c r="AU121" s="72"/>
      <c r="AV121" s="72"/>
      <c r="AW121" s="72"/>
      <c r="AX121" s="73"/>
      <c r="AY121" s="74">
        <f t="shared" si="79"/>
        <v>0</v>
      </c>
      <c r="AZ121" s="74">
        <f t="shared" si="67"/>
        <v>0</v>
      </c>
    </row>
    <row r="122" spans="1:52" s="75" customFormat="1" ht="39.75" customHeight="1" thickBot="1" x14ac:dyDescent="0.2">
      <c r="A122" s="114"/>
      <c r="B122" s="114"/>
      <c r="C122" s="114"/>
      <c r="D122" s="114"/>
      <c r="E122" s="114"/>
      <c r="F122" s="114"/>
      <c r="G122" s="116"/>
      <c r="H122" s="231"/>
      <c r="I122" s="48"/>
      <c r="J122" s="50"/>
      <c r="K122" s="50"/>
      <c r="L122" s="117"/>
      <c r="M122" s="104"/>
      <c r="N122" s="102">
        <f t="shared" si="69"/>
        <v>0</v>
      </c>
      <c r="O122" s="91">
        <v>1</v>
      </c>
      <c r="P122" s="92"/>
      <c r="Q122" s="93"/>
      <c r="R122" s="93"/>
      <c r="S122" s="93"/>
      <c r="T122" s="95"/>
      <c r="U122" s="56">
        <f t="shared" si="70"/>
        <v>0</v>
      </c>
      <c r="V122" s="59">
        <f t="shared" si="71"/>
        <v>0</v>
      </c>
      <c r="W122" s="110"/>
      <c r="X122" s="111"/>
      <c r="Y122" s="97"/>
      <c r="Z122" s="118"/>
      <c r="AA122" s="99"/>
      <c r="AB122" s="58" t="e">
        <f t="shared" si="72"/>
        <v>#DIV/0!</v>
      </c>
      <c r="AC122" s="59" t="e">
        <f t="shared" si="73"/>
        <v>#DIV/0!</v>
      </c>
      <c r="AD122" s="109"/>
      <c r="AE122" s="56" t="e">
        <f t="shared" si="74"/>
        <v>#DIV/0!</v>
      </c>
      <c r="AF122" s="61"/>
      <c r="AG122" s="100"/>
      <c r="AH122" s="63" t="e">
        <f t="shared" si="75"/>
        <v>#DIV/0!</v>
      </c>
      <c r="AI122" s="64">
        <v>10</v>
      </c>
      <c r="AJ122" s="64">
        <v>10</v>
      </c>
      <c r="AK122" s="64">
        <v>45</v>
      </c>
      <c r="AL122" s="65" t="e">
        <f t="shared" si="76"/>
        <v>#DIV/0!</v>
      </c>
      <c r="AM122" s="66" t="e">
        <f t="shared" si="77"/>
        <v>#DIV/0!</v>
      </c>
      <c r="AN122" s="67" t="e">
        <f t="shared" si="78"/>
        <v>#DIV/0!</v>
      </c>
      <c r="AO122" s="68"/>
      <c r="AP122" s="69">
        <f t="shared" si="81"/>
        <v>1</v>
      </c>
      <c r="AQ122" s="69">
        <f t="shared" si="81"/>
        <v>2</v>
      </c>
      <c r="AR122" s="70"/>
      <c r="AS122" s="71"/>
      <c r="AT122" s="72"/>
      <c r="AU122" s="72"/>
      <c r="AV122" s="72"/>
      <c r="AW122" s="72"/>
      <c r="AX122" s="73"/>
      <c r="AY122" s="74">
        <f t="shared" si="79"/>
        <v>0</v>
      </c>
      <c r="AZ122" s="74">
        <f t="shared" si="67"/>
        <v>0</v>
      </c>
    </row>
    <row r="123" spans="1:52" s="75" customFormat="1" ht="39.75" customHeight="1" thickBot="1" x14ac:dyDescent="0.2">
      <c r="A123" s="114"/>
      <c r="B123" s="114"/>
      <c r="C123" s="114"/>
      <c r="D123" s="114"/>
      <c r="E123" s="114"/>
      <c r="F123" s="114"/>
      <c r="G123" s="116"/>
      <c r="H123" s="231"/>
      <c r="I123" s="48"/>
      <c r="J123" s="50"/>
      <c r="K123" s="50"/>
      <c r="L123" s="117"/>
      <c r="M123" s="104"/>
      <c r="N123" s="102">
        <f t="shared" si="69"/>
        <v>0</v>
      </c>
      <c r="O123" s="91">
        <v>1</v>
      </c>
      <c r="P123" s="92"/>
      <c r="Q123" s="93"/>
      <c r="R123" s="93"/>
      <c r="S123" s="93"/>
      <c r="T123" s="95"/>
      <c r="U123" s="56">
        <f t="shared" si="70"/>
        <v>0</v>
      </c>
      <c r="V123" s="59">
        <f t="shared" si="71"/>
        <v>0</v>
      </c>
      <c r="W123" s="110"/>
      <c r="X123" s="111"/>
      <c r="Y123" s="97"/>
      <c r="Z123" s="118"/>
      <c r="AA123" s="99"/>
      <c r="AB123" s="58" t="e">
        <f t="shared" si="72"/>
        <v>#DIV/0!</v>
      </c>
      <c r="AC123" s="59" t="e">
        <f t="shared" si="73"/>
        <v>#DIV/0!</v>
      </c>
      <c r="AD123" s="109"/>
      <c r="AE123" s="56" t="e">
        <f t="shared" si="74"/>
        <v>#DIV/0!</v>
      </c>
      <c r="AF123" s="61"/>
      <c r="AG123" s="100"/>
      <c r="AH123" s="63" t="e">
        <f t="shared" si="75"/>
        <v>#DIV/0!</v>
      </c>
      <c r="AI123" s="64">
        <v>10</v>
      </c>
      <c r="AJ123" s="64">
        <v>10</v>
      </c>
      <c r="AK123" s="64">
        <v>45</v>
      </c>
      <c r="AL123" s="65" t="e">
        <f t="shared" si="76"/>
        <v>#DIV/0!</v>
      </c>
      <c r="AM123" s="66" t="e">
        <f t="shared" si="77"/>
        <v>#DIV/0!</v>
      </c>
      <c r="AN123" s="67" t="e">
        <f t="shared" si="78"/>
        <v>#DIV/0!</v>
      </c>
      <c r="AO123" s="68"/>
      <c r="AP123" s="69">
        <f t="shared" si="81"/>
        <v>1</v>
      </c>
      <c r="AQ123" s="69">
        <f t="shared" si="81"/>
        <v>2</v>
      </c>
      <c r="AR123" s="70"/>
      <c r="AS123" s="71"/>
      <c r="AT123" s="72"/>
      <c r="AU123" s="72"/>
      <c r="AV123" s="72"/>
      <c r="AW123" s="72"/>
      <c r="AX123" s="73"/>
      <c r="AY123" s="74">
        <f t="shared" si="79"/>
        <v>0</v>
      </c>
      <c r="AZ123" s="74">
        <f t="shared" si="67"/>
        <v>0</v>
      </c>
    </row>
    <row r="124" spans="1:52" s="75" customFormat="1" ht="39.75" customHeight="1" thickBot="1" x14ac:dyDescent="0.2">
      <c r="A124" s="114"/>
      <c r="B124" s="114"/>
      <c r="C124" s="114"/>
      <c r="D124" s="114"/>
      <c r="E124" s="114"/>
      <c r="F124" s="114"/>
      <c r="G124" s="116"/>
      <c r="H124" s="231"/>
      <c r="I124" s="48"/>
      <c r="J124" s="50"/>
      <c r="K124" s="50"/>
      <c r="L124" s="117"/>
      <c r="M124" s="104"/>
      <c r="N124" s="102">
        <f t="shared" si="69"/>
        <v>0</v>
      </c>
      <c r="O124" s="91">
        <v>1</v>
      </c>
      <c r="P124" s="92"/>
      <c r="Q124" s="93"/>
      <c r="R124" s="93"/>
      <c r="S124" s="93"/>
      <c r="T124" s="95"/>
      <c r="U124" s="56">
        <f t="shared" si="70"/>
        <v>0</v>
      </c>
      <c r="V124" s="59">
        <f t="shared" si="71"/>
        <v>0</v>
      </c>
      <c r="W124" s="110"/>
      <c r="X124" s="111"/>
      <c r="Y124" s="97"/>
      <c r="Z124" s="118"/>
      <c r="AA124" s="99"/>
      <c r="AB124" s="58" t="e">
        <f t="shared" si="72"/>
        <v>#DIV/0!</v>
      </c>
      <c r="AC124" s="59" t="e">
        <f t="shared" si="73"/>
        <v>#DIV/0!</v>
      </c>
      <c r="AD124" s="109"/>
      <c r="AE124" s="56" t="e">
        <f t="shared" si="74"/>
        <v>#DIV/0!</v>
      </c>
      <c r="AF124" s="61"/>
      <c r="AG124" s="100"/>
      <c r="AH124" s="63" t="e">
        <f t="shared" si="75"/>
        <v>#DIV/0!</v>
      </c>
      <c r="AI124" s="64">
        <v>10</v>
      </c>
      <c r="AJ124" s="64">
        <v>10</v>
      </c>
      <c r="AK124" s="64">
        <v>45</v>
      </c>
      <c r="AL124" s="65" t="e">
        <f t="shared" si="76"/>
        <v>#DIV/0!</v>
      </c>
      <c r="AM124" s="66" t="e">
        <f t="shared" si="77"/>
        <v>#DIV/0!</v>
      </c>
      <c r="AN124" s="67" t="e">
        <f t="shared" si="78"/>
        <v>#DIV/0!</v>
      </c>
      <c r="AO124" s="68"/>
      <c r="AP124" s="69">
        <f t="shared" ref="AP124:AQ143" si="82">100%+AO124</f>
        <v>1</v>
      </c>
      <c r="AQ124" s="69">
        <f t="shared" si="82"/>
        <v>2</v>
      </c>
      <c r="AR124" s="70"/>
      <c r="AS124" s="71"/>
      <c r="AT124" s="72"/>
      <c r="AU124" s="72"/>
      <c r="AV124" s="72"/>
      <c r="AW124" s="72"/>
      <c r="AX124" s="73"/>
      <c r="AY124" s="74">
        <f t="shared" si="79"/>
        <v>0</v>
      </c>
      <c r="AZ124" s="74">
        <f t="shared" si="67"/>
        <v>0</v>
      </c>
    </row>
    <row r="125" spans="1:52" s="75" customFormat="1" ht="39.75" customHeight="1" thickBot="1" x14ac:dyDescent="0.2">
      <c r="A125" s="114"/>
      <c r="B125" s="114"/>
      <c r="C125" s="114"/>
      <c r="D125" s="114"/>
      <c r="E125" s="114"/>
      <c r="F125" s="114"/>
      <c r="G125" s="116"/>
      <c r="H125" s="231"/>
      <c r="I125" s="48"/>
      <c r="J125" s="50"/>
      <c r="K125" s="50"/>
      <c r="L125" s="50"/>
      <c r="M125" s="119"/>
      <c r="N125" s="102">
        <f t="shared" si="69"/>
        <v>0</v>
      </c>
      <c r="O125" s="91">
        <v>1</v>
      </c>
      <c r="P125" s="92"/>
      <c r="Q125" s="93"/>
      <c r="R125" s="93"/>
      <c r="S125" s="93"/>
      <c r="T125" s="95"/>
      <c r="U125" s="56">
        <f t="shared" si="70"/>
        <v>0</v>
      </c>
      <c r="V125" s="59">
        <f t="shared" si="71"/>
        <v>0</v>
      </c>
      <c r="W125" s="110"/>
      <c r="X125" s="111"/>
      <c r="Y125" s="97"/>
      <c r="Z125" s="118"/>
      <c r="AA125" s="99"/>
      <c r="AB125" s="58" t="e">
        <f t="shared" si="72"/>
        <v>#DIV/0!</v>
      </c>
      <c r="AC125" s="59" t="e">
        <f t="shared" si="73"/>
        <v>#DIV/0!</v>
      </c>
      <c r="AD125" s="109"/>
      <c r="AE125" s="56" t="e">
        <f t="shared" si="74"/>
        <v>#DIV/0!</v>
      </c>
      <c r="AF125" s="61"/>
      <c r="AG125" s="100"/>
      <c r="AH125" s="63" t="e">
        <f t="shared" si="75"/>
        <v>#DIV/0!</v>
      </c>
      <c r="AI125" s="64">
        <v>10</v>
      </c>
      <c r="AJ125" s="64">
        <v>10</v>
      </c>
      <c r="AK125" s="64">
        <v>45</v>
      </c>
      <c r="AL125" s="65" t="e">
        <f t="shared" si="76"/>
        <v>#DIV/0!</v>
      </c>
      <c r="AM125" s="66" t="e">
        <f t="shared" si="77"/>
        <v>#DIV/0!</v>
      </c>
      <c r="AN125" s="67" t="e">
        <f t="shared" si="78"/>
        <v>#DIV/0!</v>
      </c>
      <c r="AO125" s="68"/>
      <c r="AP125" s="69">
        <f t="shared" si="82"/>
        <v>1</v>
      </c>
      <c r="AQ125" s="69">
        <f t="shared" si="82"/>
        <v>2</v>
      </c>
      <c r="AR125" s="70"/>
      <c r="AS125" s="71"/>
      <c r="AT125" s="72"/>
      <c r="AU125" s="72"/>
      <c r="AV125" s="72"/>
      <c r="AW125" s="72"/>
      <c r="AX125" s="73"/>
      <c r="AY125" s="74">
        <f t="shared" si="79"/>
        <v>0</v>
      </c>
      <c r="AZ125" s="74">
        <f t="shared" si="67"/>
        <v>0</v>
      </c>
    </row>
    <row r="126" spans="1:52" s="75" customFormat="1" ht="39.75" customHeight="1" thickBot="1" x14ac:dyDescent="0.2">
      <c r="A126" s="114"/>
      <c r="B126" s="114"/>
      <c r="C126" s="114"/>
      <c r="D126" s="114"/>
      <c r="E126" s="114"/>
      <c r="F126" s="114"/>
      <c r="G126" s="116"/>
      <c r="H126" s="231"/>
      <c r="I126" s="48"/>
      <c r="J126" s="50"/>
      <c r="K126" s="50"/>
      <c r="L126" s="50"/>
      <c r="M126" s="119"/>
      <c r="N126" s="102">
        <f t="shared" si="69"/>
        <v>0</v>
      </c>
      <c r="O126" s="91">
        <v>1</v>
      </c>
      <c r="P126" s="92"/>
      <c r="Q126" s="93"/>
      <c r="R126" s="93"/>
      <c r="S126" s="93"/>
      <c r="T126" s="95"/>
      <c r="U126" s="56">
        <f t="shared" si="70"/>
        <v>0</v>
      </c>
      <c r="V126" s="59">
        <f t="shared" si="71"/>
        <v>0</v>
      </c>
      <c r="W126" s="110"/>
      <c r="X126" s="111"/>
      <c r="Y126" s="97"/>
      <c r="Z126" s="118"/>
      <c r="AA126" s="99"/>
      <c r="AB126" s="58" t="e">
        <f t="shared" si="72"/>
        <v>#DIV/0!</v>
      </c>
      <c r="AC126" s="59" t="e">
        <f t="shared" si="73"/>
        <v>#DIV/0!</v>
      </c>
      <c r="AD126" s="109"/>
      <c r="AE126" s="56" t="e">
        <f t="shared" si="74"/>
        <v>#DIV/0!</v>
      </c>
      <c r="AF126" s="61"/>
      <c r="AG126" s="100"/>
      <c r="AH126" s="63" t="e">
        <f t="shared" si="75"/>
        <v>#DIV/0!</v>
      </c>
      <c r="AI126" s="64">
        <v>10</v>
      </c>
      <c r="AJ126" s="64">
        <v>10</v>
      </c>
      <c r="AK126" s="64">
        <v>45</v>
      </c>
      <c r="AL126" s="65" t="e">
        <f t="shared" si="76"/>
        <v>#DIV/0!</v>
      </c>
      <c r="AM126" s="66" t="e">
        <f t="shared" si="77"/>
        <v>#DIV/0!</v>
      </c>
      <c r="AN126" s="67" t="e">
        <f t="shared" si="78"/>
        <v>#DIV/0!</v>
      </c>
      <c r="AO126" s="68"/>
      <c r="AP126" s="69">
        <f t="shared" si="82"/>
        <v>1</v>
      </c>
      <c r="AQ126" s="69">
        <f t="shared" si="82"/>
        <v>2</v>
      </c>
      <c r="AR126" s="70"/>
      <c r="AS126" s="71"/>
      <c r="AT126" s="72"/>
      <c r="AU126" s="72"/>
      <c r="AV126" s="72"/>
      <c r="AW126" s="72"/>
      <c r="AX126" s="73"/>
      <c r="AY126" s="74">
        <f t="shared" si="79"/>
        <v>0</v>
      </c>
      <c r="AZ126" s="74">
        <f t="shared" si="67"/>
        <v>0</v>
      </c>
    </row>
    <row r="127" spans="1:52" s="28" customFormat="1" ht="39.75" customHeight="1" thickBot="1" x14ac:dyDescent="0.2">
      <c r="A127" s="114"/>
      <c r="B127" s="114"/>
      <c r="C127" s="114"/>
      <c r="D127" s="114"/>
      <c r="E127" s="114"/>
      <c r="F127" s="114"/>
      <c r="G127" s="116"/>
      <c r="H127" s="231"/>
      <c r="I127" s="48"/>
      <c r="J127" s="50"/>
      <c r="K127" s="50"/>
      <c r="L127" s="50"/>
      <c r="M127" s="119"/>
      <c r="N127" s="102">
        <f t="shared" si="69"/>
        <v>0</v>
      </c>
      <c r="O127" s="91">
        <v>1</v>
      </c>
      <c r="P127" s="92"/>
      <c r="Q127" s="93"/>
      <c r="R127" s="93"/>
      <c r="S127" s="93"/>
      <c r="T127" s="95"/>
      <c r="U127" s="56">
        <f t="shared" si="70"/>
        <v>0</v>
      </c>
      <c r="V127" s="59">
        <f t="shared" si="71"/>
        <v>0</v>
      </c>
      <c r="W127" s="110"/>
      <c r="X127" s="111"/>
      <c r="Y127" s="97"/>
      <c r="Z127" s="118"/>
      <c r="AA127" s="99"/>
      <c r="AB127" s="58" t="e">
        <f t="shared" si="72"/>
        <v>#DIV/0!</v>
      </c>
      <c r="AC127" s="59" t="e">
        <f t="shared" si="73"/>
        <v>#DIV/0!</v>
      </c>
      <c r="AD127" s="109"/>
      <c r="AE127" s="56" t="e">
        <f t="shared" si="74"/>
        <v>#DIV/0!</v>
      </c>
      <c r="AF127" s="61"/>
      <c r="AG127" s="100"/>
      <c r="AH127" s="63" t="e">
        <f t="shared" si="75"/>
        <v>#DIV/0!</v>
      </c>
      <c r="AI127" s="64">
        <v>10</v>
      </c>
      <c r="AJ127" s="64">
        <v>10</v>
      </c>
      <c r="AK127" s="64">
        <v>45</v>
      </c>
      <c r="AL127" s="65" t="e">
        <f t="shared" si="76"/>
        <v>#DIV/0!</v>
      </c>
      <c r="AM127" s="66" t="e">
        <f t="shared" si="77"/>
        <v>#DIV/0!</v>
      </c>
      <c r="AN127" s="67" t="e">
        <f t="shared" si="78"/>
        <v>#DIV/0!</v>
      </c>
      <c r="AO127" s="68"/>
      <c r="AP127" s="69">
        <f t="shared" si="82"/>
        <v>1</v>
      </c>
      <c r="AQ127" s="69">
        <f t="shared" si="82"/>
        <v>2</v>
      </c>
      <c r="AR127" s="70"/>
      <c r="AS127" s="71"/>
      <c r="AT127" s="72"/>
      <c r="AU127" s="72"/>
      <c r="AV127" s="72"/>
      <c r="AW127" s="72"/>
      <c r="AX127" s="73"/>
      <c r="AY127" s="74">
        <f t="shared" si="79"/>
        <v>0</v>
      </c>
      <c r="AZ127" s="74">
        <f t="shared" si="67"/>
        <v>0</v>
      </c>
    </row>
    <row r="128" spans="1:52" s="28" customFormat="1" ht="39.75" customHeight="1" thickBot="1" x14ac:dyDescent="0.2">
      <c r="A128" s="114"/>
      <c r="B128" s="114"/>
      <c r="C128" s="114"/>
      <c r="D128" s="114"/>
      <c r="E128" s="114"/>
      <c r="F128" s="114"/>
      <c r="G128" s="116"/>
      <c r="H128" s="231"/>
      <c r="I128" s="48"/>
      <c r="J128" s="50"/>
      <c r="K128" s="50"/>
      <c r="L128" s="50"/>
      <c r="M128" s="119"/>
      <c r="N128" s="102">
        <f t="shared" si="69"/>
        <v>0</v>
      </c>
      <c r="O128" s="91">
        <v>1</v>
      </c>
      <c r="P128" s="92"/>
      <c r="Q128" s="93"/>
      <c r="R128" s="93"/>
      <c r="S128" s="93"/>
      <c r="T128" s="95"/>
      <c r="U128" s="56">
        <f t="shared" si="70"/>
        <v>0</v>
      </c>
      <c r="V128" s="59">
        <f t="shared" si="71"/>
        <v>0</v>
      </c>
      <c r="W128" s="110"/>
      <c r="X128" s="111"/>
      <c r="Y128" s="97"/>
      <c r="Z128" s="118"/>
      <c r="AA128" s="99"/>
      <c r="AB128" s="58" t="e">
        <f t="shared" si="72"/>
        <v>#DIV/0!</v>
      </c>
      <c r="AC128" s="59" t="e">
        <f t="shared" si="73"/>
        <v>#DIV/0!</v>
      </c>
      <c r="AD128" s="109"/>
      <c r="AE128" s="56" t="e">
        <f t="shared" si="74"/>
        <v>#DIV/0!</v>
      </c>
      <c r="AF128" s="61"/>
      <c r="AG128" s="100"/>
      <c r="AH128" s="63" t="e">
        <f t="shared" si="75"/>
        <v>#DIV/0!</v>
      </c>
      <c r="AI128" s="64">
        <v>10</v>
      </c>
      <c r="AJ128" s="64">
        <v>10</v>
      </c>
      <c r="AK128" s="64">
        <v>45</v>
      </c>
      <c r="AL128" s="65" t="e">
        <f t="shared" si="76"/>
        <v>#DIV/0!</v>
      </c>
      <c r="AM128" s="66" t="e">
        <f t="shared" si="77"/>
        <v>#DIV/0!</v>
      </c>
      <c r="AN128" s="67" t="e">
        <f t="shared" si="78"/>
        <v>#DIV/0!</v>
      </c>
      <c r="AO128" s="68"/>
      <c r="AP128" s="69">
        <f t="shared" si="82"/>
        <v>1</v>
      </c>
      <c r="AQ128" s="69">
        <f t="shared" si="82"/>
        <v>2</v>
      </c>
      <c r="AR128" s="70"/>
      <c r="AS128" s="71"/>
      <c r="AT128" s="72"/>
      <c r="AU128" s="72"/>
      <c r="AV128" s="72"/>
      <c r="AW128" s="72"/>
      <c r="AX128" s="73"/>
      <c r="AY128" s="74">
        <f t="shared" si="79"/>
        <v>0</v>
      </c>
      <c r="AZ128" s="74">
        <f t="shared" si="67"/>
        <v>0</v>
      </c>
    </row>
    <row r="129" spans="1:52" s="75" customFormat="1" ht="39.75" customHeight="1" thickBot="1" x14ac:dyDescent="0.2">
      <c r="A129" s="114"/>
      <c r="B129" s="114"/>
      <c r="C129" s="114"/>
      <c r="D129" s="114"/>
      <c r="E129" s="114"/>
      <c r="F129" s="114"/>
      <c r="G129" s="116"/>
      <c r="H129" s="231"/>
      <c r="I129" s="48"/>
      <c r="J129" s="50"/>
      <c r="K129" s="50"/>
      <c r="L129" s="50"/>
      <c r="M129" s="119"/>
      <c r="N129" s="102">
        <f t="shared" si="69"/>
        <v>0</v>
      </c>
      <c r="O129" s="91">
        <v>1</v>
      </c>
      <c r="P129" s="92"/>
      <c r="Q129" s="93"/>
      <c r="R129" s="93"/>
      <c r="S129" s="93"/>
      <c r="T129" s="95"/>
      <c r="U129" s="56">
        <f t="shared" si="70"/>
        <v>0</v>
      </c>
      <c r="V129" s="59">
        <f t="shared" si="71"/>
        <v>0</v>
      </c>
      <c r="W129" s="110"/>
      <c r="X129" s="111"/>
      <c r="Y129" s="97"/>
      <c r="Z129" s="118"/>
      <c r="AA129" s="99"/>
      <c r="AB129" s="58" t="e">
        <f t="shared" si="72"/>
        <v>#DIV/0!</v>
      </c>
      <c r="AC129" s="59" t="e">
        <f t="shared" si="73"/>
        <v>#DIV/0!</v>
      </c>
      <c r="AD129" s="109"/>
      <c r="AE129" s="56" t="e">
        <f t="shared" si="74"/>
        <v>#DIV/0!</v>
      </c>
      <c r="AF129" s="61"/>
      <c r="AG129" s="100"/>
      <c r="AH129" s="63" t="e">
        <f t="shared" si="75"/>
        <v>#DIV/0!</v>
      </c>
      <c r="AI129" s="64">
        <v>10</v>
      </c>
      <c r="AJ129" s="64">
        <v>10</v>
      </c>
      <c r="AK129" s="64">
        <v>45</v>
      </c>
      <c r="AL129" s="65" t="e">
        <f t="shared" si="76"/>
        <v>#DIV/0!</v>
      </c>
      <c r="AM129" s="66" t="e">
        <f t="shared" si="77"/>
        <v>#DIV/0!</v>
      </c>
      <c r="AN129" s="67" t="e">
        <f t="shared" si="78"/>
        <v>#DIV/0!</v>
      </c>
      <c r="AO129" s="68"/>
      <c r="AP129" s="69">
        <f t="shared" si="82"/>
        <v>1</v>
      </c>
      <c r="AQ129" s="69">
        <f t="shared" si="82"/>
        <v>2</v>
      </c>
      <c r="AR129" s="70"/>
      <c r="AS129" s="71"/>
      <c r="AT129" s="72"/>
      <c r="AU129" s="72"/>
      <c r="AV129" s="72"/>
      <c r="AW129" s="72"/>
      <c r="AX129" s="73"/>
      <c r="AY129" s="74">
        <f t="shared" si="79"/>
        <v>0</v>
      </c>
      <c r="AZ129" s="74">
        <f t="shared" si="67"/>
        <v>0</v>
      </c>
    </row>
    <row r="130" spans="1:52" s="28" customFormat="1" ht="39.75" customHeight="1" thickBot="1" x14ac:dyDescent="0.2">
      <c r="A130" s="114"/>
      <c r="B130" s="114"/>
      <c r="C130" s="114"/>
      <c r="D130" s="114"/>
      <c r="E130" s="114"/>
      <c r="F130" s="114"/>
      <c r="G130" s="116"/>
      <c r="H130" s="231"/>
      <c r="I130" s="48"/>
      <c r="J130" s="50"/>
      <c r="K130" s="50"/>
      <c r="L130" s="50"/>
      <c r="M130" s="119"/>
      <c r="N130" s="102">
        <f t="shared" si="69"/>
        <v>0</v>
      </c>
      <c r="O130" s="91">
        <v>1</v>
      </c>
      <c r="P130" s="92"/>
      <c r="Q130" s="93"/>
      <c r="R130" s="93"/>
      <c r="S130" s="93"/>
      <c r="T130" s="95"/>
      <c r="U130" s="56">
        <f t="shared" si="70"/>
        <v>0</v>
      </c>
      <c r="V130" s="59">
        <f t="shared" si="71"/>
        <v>0</v>
      </c>
      <c r="W130" s="110"/>
      <c r="X130" s="111"/>
      <c r="Y130" s="97"/>
      <c r="Z130" s="118"/>
      <c r="AA130" s="99"/>
      <c r="AB130" s="58" t="e">
        <f t="shared" si="72"/>
        <v>#DIV/0!</v>
      </c>
      <c r="AC130" s="59" t="e">
        <f t="shared" si="73"/>
        <v>#DIV/0!</v>
      </c>
      <c r="AD130" s="109"/>
      <c r="AE130" s="56" t="e">
        <f t="shared" si="74"/>
        <v>#DIV/0!</v>
      </c>
      <c r="AF130" s="61"/>
      <c r="AG130" s="100"/>
      <c r="AH130" s="63" t="e">
        <f t="shared" si="75"/>
        <v>#DIV/0!</v>
      </c>
      <c r="AI130" s="64">
        <v>10</v>
      </c>
      <c r="AJ130" s="64">
        <v>10</v>
      </c>
      <c r="AK130" s="64">
        <v>45</v>
      </c>
      <c r="AL130" s="65" t="e">
        <f t="shared" si="76"/>
        <v>#DIV/0!</v>
      </c>
      <c r="AM130" s="66" t="e">
        <f t="shared" si="77"/>
        <v>#DIV/0!</v>
      </c>
      <c r="AN130" s="67" t="e">
        <f t="shared" si="78"/>
        <v>#DIV/0!</v>
      </c>
      <c r="AO130" s="68"/>
      <c r="AP130" s="69">
        <f t="shared" si="82"/>
        <v>1</v>
      </c>
      <c r="AQ130" s="69">
        <f t="shared" si="82"/>
        <v>2</v>
      </c>
      <c r="AR130" s="70"/>
      <c r="AS130" s="71"/>
      <c r="AT130" s="72"/>
      <c r="AU130" s="72"/>
      <c r="AV130" s="72"/>
      <c r="AW130" s="72"/>
      <c r="AX130" s="73"/>
      <c r="AY130" s="74">
        <f t="shared" si="79"/>
        <v>0</v>
      </c>
      <c r="AZ130" s="74">
        <f t="shared" si="67"/>
        <v>0</v>
      </c>
    </row>
    <row r="131" spans="1:52" s="75" customFormat="1" ht="39.75" customHeight="1" thickBot="1" x14ac:dyDescent="0.2">
      <c r="A131" s="114"/>
      <c r="B131" s="114"/>
      <c r="C131" s="114"/>
      <c r="D131" s="114"/>
      <c r="E131" s="114"/>
      <c r="F131" s="114"/>
      <c r="G131" s="116"/>
      <c r="H131" s="231"/>
      <c r="I131" s="48"/>
      <c r="J131" s="50"/>
      <c r="K131" s="50"/>
      <c r="L131" s="50"/>
      <c r="M131" s="119"/>
      <c r="N131" s="102">
        <f t="shared" si="69"/>
        <v>0</v>
      </c>
      <c r="O131" s="91">
        <v>1</v>
      </c>
      <c r="P131" s="92"/>
      <c r="Q131" s="93"/>
      <c r="R131" s="93"/>
      <c r="S131" s="93"/>
      <c r="T131" s="95"/>
      <c r="U131" s="56">
        <f t="shared" si="70"/>
        <v>0</v>
      </c>
      <c r="V131" s="59">
        <f t="shared" si="71"/>
        <v>0</v>
      </c>
      <c r="W131" s="110"/>
      <c r="X131" s="111"/>
      <c r="Y131" s="97"/>
      <c r="Z131" s="118"/>
      <c r="AA131" s="99"/>
      <c r="AB131" s="58" t="e">
        <f t="shared" si="72"/>
        <v>#DIV/0!</v>
      </c>
      <c r="AC131" s="59" t="e">
        <f t="shared" si="73"/>
        <v>#DIV/0!</v>
      </c>
      <c r="AD131" s="109"/>
      <c r="AE131" s="56" t="e">
        <f t="shared" si="74"/>
        <v>#DIV/0!</v>
      </c>
      <c r="AF131" s="61"/>
      <c r="AG131" s="100"/>
      <c r="AH131" s="63" t="e">
        <f t="shared" si="75"/>
        <v>#DIV/0!</v>
      </c>
      <c r="AI131" s="64">
        <v>10</v>
      </c>
      <c r="AJ131" s="64">
        <v>10</v>
      </c>
      <c r="AK131" s="64">
        <v>45</v>
      </c>
      <c r="AL131" s="65" t="e">
        <f t="shared" si="76"/>
        <v>#DIV/0!</v>
      </c>
      <c r="AM131" s="66" t="e">
        <f t="shared" si="77"/>
        <v>#DIV/0!</v>
      </c>
      <c r="AN131" s="67" t="e">
        <f t="shared" si="78"/>
        <v>#DIV/0!</v>
      </c>
      <c r="AO131" s="68"/>
      <c r="AP131" s="69">
        <f t="shared" si="82"/>
        <v>1</v>
      </c>
      <c r="AQ131" s="69">
        <f t="shared" si="82"/>
        <v>2</v>
      </c>
      <c r="AR131" s="70"/>
      <c r="AS131" s="71"/>
      <c r="AT131" s="72"/>
      <c r="AU131" s="72"/>
      <c r="AV131" s="72"/>
      <c r="AW131" s="72"/>
      <c r="AX131" s="73"/>
      <c r="AY131" s="74">
        <f t="shared" si="79"/>
        <v>0</v>
      </c>
      <c r="AZ131" s="74">
        <f t="shared" si="67"/>
        <v>0</v>
      </c>
    </row>
    <row r="132" spans="1:52" s="75" customFormat="1" ht="39.75" customHeight="1" thickBot="1" x14ac:dyDescent="0.2">
      <c r="A132" s="114"/>
      <c r="B132" s="114"/>
      <c r="C132" s="114"/>
      <c r="D132" s="114"/>
      <c r="E132" s="114"/>
      <c r="F132" s="114"/>
      <c r="G132" s="116"/>
      <c r="H132" s="231"/>
      <c r="I132" s="48"/>
      <c r="J132" s="50"/>
      <c r="K132" s="50"/>
      <c r="L132" s="50"/>
      <c r="M132" s="119"/>
      <c r="N132" s="102">
        <f t="shared" si="69"/>
        <v>0</v>
      </c>
      <c r="O132" s="91">
        <v>1</v>
      </c>
      <c r="P132" s="92"/>
      <c r="Q132" s="93"/>
      <c r="R132" s="93"/>
      <c r="S132" s="93"/>
      <c r="T132" s="95"/>
      <c r="U132" s="56">
        <f t="shared" si="70"/>
        <v>0</v>
      </c>
      <c r="V132" s="59">
        <f t="shared" si="71"/>
        <v>0</v>
      </c>
      <c r="W132" s="110"/>
      <c r="X132" s="111"/>
      <c r="Y132" s="97"/>
      <c r="Z132" s="118"/>
      <c r="AA132" s="99"/>
      <c r="AB132" s="58" t="e">
        <f t="shared" si="72"/>
        <v>#DIV/0!</v>
      </c>
      <c r="AC132" s="59" t="e">
        <f t="shared" si="73"/>
        <v>#DIV/0!</v>
      </c>
      <c r="AD132" s="109"/>
      <c r="AE132" s="56" t="e">
        <f t="shared" si="74"/>
        <v>#DIV/0!</v>
      </c>
      <c r="AF132" s="61"/>
      <c r="AG132" s="100"/>
      <c r="AH132" s="63" t="e">
        <f t="shared" si="75"/>
        <v>#DIV/0!</v>
      </c>
      <c r="AI132" s="64">
        <v>10</v>
      </c>
      <c r="AJ132" s="64">
        <v>10</v>
      </c>
      <c r="AK132" s="64">
        <v>45</v>
      </c>
      <c r="AL132" s="65" t="e">
        <f t="shared" si="76"/>
        <v>#DIV/0!</v>
      </c>
      <c r="AM132" s="66" t="e">
        <f t="shared" si="77"/>
        <v>#DIV/0!</v>
      </c>
      <c r="AN132" s="67" t="e">
        <f t="shared" si="78"/>
        <v>#DIV/0!</v>
      </c>
      <c r="AO132" s="68"/>
      <c r="AP132" s="69">
        <f t="shared" si="82"/>
        <v>1</v>
      </c>
      <c r="AQ132" s="69">
        <f t="shared" si="82"/>
        <v>2</v>
      </c>
      <c r="AR132" s="70"/>
      <c r="AS132" s="71"/>
      <c r="AT132" s="72"/>
      <c r="AU132" s="72"/>
      <c r="AV132" s="72"/>
      <c r="AW132" s="72"/>
      <c r="AX132" s="73"/>
      <c r="AY132" s="74">
        <f t="shared" si="79"/>
        <v>0</v>
      </c>
      <c r="AZ132" s="74">
        <f t="shared" si="67"/>
        <v>0</v>
      </c>
    </row>
    <row r="133" spans="1:52" s="75" customFormat="1" ht="39.75" customHeight="1" thickBot="1" x14ac:dyDescent="0.2">
      <c r="A133" s="114"/>
      <c r="B133" s="114"/>
      <c r="C133" s="114"/>
      <c r="D133" s="114"/>
      <c r="E133" s="114"/>
      <c r="F133" s="114"/>
      <c r="G133" s="116"/>
      <c r="H133" s="231"/>
      <c r="I133" s="48"/>
      <c r="J133" s="50"/>
      <c r="K133" s="50"/>
      <c r="L133" s="50"/>
      <c r="M133" s="119"/>
      <c r="N133" s="102">
        <f t="shared" si="69"/>
        <v>0</v>
      </c>
      <c r="O133" s="91">
        <v>1</v>
      </c>
      <c r="P133" s="92"/>
      <c r="Q133" s="93"/>
      <c r="R133" s="93"/>
      <c r="S133" s="93"/>
      <c r="T133" s="94"/>
      <c r="U133" s="56">
        <f t="shared" si="70"/>
        <v>0</v>
      </c>
      <c r="V133" s="59">
        <f t="shared" si="71"/>
        <v>0</v>
      </c>
      <c r="W133" s="110"/>
      <c r="X133" s="111"/>
      <c r="Y133" s="97"/>
      <c r="Z133" s="118"/>
      <c r="AA133" s="99"/>
      <c r="AB133" s="58" t="e">
        <f t="shared" si="72"/>
        <v>#DIV/0!</v>
      </c>
      <c r="AC133" s="59" t="e">
        <f t="shared" si="73"/>
        <v>#DIV/0!</v>
      </c>
      <c r="AD133" s="109"/>
      <c r="AE133" s="56" t="e">
        <f t="shared" si="74"/>
        <v>#DIV/0!</v>
      </c>
      <c r="AF133" s="61"/>
      <c r="AG133" s="100"/>
      <c r="AH133" s="63" t="e">
        <f t="shared" si="75"/>
        <v>#DIV/0!</v>
      </c>
      <c r="AI133" s="64">
        <v>10</v>
      </c>
      <c r="AJ133" s="64">
        <v>10</v>
      </c>
      <c r="AK133" s="64">
        <v>45</v>
      </c>
      <c r="AL133" s="65" t="e">
        <f t="shared" si="76"/>
        <v>#DIV/0!</v>
      </c>
      <c r="AM133" s="66" t="e">
        <f t="shared" si="77"/>
        <v>#DIV/0!</v>
      </c>
      <c r="AN133" s="67" t="e">
        <f t="shared" si="78"/>
        <v>#DIV/0!</v>
      </c>
      <c r="AO133" s="68"/>
      <c r="AP133" s="69">
        <f t="shared" si="82"/>
        <v>1</v>
      </c>
      <c r="AQ133" s="69">
        <f t="shared" si="82"/>
        <v>2</v>
      </c>
      <c r="AR133" s="70"/>
      <c r="AS133" s="71"/>
      <c r="AT133" s="72"/>
      <c r="AU133" s="72"/>
      <c r="AV133" s="72"/>
      <c r="AW133" s="72"/>
      <c r="AX133" s="73"/>
      <c r="AY133" s="74">
        <f t="shared" si="79"/>
        <v>0</v>
      </c>
      <c r="AZ133" s="74">
        <f t="shared" si="67"/>
        <v>0</v>
      </c>
    </row>
    <row r="134" spans="1:52" s="75" customFormat="1" ht="39.75" customHeight="1" thickBot="1" x14ac:dyDescent="0.2">
      <c r="A134" s="114"/>
      <c r="B134" s="114"/>
      <c r="C134" s="114"/>
      <c r="D134" s="114"/>
      <c r="E134" s="114"/>
      <c r="F134" s="114"/>
      <c r="G134" s="116"/>
      <c r="H134" s="231"/>
      <c r="I134" s="48"/>
      <c r="J134" s="50"/>
      <c r="K134" s="50"/>
      <c r="L134" s="50"/>
      <c r="M134" s="119"/>
      <c r="N134" s="102">
        <f t="shared" si="69"/>
        <v>0</v>
      </c>
      <c r="O134" s="91">
        <v>1</v>
      </c>
      <c r="P134" s="92"/>
      <c r="Q134" s="93"/>
      <c r="R134" s="93"/>
      <c r="S134" s="93"/>
      <c r="T134" s="94"/>
      <c r="U134" s="56">
        <f t="shared" si="70"/>
        <v>0</v>
      </c>
      <c r="V134" s="59">
        <f t="shared" si="71"/>
        <v>0</v>
      </c>
      <c r="W134" s="110"/>
      <c r="X134" s="111"/>
      <c r="Y134" s="97"/>
      <c r="Z134" s="118"/>
      <c r="AA134" s="99"/>
      <c r="AB134" s="58" t="e">
        <f t="shared" si="72"/>
        <v>#DIV/0!</v>
      </c>
      <c r="AC134" s="59" t="e">
        <f t="shared" si="73"/>
        <v>#DIV/0!</v>
      </c>
      <c r="AD134" s="109"/>
      <c r="AE134" s="56" t="e">
        <f t="shared" si="74"/>
        <v>#DIV/0!</v>
      </c>
      <c r="AF134" s="61"/>
      <c r="AG134" s="100"/>
      <c r="AH134" s="63" t="e">
        <f t="shared" si="75"/>
        <v>#DIV/0!</v>
      </c>
      <c r="AI134" s="64">
        <v>10</v>
      </c>
      <c r="AJ134" s="64">
        <v>10</v>
      </c>
      <c r="AK134" s="64">
        <v>45</v>
      </c>
      <c r="AL134" s="65" t="e">
        <f t="shared" si="76"/>
        <v>#DIV/0!</v>
      </c>
      <c r="AM134" s="66" t="e">
        <f t="shared" si="77"/>
        <v>#DIV/0!</v>
      </c>
      <c r="AN134" s="67" t="e">
        <f t="shared" si="78"/>
        <v>#DIV/0!</v>
      </c>
      <c r="AO134" s="68"/>
      <c r="AP134" s="69">
        <f t="shared" si="82"/>
        <v>1</v>
      </c>
      <c r="AQ134" s="69">
        <f t="shared" si="82"/>
        <v>2</v>
      </c>
      <c r="AR134" s="70"/>
      <c r="AS134" s="71"/>
      <c r="AT134" s="72"/>
      <c r="AU134" s="72"/>
      <c r="AV134" s="72"/>
      <c r="AW134" s="72"/>
      <c r="AX134" s="73"/>
      <c r="AY134" s="74">
        <f t="shared" si="79"/>
        <v>0</v>
      </c>
      <c r="AZ134" s="74">
        <f t="shared" si="67"/>
        <v>0</v>
      </c>
    </row>
    <row r="135" spans="1:52" s="28" customFormat="1" ht="39.75" customHeight="1" thickBot="1" x14ac:dyDescent="0.2">
      <c r="A135" s="114"/>
      <c r="B135" s="114"/>
      <c r="C135" s="114"/>
      <c r="D135" s="114"/>
      <c r="E135" s="114"/>
      <c r="F135" s="114"/>
      <c r="G135" s="116"/>
      <c r="H135" s="231"/>
      <c r="I135" s="48"/>
      <c r="J135" s="50"/>
      <c r="K135" s="50"/>
      <c r="L135" s="50"/>
      <c r="M135" s="119"/>
      <c r="N135" s="102">
        <f t="shared" si="69"/>
        <v>0</v>
      </c>
      <c r="O135" s="91">
        <v>1</v>
      </c>
      <c r="P135" s="92"/>
      <c r="Q135" s="93"/>
      <c r="R135" s="93"/>
      <c r="S135" s="93"/>
      <c r="T135" s="94"/>
      <c r="U135" s="56">
        <f t="shared" si="70"/>
        <v>0</v>
      </c>
      <c r="V135" s="59">
        <f t="shared" si="71"/>
        <v>0</v>
      </c>
      <c r="W135" s="110"/>
      <c r="X135" s="111"/>
      <c r="Y135" s="97"/>
      <c r="Z135" s="118"/>
      <c r="AA135" s="99"/>
      <c r="AB135" s="58" t="e">
        <f t="shared" si="72"/>
        <v>#DIV/0!</v>
      </c>
      <c r="AC135" s="59" t="e">
        <f t="shared" si="73"/>
        <v>#DIV/0!</v>
      </c>
      <c r="AD135" s="109"/>
      <c r="AE135" s="56" t="e">
        <f t="shared" si="74"/>
        <v>#DIV/0!</v>
      </c>
      <c r="AF135" s="61"/>
      <c r="AG135" s="100"/>
      <c r="AH135" s="63" t="e">
        <f t="shared" si="75"/>
        <v>#DIV/0!</v>
      </c>
      <c r="AI135" s="64">
        <v>10</v>
      </c>
      <c r="AJ135" s="64">
        <v>10</v>
      </c>
      <c r="AK135" s="64">
        <v>45</v>
      </c>
      <c r="AL135" s="65" t="e">
        <f t="shared" si="76"/>
        <v>#DIV/0!</v>
      </c>
      <c r="AM135" s="66" t="e">
        <f t="shared" si="77"/>
        <v>#DIV/0!</v>
      </c>
      <c r="AN135" s="67" t="e">
        <f t="shared" si="78"/>
        <v>#DIV/0!</v>
      </c>
      <c r="AO135" s="68"/>
      <c r="AP135" s="69">
        <f t="shared" si="82"/>
        <v>1</v>
      </c>
      <c r="AQ135" s="69">
        <f t="shared" si="82"/>
        <v>2</v>
      </c>
      <c r="AR135" s="70"/>
      <c r="AS135" s="71"/>
      <c r="AT135" s="72"/>
      <c r="AU135" s="72"/>
      <c r="AV135" s="72"/>
      <c r="AW135" s="72"/>
      <c r="AX135" s="73"/>
      <c r="AY135" s="74">
        <f t="shared" si="79"/>
        <v>0</v>
      </c>
      <c r="AZ135" s="74">
        <f t="shared" si="67"/>
        <v>0</v>
      </c>
    </row>
    <row r="136" spans="1:52" s="75" customFormat="1" ht="39.75" customHeight="1" thickBot="1" x14ac:dyDescent="0.2">
      <c r="A136" s="114"/>
      <c r="B136" s="114"/>
      <c r="C136" s="114"/>
      <c r="D136" s="114"/>
      <c r="E136" s="114"/>
      <c r="F136" s="114"/>
      <c r="G136" s="116"/>
      <c r="H136" s="231"/>
      <c r="I136" s="48"/>
      <c r="J136" s="50"/>
      <c r="K136" s="50"/>
      <c r="L136" s="50"/>
      <c r="M136" s="119"/>
      <c r="N136" s="102">
        <f t="shared" si="69"/>
        <v>0</v>
      </c>
      <c r="O136" s="91">
        <v>1</v>
      </c>
      <c r="P136" s="92"/>
      <c r="Q136" s="93"/>
      <c r="R136" s="93"/>
      <c r="S136" s="93"/>
      <c r="T136" s="94"/>
      <c r="U136" s="56">
        <f t="shared" si="70"/>
        <v>0</v>
      </c>
      <c r="V136" s="59">
        <f t="shared" si="71"/>
        <v>0</v>
      </c>
      <c r="W136" s="110"/>
      <c r="X136" s="111"/>
      <c r="Y136" s="97"/>
      <c r="Z136" s="118"/>
      <c r="AA136" s="99"/>
      <c r="AB136" s="58" t="e">
        <f t="shared" si="72"/>
        <v>#DIV/0!</v>
      </c>
      <c r="AC136" s="59" t="e">
        <f t="shared" si="73"/>
        <v>#DIV/0!</v>
      </c>
      <c r="AD136" s="109"/>
      <c r="AE136" s="56" t="e">
        <f t="shared" si="74"/>
        <v>#DIV/0!</v>
      </c>
      <c r="AF136" s="61"/>
      <c r="AG136" s="100"/>
      <c r="AH136" s="63" t="e">
        <f t="shared" si="75"/>
        <v>#DIV/0!</v>
      </c>
      <c r="AI136" s="64">
        <v>10</v>
      </c>
      <c r="AJ136" s="64">
        <v>10</v>
      </c>
      <c r="AK136" s="64">
        <v>45</v>
      </c>
      <c r="AL136" s="65" t="e">
        <f t="shared" si="76"/>
        <v>#DIV/0!</v>
      </c>
      <c r="AM136" s="66" t="e">
        <f t="shared" si="77"/>
        <v>#DIV/0!</v>
      </c>
      <c r="AN136" s="67" t="e">
        <f t="shared" si="78"/>
        <v>#DIV/0!</v>
      </c>
      <c r="AO136" s="68"/>
      <c r="AP136" s="69">
        <f t="shared" si="82"/>
        <v>1</v>
      </c>
      <c r="AQ136" s="69">
        <f t="shared" si="82"/>
        <v>2</v>
      </c>
      <c r="AR136" s="70"/>
      <c r="AS136" s="71"/>
      <c r="AT136" s="72"/>
      <c r="AU136" s="72"/>
      <c r="AV136" s="72"/>
      <c r="AW136" s="72"/>
      <c r="AX136" s="73"/>
      <c r="AY136" s="74">
        <f t="shared" si="79"/>
        <v>0</v>
      </c>
      <c r="AZ136" s="74">
        <f t="shared" si="67"/>
        <v>0</v>
      </c>
    </row>
    <row r="137" spans="1:52" s="28" customFormat="1" ht="39.75" customHeight="1" thickBot="1" x14ac:dyDescent="0.2">
      <c r="A137" s="114"/>
      <c r="B137" s="114"/>
      <c r="C137" s="114"/>
      <c r="D137" s="114"/>
      <c r="E137" s="114"/>
      <c r="F137" s="114"/>
      <c r="G137" s="116"/>
      <c r="H137" s="231"/>
      <c r="I137" s="48"/>
      <c r="J137" s="50"/>
      <c r="K137" s="50"/>
      <c r="L137" s="50"/>
      <c r="M137" s="119"/>
      <c r="N137" s="102">
        <f t="shared" si="69"/>
        <v>0</v>
      </c>
      <c r="O137" s="91">
        <v>1</v>
      </c>
      <c r="P137" s="92"/>
      <c r="Q137" s="93"/>
      <c r="R137" s="93"/>
      <c r="S137" s="93"/>
      <c r="T137" s="94"/>
      <c r="U137" s="56">
        <f t="shared" si="70"/>
        <v>0</v>
      </c>
      <c r="V137" s="59">
        <f t="shared" si="71"/>
        <v>0</v>
      </c>
      <c r="W137" s="110"/>
      <c r="X137" s="111"/>
      <c r="Y137" s="97"/>
      <c r="Z137" s="118"/>
      <c r="AA137" s="99"/>
      <c r="AB137" s="58" t="e">
        <f t="shared" si="72"/>
        <v>#DIV/0!</v>
      </c>
      <c r="AC137" s="59" t="e">
        <f t="shared" si="73"/>
        <v>#DIV/0!</v>
      </c>
      <c r="AD137" s="109"/>
      <c r="AE137" s="56" t="e">
        <f t="shared" si="74"/>
        <v>#DIV/0!</v>
      </c>
      <c r="AF137" s="61"/>
      <c r="AG137" s="100"/>
      <c r="AH137" s="63" t="e">
        <f t="shared" si="75"/>
        <v>#DIV/0!</v>
      </c>
      <c r="AI137" s="64">
        <v>10</v>
      </c>
      <c r="AJ137" s="64">
        <v>10</v>
      </c>
      <c r="AK137" s="64">
        <v>45</v>
      </c>
      <c r="AL137" s="65" t="e">
        <f t="shared" si="76"/>
        <v>#DIV/0!</v>
      </c>
      <c r="AM137" s="66" t="e">
        <f t="shared" si="77"/>
        <v>#DIV/0!</v>
      </c>
      <c r="AN137" s="67" t="e">
        <f t="shared" si="78"/>
        <v>#DIV/0!</v>
      </c>
      <c r="AO137" s="68"/>
      <c r="AP137" s="69">
        <f t="shared" si="82"/>
        <v>1</v>
      </c>
      <c r="AQ137" s="69">
        <f t="shared" si="82"/>
        <v>2</v>
      </c>
      <c r="AR137" s="70"/>
      <c r="AS137" s="71"/>
      <c r="AT137" s="72"/>
      <c r="AU137" s="72"/>
      <c r="AV137" s="72"/>
      <c r="AW137" s="72"/>
      <c r="AX137" s="73"/>
      <c r="AY137" s="74">
        <f t="shared" si="79"/>
        <v>0</v>
      </c>
      <c r="AZ137" s="74">
        <f t="shared" si="67"/>
        <v>0</v>
      </c>
    </row>
    <row r="138" spans="1:52" s="75" customFormat="1" ht="39.75" customHeight="1" thickBot="1" x14ac:dyDescent="0.2">
      <c r="A138" s="114"/>
      <c r="B138" s="114"/>
      <c r="C138" s="114"/>
      <c r="D138" s="114"/>
      <c r="E138" s="114"/>
      <c r="F138" s="114"/>
      <c r="G138" s="116"/>
      <c r="H138" s="231"/>
      <c r="I138" s="48"/>
      <c r="J138" s="50"/>
      <c r="K138" s="50"/>
      <c r="L138" s="50"/>
      <c r="M138" s="119"/>
      <c r="N138" s="102">
        <f t="shared" si="69"/>
        <v>0</v>
      </c>
      <c r="O138" s="91">
        <v>1</v>
      </c>
      <c r="P138" s="92"/>
      <c r="Q138" s="93"/>
      <c r="R138" s="93"/>
      <c r="S138" s="93"/>
      <c r="T138" s="94"/>
      <c r="U138" s="56">
        <f t="shared" si="70"/>
        <v>0</v>
      </c>
      <c r="V138" s="59">
        <f t="shared" si="71"/>
        <v>0</v>
      </c>
      <c r="W138" s="110"/>
      <c r="X138" s="111"/>
      <c r="Y138" s="97"/>
      <c r="Z138" s="118"/>
      <c r="AA138" s="99"/>
      <c r="AB138" s="58" t="e">
        <f t="shared" si="72"/>
        <v>#DIV/0!</v>
      </c>
      <c r="AC138" s="59" t="e">
        <f t="shared" si="73"/>
        <v>#DIV/0!</v>
      </c>
      <c r="AD138" s="109"/>
      <c r="AE138" s="56" t="e">
        <f t="shared" si="74"/>
        <v>#DIV/0!</v>
      </c>
      <c r="AF138" s="61"/>
      <c r="AG138" s="100"/>
      <c r="AH138" s="63" t="e">
        <f t="shared" si="75"/>
        <v>#DIV/0!</v>
      </c>
      <c r="AI138" s="64">
        <v>10</v>
      </c>
      <c r="AJ138" s="64">
        <v>10</v>
      </c>
      <c r="AK138" s="64">
        <v>45</v>
      </c>
      <c r="AL138" s="65" t="e">
        <f t="shared" si="76"/>
        <v>#DIV/0!</v>
      </c>
      <c r="AM138" s="66" t="e">
        <f t="shared" si="77"/>
        <v>#DIV/0!</v>
      </c>
      <c r="AN138" s="67" t="e">
        <f t="shared" si="78"/>
        <v>#DIV/0!</v>
      </c>
      <c r="AO138" s="68"/>
      <c r="AP138" s="69">
        <f t="shared" si="82"/>
        <v>1</v>
      </c>
      <c r="AQ138" s="69">
        <f t="shared" si="82"/>
        <v>2</v>
      </c>
      <c r="AR138" s="70"/>
      <c r="AS138" s="71"/>
      <c r="AT138" s="72"/>
      <c r="AU138" s="72"/>
      <c r="AV138" s="72"/>
      <c r="AW138" s="72"/>
      <c r="AX138" s="73"/>
      <c r="AY138" s="74">
        <f t="shared" si="79"/>
        <v>0</v>
      </c>
      <c r="AZ138" s="74">
        <f t="shared" si="67"/>
        <v>0</v>
      </c>
    </row>
    <row r="139" spans="1:52" s="75" customFormat="1" ht="39.75" customHeight="1" thickBot="1" x14ac:dyDescent="0.2">
      <c r="A139" s="114"/>
      <c r="B139" s="114"/>
      <c r="C139" s="114"/>
      <c r="D139" s="114"/>
      <c r="E139" s="114"/>
      <c r="F139" s="114"/>
      <c r="G139" s="116"/>
      <c r="H139" s="231"/>
      <c r="I139" s="48"/>
      <c r="J139" s="50"/>
      <c r="K139" s="50"/>
      <c r="L139" s="50"/>
      <c r="M139" s="119"/>
      <c r="N139" s="102">
        <f t="shared" si="69"/>
        <v>0</v>
      </c>
      <c r="O139" s="91">
        <v>1</v>
      </c>
      <c r="P139" s="92"/>
      <c r="Q139" s="93"/>
      <c r="R139" s="93"/>
      <c r="S139" s="93"/>
      <c r="T139" s="94"/>
      <c r="U139" s="56">
        <f t="shared" si="70"/>
        <v>0</v>
      </c>
      <c r="V139" s="59">
        <f t="shared" si="71"/>
        <v>0</v>
      </c>
      <c r="W139" s="110"/>
      <c r="X139" s="111"/>
      <c r="Y139" s="97"/>
      <c r="Z139" s="118"/>
      <c r="AA139" s="99"/>
      <c r="AB139" s="58" t="e">
        <f t="shared" si="72"/>
        <v>#DIV/0!</v>
      </c>
      <c r="AC139" s="59" t="e">
        <f t="shared" si="73"/>
        <v>#DIV/0!</v>
      </c>
      <c r="AD139" s="109"/>
      <c r="AE139" s="56" t="e">
        <f t="shared" si="74"/>
        <v>#DIV/0!</v>
      </c>
      <c r="AF139" s="61"/>
      <c r="AG139" s="100"/>
      <c r="AH139" s="63" t="e">
        <f t="shared" si="75"/>
        <v>#DIV/0!</v>
      </c>
      <c r="AI139" s="64">
        <v>10</v>
      </c>
      <c r="AJ139" s="64">
        <v>10</v>
      </c>
      <c r="AK139" s="64">
        <v>45</v>
      </c>
      <c r="AL139" s="65" t="e">
        <f t="shared" si="76"/>
        <v>#DIV/0!</v>
      </c>
      <c r="AM139" s="66" t="e">
        <f t="shared" si="77"/>
        <v>#DIV/0!</v>
      </c>
      <c r="AN139" s="67" t="e">
        <f t="shared" si="78"/>
        <v>#DIV/0!</v>
      </c>
      <c r="AO139" s="68"/>
      <c r="AP139" s="69">
        <f t="shared" si="82"/>
        <v>1</v>
      </c>
      <c r="AQ139" s="69">
        <f t="shared" si="82"/>
        <v>2</v>
      </c>
      <c r="AR139" s="70"/>
      <c r="AS139" s="71"/>
      <c r="AT139" s="72"/>
      <c r="AU139" s="72"/>
      <c r="AV139" s="72"/>
      <c r="AW139" s="72"/>
      <c r="AX139" s="73"/>
      <c r="AY139" s="74">
        <f t="shared" si="79"/>
        <v>0</v>
      </c>
      <c r="AZ139" s="74">
        <f t="shared" si="67"/>
        <v>0</v>
      </c>
    </row>
    <row r="140" spans="1:52" s="75" customFormat="1" ht="39.75" customHeight="1" thickBot="1" x14ac:dyDescent="0.2">
      <c r="A140" s="114"/>
      <c r="B140" s="114"/>
      <c r="C140" s="114"/>
      <c r="D140" s="114"/>
      <c r="E140" s="114"/>
      <c r="F140" s="114"/>
      <c r="G140" s="116"/>
      <c r="H140" s="231"/>
      <c r="I140" s="48"/>
      <c r="J140" s="50"/>
      <c r="K140" s="50"/>
      <c r="L140" s="50"/>
      <c r="M140" s="119"/>
      <c r="N140" s="102">
        <f t="shared" si="69"/>
        <v>0</v>
      </c>
      <c r="O140" s="91">
        <v>1</v>
      </c>
      <c r="P140" s="92"/>
      <c r="Q140" s="93"/>
      <c r="R140" s="93"/>
      <c r="S140" s="93"/>
      <c r="T140" s="94"/>
      <c r="U140" s="56">
        <f t="shared" si="70"/>
        <v>0</v>
      </c>
      <c r="V140" s="59">
        <f t="shared" si="71"/>
        <v>0</v>
      </c>
      <c r="W140" s="110"/>
      <c r="X140" s="111"/>
      <c r="Y140" s="97"/>
      <c r="Z140" s="118"/>
      <c r="AA140" s="99"/>
      <c r="AB140" s="58" t="e">
        <f t="shared" si="72"/>
        <v>#DIV/0!</v>
      </c>
      <c r="AC140" s="59" t="e">
        <f t="shared" si="73"/>
        <v>#DIV/0!</v>
      </c>
      <c r="AD140" s="109"/>
      <c r="AE140" s="56" t="e">
        <f t="shared" si="74"/>
        <v>#DIV/0!</v>
      </c>
      <c r="AF140" s="61"/>
      <c r="AG140" s="100"/>
      <c r="AH140" s="63" t="e">
        <f t="shared" si="75"/>
        <v>#DIV/0!</v>
      </c>
      <c r="AI140" s="64">
        <v>10</v>
      </c>
      <c r="AJ140" s="64">
        <v>10</v>
      </c>
      <c r="AK140" s="64">
        <v>45</v>
      </c>
      <c r="AL140" s="65" t="e">
        <f t="shared" si="76"/>
        <v>#DIV/0!</v>
      </c>
      <c r="AM140" s="66" t="e">
        <f t="shared" si="77"/>
        <v>#DIV/0!</v>
      </c>
      <c r="AN140" s="67" t="e">
        <f t="shared" si="78"/>
        <v>#DIV/0!</v>
      </c>
      <c r="AO140" s="68"/>
      <c r="AP140" s="69">
        <f t="shared" si="82"/>
        <v>1</v>
      </c>
      <c r="AQ140" s="69">
        <f t="shared" si="82"/>
        <v>2</v>
      </c>
      <c r="AR140" s="70"/>
      <c r="AS140" s="71"/>
      <c r="AT140" s="72"/>
      <c r="AU140" s="72"/>
      <c r="AV140" s="72"/>
      <c r="AW140" s="72"/>
      <c r="AX140" s="73"/>
      <c r="AY140" s="74">
        <f t="shared" si="79"/>
        <v>0</v>
      </c>
      <c r="AZ140" s="74">
        <f t="shared" si="67"/>
        <v>0</v>
      </c>
    </row>
    <row r="141" spans="1:52" s="28" customFormat="1" ht="39.75" customHeight="1" thickBot="1" x14ac:dyDescent="0.2">
      <c r="A141" s="114"/>
      <c r="B141" s="114"/>
      <c r="C141" s="114"/>
      <c r="D141" s="114"/>
      <c r="E141" s="114"/>
      <c r="F141" s="114"/>
      <c r="G141" s="116"/>
      <c r="H141" s="231"/>
      <c r="I141" s="48"/>
      <c r="J141" s="50"/>
      <c r="K141" s="50"/>
      <c r="L141" s="50"/>
      <c r="M141" s="119"/>
      <c r="N141" s="102">
        <f t="shared" si="69"/>
        <v>0</v>
      </c>
      <c r="O141" s="91">
        <v>1</v>
      </c>
      <c r="P141" s="92"/>
      <c r="Q141" s="93"/>
      <c r="R141" s="93"/>
      <c r="S141" s="93"/>
      <c r="T141" s="94"/>
      <c r="U141" s="56">
        <f t="shared" si="70"/>
        <v>0</v>
      </c>
      <c r="V141" s="59">
        <f t="shared" si="71"/>
        <v>0</v>
      </c>
      <c r="W141" s="110"/>
      <c r="X141" s="111"/>
      <c r="Y141" s="97"/>
      <c r="Z141" s="118"/>
      <c r="AA141" s="99"/>
      <c r="AB141" s="58" t="e">
        <f t="shared" si="72"/>
        <v>#DIV/0!</v>
      </c>
      <c r="AC141" s="59" t="e">
        <f t="shared" si="73"/>
        <v>#DIV/0!</v>
      </c>
      <c r="AD141" s="109"/>
      <c r="AE141" s="56" t="e">
        <f t="shared" si="74"/>
        <v>#DIV/0!</v>
      </c>
      <c r="AF141" s="61"/>
      <c r="AG141" s="100"/>
      <c r="AH141" s="63" t="e">
        <f t="shared" si="75"/>
        <v>#DIV/0!</v>
      </c>
      <c r="AI141" s="64">
        <v>10</v>
      </c>
      <c r="AJ141" s="64">
        <v>10</v>
      </c>
      <c r="AK141" s="64">
        <v>45</v>
      </c>
      <c r="AL141" s="65" t="e">
        <f t="shared" si="76"/>
        <v>#DIV/0!</v>
      </c>
      <c r="AM141" s="66" t="e">
        <f t="shared" si="77"/>
        <v>#DIV/0!</v>
      </c>
      <c r="AN141" s="67" t="e">
        <f t="shared" si="78"/>
        <v>#DIV/0!</v>
      </c>
      <c r="AO141" s="68"/>
      <c r="AP141" s="69">
        <f t="shared" si="82"/>
        <v>1</v>
      </c>
      <c r="AQ141" s="69">
        <f t="shared" si="82"/>
        <v>2</v>
      </c>
      <c r="AR141" s="70"/>
      <c r="AS141" s="71"/>
      <c r="AT141" s="72"/>
      <c r="AU141" s="72"/>
      <c r="AV141" s="72"/>
      <c r="AW141" s="72"/>
      <c r="AX141" s="73"/>
      <c r="AY141" s="74">
        <f t="shared" si="79"/>
        <v>0</v>
      </c>
      <c r="AZ141" s="74">
        <f t="shared" si="67"/>
        <v>0</v>
      </c>
    </row>
    <row r="142" spans="1:52" s="75" customFormat="1" ht="39.75" customHeight="1" thickBot="1" x14ac:dyDescent="0.2">
      <c r="A142" s="114"/>
      <c r="B142" s="114"/>
      <c r="C142" s="114"/>
      <c r="D142" s="114"/>
      <c r="E142" s="114"/>
      <c r="F142" s="114"/>
      <c r="G142" s="116"/>
      <c r="H142" s="231"/>
      <c r="I142" s="48"/>
      <c r="J142" s="50"/>
      <c r="K142" s="50"/>
      <c r="L142" s="50"/>
      <c r="M142" s="119"/>
      <c r="N142" s="102">
        <f t="shared" si="69"/>
        <v>0</v>
      </c>
      <c r="O142" s="91">
        <v>1</v>
      </c>
      <c r="P142" s="92"/>
      <c r="Q142" s="93"/>
      <c r="R142" s="93"/>
      <c r="S142" s="93"/>
      <c r="T142" s="94"/>
      <c r="U142" s="56">
        <f t="shared" si="70"/>
        <v>0</v>
      </c>
      <c r="V142" s="59">
        <f t="shared" si="71"/>
        <v>0</v>
      </c>
      <c r="W142" s="110"/>
      <c r="X142" s="111"/>
      <c r="Y142" s="97"/>
      <c r="Z142" s="118"/>
      <c r="AA142" s="99"/>
      <c r="AB142" s="58" t="e">
        <f t="shared" si="72"/>
        <v>#DIV/0!</v>
      </c>
      <c r="AC142" s="59" t="e">
        <f t="shared" si="73"/>
        <v>#DIV/0!</v>
      </c>
      <c r="AD142" s="109"/>
      <c r="AE142" s="56" t="e">
        <f t="shared" si="74"/>
        <v>#DIV/0!</v>
      </c>
      <c r="AF142" s="61"/>
      <c r="AG142" s="100"/>
      <c r="AH142" s="63" t="e">
        <f t="shared" si="75"/>
        <v>#DIV/0!</v>
      </c>
      <c r="AI142" s="64">
        <v>10</v>
      </c>
      <c r="AJ142" s="64">
        <v>10</v>
      </c>
      <c r="AK142" s="64">
        <v>45</v>
      </c>
      <c r="AL142" s="65" t="e">
        <f t="shared" si="76"/>
        <v>#DIV/0!</v>
      </c>
      <c r="AM142" s="66" t="e">
        <f t="shared" si="77"/>
        <v>#DIV/0!</v>
      </c>
      <c r="AN142" s="67" t="e">
        <f t="shared" si="78"/>
        <v>#DIV/0!</v>
      </c>
      <c r="AO142" s="68"/>
      <c r="AP142" s="69">
        <f t="shared" si="82"/>
        <v>1</v>
      </c>
      <c r="AQ142" s="69">
        <f t="shared" si="82"/>
        <v>2</v>
      </c>
      <c r="AR142" s="70"/>
      <c r="AS142" s="71"/>
      <c r="AT142" s="72"/>
      <c r="AU142" s="72"/>
      <c r="AV142" s="72"/>
      <c r="AW142" s="72"/>
      <c r="AX142" s="73"/>
      <c r="AY142" s="74">
        <f t="shared" si="79"/>
        <v>0</v>
      </c>
      <c r="AZ142" s="74">
        <f t="shared" si="67"/>
        <v>0</v>
      </c>
    </row>
    <row r="143" spans="1:52" s="28" customFormat="1" ht="39.75" customHeight="1" thickBot="1" x14ac:dyDescent="0.2">
      <c r="A143" s="114"/>
      <c r="B143" s="114"/>
      <c r="C143" s="114"/>
      <c r="D143" s="114"/>
      <c r="E143" s="114"/>
      <c r="F143" s="114"/>
      <c r="G143" s="116"/>
      <c r="H143" s="231"/>
      <c r="I143" s="48"/>
      <c r="J143" s="50"/>
      <c r="K143" s="50"/>
      <c r="L143" s="50"/>
      <c r="M143" s="119"/>
      <c r="N143" s="102">
        <f t="shared" si="69"/>
        <v>0</v>
      </c>
      <c r="O143" s="91">
        <v>1</v>
      </c>
      <c r="P143" s="92"/>
      <c r="Q143" s="93"/>
      <c r="R143" s="93"/>
      <c r="S143" s="93"/>
      <c r="T143" s="94"/>
      <c r="U143" s="56">
        <f t="shared" si="70"/>
        <v>0</v>
      </c>
      <c r="V143" s="59">
        <f t="shared" si="71"/>
        <v>0</v>
      </c>
      <c r="W143" s="110"/>
      <c r="X143" s="111"/>
      <c r="Y143" s="97"/>
      <c r="Z143" s="118"/>
      <c r="AA143" s="99"/>
      <c r="AB143" s="58" t="e">
        <f t="shared" si="72"/>
        <v>#DIV/0!</v>
      </c>
      <c r="AC143" s="59" t="e">
        <f t="shared" si="73"/>
        <v>#DIV/0!</v>
      </c>
      <c r="AD143" s="109"/>
      <c r="AE143" s="56" t="e">
        <f t="shared" si="74"/>
        <v>#DIV/0!</v>
      </c>
      <c r="AF143" s="61"/>
      <c r="AG143" s="100"/>
      <c r="AH143" s="63" t="e">
        <f t="shared" si="75"/>
        <v>#DIV/0!</v>
      </c>
      <c r="AI143" s="64">
        <v>10</v>
      </c>
      <c r="AJ143" s="64">
        <v>10</v>
      </c>
      <c r="AK143" s="64">
        <v>45</v>
      </c>
      <c r="AL143" s="65" t="e">
        <f t="shared" si="76"/>
        <v>#DIV/0!</v>
      </c>
      <c r="AM143" s="66" t="e">
        <f t="shared" si="77"/>
        <v>#DIV/0!</v>
      </c>
      <c r="AN143" s="67" t="e">
        <f t="shared" si="78"/>
        <v>#DIV/0!</v>
      </c>
      <c r="AO143" s="68"/>
      <c r="AP143" s="69">
        <f t="shared" si="82"/>
        <v>1</v>
      </c>
      <c r="AQ143" s="69">
        <f t="shared" si="82"/>
        <v>2</v>
      </c>
      <c r="AR143" s="70"/>
      <c r="AS143" s="71"/>
      <c r="AT143" s="72"/>
      <c r="AU143" s="72"/>
      <c r="AV143" s="72"/>
      <c r="AW143" s="72"/>
      <c r="AX143" s="73"/>
      <c r="AY143" s="74">
        <f t="shared" si="79"/>
        <v>0</v>
      </c>
      <c r="AZ143" s="74">
        <f t="shared" si="67"/>
        <v>0</v>
      </c>
    </row>
    <row r="144" spans="1:52" s="75" customFormat="1" ht="39.75" customHeight="1" thickBot="1" x14ac:dyDescent="0.2">
      <c r="A144" s="114"/>
      <c r="B144" s="114"/>
      <c r="C144" s="114"/>
      <c r="D144" s="114"/>
      <c r="E144" s="114"/>
      <c r="F144" s="114"/>
      <c r="G144" s="116"/>
      <c r="H144" s="231"/>
      <c r="I144" s="48"/>
      <c r="J144" s="50"/>
      <c r="K144" s="50"/>
      <c r="L144" s="50"/>
      <c r="M144" s="119"/>
      <c r="N144" s="102">
        <f t="shared" si="69"/>
        <v>0</v>
      </c>
      <c r="O144" s="91">
        <v>1</v>
      </c>
      <c r="P144" s="92"/>
      <c r="Q144" s="93"/>
      <c r="R144" s="93"/>
      <c r="S144" s="93"/>
      <c r="T144" s="94"/>
      <c r="U144" s="56">
        <f t="shared" si="70"/>
        <v>0</v>
      </c>
      <c r="V144" s="59">
        <f t="shared" si="71"/>
        <v>0</v>
      </c>
      <c r="W144" s="110"/>
      <c r="X144" s="111"/>
      <c r="Y144" s="97"/>
      <c r="Z144" s="118"/>
      <c r="AA144" s="99"/>
      <c r="AB144" s="58" t="e">
        <f t="shared" si="72"/>
        <v>#DIV/0!</v>
      </c>
      <c r="AC144" s="59" t="e">
        <f t="shared" si="73"/>
        <v>#DIV/0!</v>
      </c>
      <c r="AD144" s="109"/>
      <c r="AE144" s="56" t="e">
        <f t="shared" si="74"/>
        <v>#DIV/0!</v>
      </c>
      <c r="AF144" s="61"/>
      <c r="AG144" s="100"/>
      <c r="AH144" s="63" t="e">
        <f t="shared" si="75"/>
        <v>#DIV/0!</v>
      </c>
      <c r="AI144" s="64">
        <v>10</v>
      </c>
      <c r="AJ144" s="64">
        <v>10</v>
      </c>
      <c r="AK144" s="64">
        <v>45</v>
      </c>
      <c r="AL144" s="65" t="e">
        <f t="shared" si="76"/>
        <v>#DIV/0!</v>
      </c>
      <c r="AM144" s="66" t="e">
        <f t="shared" si="77"/>
        <v>#DIV/0!</v>
      </c>
      <c r="AN144" s="67" t="e">
        <f t="shared" si="78"/>
        <v>#DIV/0!</v>
      </c>
      <c r="AO144" s="68"/>
      <c r="AP144" s="69">
        <f t="shared" ref="AP144:AQ145" si="83">100%+AO144</f>
        <v>1</v>
      </c>
      <c r="AQ144" s="69">
        <f t="shared" si="83"/>
        <v>2</v>
      </c>
      <c r="AR144" s="70"/>
      <c r="AS144" s="71"/>
      <c r="AT144" s="72"/>
      <c r="AU144" s="72"/>
      <c r="AV144" s="72"/>
      <c r="AW144" s="72"/>
      <c r="AX144" s="73"/>
      <c r="AY144" s="74">
        <f t="shared" si="79"/>
        <v>0</v>
      </c>
      <c r="AZ144" s="74">
        <f t="shared" ref="AZ144" si="84">(AT144*I144)+(AU144*J144)+(AV144*K144)+(AW144*L144)+(AX144*M144)</f>
        <v>0</v>
      </c>
    </row>
    <row r="145" spans="1:52" s="75" customFormat="1" ht="39.75" customHeight="1" thickBot="1" x14ac:dyDescent="0.2">
      <c r="A145" s="114"/>
      <c r="B145" s="114"/>
      <c r="C145" s="114"/>
      <c r="D145" s="114"/>
      <c r="E145" s="114"/>
      <c r="F145" s="114"/>
      <c r="G145" s="116"/>
      <c r="H145" s="231"/>
      <c r="I145" s="48"/>
      <c r="J145" s="50"/>
      <c r="K145" s="50"/>
      <c r="L145" s="50"/>
      <c r="M145" s="119"/>
      <c r="N145" s="102">
        <f>SUM(I145:M145)</f>
        <v>0</v>
      </c>
      <c r="O145" s="91">
        <v>1</v>
      </c>
      <c r="P145" s="92"/>
      <c r="Q145" s="93"/>
      <c r="R145" s="93"/>
      <c r="S145" s="93"/>
      <c r="T145" s="94"/>
      <c r="U145" s="56">
        <f>ROUND(((P145*I145)+(Q145*J145)+(R145*K145)+(S145*L145)+(T145*M145))*O145,2)</f>
        <v>0</v>
      </c>
      <c r="V145" s="59">
        <f>IF(U145&gt;=15,15,U145)</f>
        <v>0</v>
      </c>
      <c r="W145" s="110"/>
      <c r="X145" s="111"/>
      <c r="Y145" s="97"/>
      <c r="Z145" s="118"/>
      <c r="AA145" s="99"/>
      <c r="AB145" s="58" t="e">
        <f>ROUND((((W145*I145)+(X145*J145)+(Y145*K145)+(Z145*L145)+(AA145*M145))/$I$2),2)*13</f>
        <v>#DIV/0!</v>
      </c>
      <c r="AC145" s="59" t="e">
        <f>IF(AB145&gt;=13,13,AB145)</f>
        <v>#DIV/0!</v>
      </c>
      <c r="AD145" s="109"/>
      <c r="AE145" s="56" t="e">
        <f>IF((AC145+AD145)&gt;=15,15,(AC145+AD145))</f>
        <v>#DIV/0!</v>
      </c>
      <c r="AF145" s="100"/>
      <c r="AG145" s="100"/>
      <c r="AH145" s="63" t="e">
        <f>IF((V145+AE145+AF145)&gt;=30,30,(V145+AE145+AF145))</f>
        <v>#DIV/0!</v>
      </c>
      <c r="AI145" s="64">
        <v>10</v>
      </c>
      <c r="AJ145" s="64">
        <v>10</v>
      </c>
      <c r="AK145" s="64">
        <v>45</v>
      </c>
      <c r="AL145" s="65" t="e">
        <f>V145+AE145+AF145+AI145+AJ145+AK145+AG145</f>
        <v>#DIV/0!</v>
      </c>
      <c r="AM145" s="66" t="e">
        <f>IF(AH145+AI145+AJ145+AK145+AG145&gt;=95,95,AH145+AI145+AJ145+AK145+AG145)</f>
        <v>#DIV/0!</v>
      </c>
      <c r="AN145" s="67" t="e">
        <f>-((50-((176+(45+(50-AH145)))))/200)</f>
        <v>#DIV/0!</v>
      </c>
      <c r="AO145" s="68"/>
      <c r="AP145" s="69">
        <f t="shared" si="83"/>
        <v>1</v>
      </c>
      <c r="AQ145" s="69">
        <f t="shared" si="83"/>
        <v>2</v>
      </c>
      <c r="AR145" s="70"/>
      <c r="AS145" s="71"/>
      <c r="AT145" s="72"/>
      <c r="AU145" s="72"/>
      <c r="AV145" s="72"/>
      <c r="AW145" s="72"/>
      <c r="AX145" s="73"/>
      <c r="AY145" s="74">
        <f>AT145+AU145+AV145+AW145+AX145</f>
        <v>0</v>
      </c>
      <c r="AZ145" s="74">
        <f>(AT145*I145)+(AU145*J145)+(AV145*K145)+(AW145*L145)+(AX145*M145)</f>
        <v>0</v>
      </c>
    </row>
  </sheetData>
  <mergeCells count="79">
    <mergeCell ref="AG1:AJ1"/>
    <mergeCell ref="D2:E2"/>
    <mergeCell ref="I2:J2"/>
    <mergeCell ref="M2:P2"/>
    <mergeCell ref="W2:X2"/>
    <mergeCell ref="Y2:Z2"/>
    <mergeCell ref="AA2:AB2"/>
    <mergeCell ref="AD2:AL2"/>
    <mergeCell ref="D1:E1"/>
    <mergeCell ref="I1:J1"/>
    <mergeCell ref="W1:X1"/>
    <mergeCell ref="Y1:Z1"/>
    <mergeCell ref="AA1:AB1"/>
    <mergeCell ref="AE1:AF1"/>
    <mergeCell ref="AQ3:AQ4"/>
    <mergeCell ref="AR3:AR4"/>
    <mergeCell ref="AS3:AS4"/>
    <mergeCell ref="AU2:AV2"/>
    <mergeCell ref="A3:A4"/>
    <mergeCell ref="B3:B4"/>
    <mergeCell ref="C3:H3"/>
    <mergeCell ref="I3:M3"/>
    <mergeCell ref="N3:N4"/>
    <mergeCell ref="O3:O4"/>
    <mergeCell ref="P3:U3"/>
    <mergeCell ref="W3:AE3"/>
    <mergeCell ref="AF3:AM3"/>
    <mergeCell ref="C26:G26"/>
    <mergeCell ref="AZ3:AZ4"/>
    <mergeCell ref="C6:G6"/>
    <mergeCell ref="C8:G8"/>
    <mergeCell ref="C10:G10"/>
    <mergeCell ref="C12:G12"/>
    <mergeCell ref="C14:G14"/>
    <mergeCell ref="AT3:AT4"/>
    <mergeCell ref="AU3:AU4"/>
    <mergeCell ref="AV3:AV4"/>
    <mergeCell ref="AW3:AW4"/>
    <mergeCell ref="AX3:AX4"/>
    <mergeCell ref="AY3:AY4"/>
    <mergeCell ref="AN3:AN4"/>
    <mergeCell ref="AO3:AO4"/>
    <mergeCell ref="AP3:AP4"/>
    <mergeCell ref="C16:G16"/>
    <mergeCell ref="C18:G18"/>
    <mergeCell ref="C20:G20"/>
    <mergeCell ref="C22:G22"/>
    <mergeCell ref="C24:G24"/>
    <mergeCell ref="C50:G50"/>
    <mergeCell ref="C28:G28"/>
    <mergeCell ref="C30:G30"/>
    <mergeCell ref="C32:G32"/>
    <mergeCell ref="C34:G34"/>
    <mergeCell ref="C36:G36"/>
    <mergeCell ref="C38:G38"/>
    <mergeCell ref="C40:G40"/>
    <mergeCell ref="C42:G42"/>
    <mergeCell ref="C44:G44"/>
    <mergeCell ref="C46:G46"/>
    <mergeCell ref="C48:G48"/>
    <mergeCell ref="C74:G74"/>
    <mergeCell ref="C52:G52"/>
    <mergeCell ref="C54:G54"/>
    <mergeCell ref="C56:G56"/>
    <mergeCell ref="C58:G58"/>
    <mergeCell ref="C60:G60"/>
    <mergeCell ref="C62:G62"/>
    <mergeCell ref="C64:G64"/>
    <mergeCell ref="C66:G66"/>
    <mergeCell ref="C68:G68"/>
    <mergeCell ref="C70:G70"/>
    <mergeCell ref="C72:G72"/>
    <mergeCell ref="C88:G88"/>
    <mergeCell ref="C76:G76"/>
    <mergeCell ref="C78:G78"/>
    <mergeCell ref="C80:G80"/>
    <mergeCell ref="C82:G82"/>
    <mergeCell ref="C84:G84"/>
    <mergeCell ref="C86:G86"/>
  </mergeCells>
  <phoneticPr fontId="3" type="noConversion"/>
  <pageMargins left="0.7" right="0.7" top="0.75" bottom="0.75" header="0.3" footer="0.3"/>
  <pageSetup paperSize="9" scale="34" orientation="portrait" r:id="rId1"/>
  <rowBreaks count="1" manualBreakCount="1">
    <brk id="65" max="51" man="1"/>
  </rowBreaks>
  <colBreaks count="2" manualBreakCount="2">
    <brk id="14" max="132" man="1"/>
    <brk id="40" max="1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2025-08-27T06:24:40Z</dcterms:created>
  <dcterms:modified xsi:type="dcterms:W3CDTF">2026-04-14T00:47:55Z</dcterms:modified>
</cp:coreProperties>
</file>