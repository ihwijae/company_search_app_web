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-120" windowWidth="29040" windowHeight="15720" tabRatio="632" firstSheet="5" activeTab="5"/>
  </bookViews>
  <sheets>
    <sheet name="인천가정2" sheetId="98" r:id="rId1"/>
    <sheet name="고양창릉" sheetId="101" r:id="rId2"/>
    <sheet name="인천계양 3공구" sheetId="103" r:id="rId3"/>
    <sheet name="경산대임 전기공사4공구" sheetId="107" r:id="rId4"/>
    <sheet name="고양창릉 1공구" sheetId="106" r:id="rId5"/>
    <sheet name="양식" sheetId="121" r:id="rId6"/>
  </sheets>
  <definedNames>
    <definedName name="_xlnm.Print_Area" localSheetId="3">'경산대임 전기공사4공구'!$A$1:$AZ$151</definedName>
    <definedName name="_xlnm.Print_Area" localSheetId="1">고양창릉!$A$1:$AZ$138</definedName>
    <definedName name="_xlnm.Print_Area" localSheetId="4">'고양창릉 1공구'!$A$1:$AZ$146</definedName>
    <definedName name="_xlnm.Print_Area" localSheetId="5">양식!$A$1:$AZ$145</definedName>
    <definedName name="_xlnm.Print_Area" localSheetId="0">인천가정2!$A$1:$AZ$148</definedName>
    <definedName name="_xlnm.Print_Area" localSheetId="2">'인천계양 3공구'!$A$1:$AZ$142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7" i="121" l="1"/>
  <c r="AZ88" i="121"/>
  <c r="N88" i="121"/>
  <c r="AZ86" i="121"/>
  <c r="N86" i="121"/>
  <c r="AZ84" i="121"/>
  <c r="N84" i="121"/>
  <c r="AZ82" i="121"/>
  <c r="N82" i="121"/>
  <c r="AZ80" i="121"/>
  <c r="N80" i="121"/>
  <c r="AZ78" i="121"/>
  <c r="N78" i="121"/>
  <c r="AZ76" i="121"/>
  <c r="N76" i="121"/>
  <c r="AZ74" i="121"/>
  <c r="N74" i="121"/>
  <c r="AZ72" i="121"/>
  <c r="N72" i="121"/>
  <c r="AZ70" i="121"/>
  <c r="N70" i="121"/>
  <c r="AZ68" i="121"/>
  <c r="N68" i="121"/>
  <c r="AZ66" i="121"/>
  <c r="N66" i="121"/>
  <c r="AZ64" i="121"/>
  <c r="N64" i="121"/>
  <c r="AZ62" i="121"/>
  <c r="N62" i="121"/>
  <c r="AZ60" i="121"/>
  <c r="N60" i="121"/>
  <c r="N42" i="121"/>
  <c r="AZ16" i="121"/>
  <c r="N16" i="121"/>
  <c r="N10" i="121"/>
  <c r="AZ8" i="121"/>
  <c r="N8" i="121"/>
  <c r="AZ6" i="121"/>
  <c r="N6" i="121"/>
  <c r="AZ30" i="121" l="1"/>
  <c r="N30" i="121"/>
  <c r="N13" i="121" l="1"/>
  <c r="AZ18" i="121"/>
  <c r="N18" i="121"/>
  <c r="AF43" i="121" l="1"/>
  <c r="AZ40" i="121" l="1"/>
  <c r="N40" i="121"/>
  <c r="AZ39" i="121"/>
  <c r="AY39" i="121"/>
  <c r="U39" i="121"/>
  <c r="V39" i="121" s="1"/>
  <c r="N39" i="121"/>
  <c r="AZ41" i="121"/>
  <c r="AY41" i="121"/>
  <c r="AP41" i="121"/>
  <c r="AQ41" i="121" s="1"/>
  <c r="U41" i="121"/>
  <c r="V41" i="121" s="1"/>
  <c r="N41" i="121"/>
  <c r="AZ145" i="121" l="1"/>
  <c r="AY145" i="121"/>
  <c r="AP145" i="121"/>
  <c r="AQ145" i="121" s="1"/>
  <c r="U145" i="121"/>
  <c r="V145" i="121" s="1"/>
  <c r="N145" i="121"/>
  <c r="AZ144" i="121"/>
  <c r="AY144" i="121"/>
  <c r="AP144" i="121"/>
  <c r="AQ144" i="121" s="1"/>
  <c r="U144" i="121"/>
  <c r="V144" i="121" s="1"/>
  <c r="N144" i="121"/>
  <c r="AZ143" i="121"/>
  <c r="AY143" i="121"/>
  <c r="AP143" i="121"/>
  <c r="AQ143" i="121" s="1"/>
  <c r="U143" i="121"/>
  <c r="V143" i="121" s="1"/>
  <c r="N143" i="121"/>
  <c r="AZ142" i="121"/>
  <c r="AY142" i="121"/>
  <c r="AP142" i="121"/>
  <c r="AQ142" i="121" s="1"/>
  <c r="U142" i="121"/>
  <c r="V142" i="121" s="1"/>
  <c r="N142" i="121"/>
  <c r="AZ141" i="121"/>
  <c r="AY141" i="121"/>
  <c r="AP141" i="121"/>
  <c r="AQ141" i="121" s="1"/>
  <c r="U141" i="121"/>
  <c r="V141" i="121" s="1"/>
  <c r="N141" i="121"/>
  <c r="AZ140" i="121"/>
  <c r="AY140" i="121"/>
  <c r="AP140" i="121"/>
  <c r="AQ140" i="121" s="1"/>
  <c r="U140" i="121"/>
  <c r="V140" i="121" s="1"/>
  <c r="N140" i="121"/>
  <c r="AZ139" i="121"/>
  <c r="AY139" i="121"/>
  <c r="AP139" i="121"/>
  <c r="AQ139" i="121" s="1"/>
  <c r="U139" i="121"/>
  <c r="V139" i="121" s="1"/>
  <c r="N139" i="121"/>
  <c r="AZ138" i="121"/>
  <c r="AY138" i="121"/>
  <c r="AP138" i="121"/>
  <c r="AQ138" i="121" s="1"/>
  <c r="U138" i="121"/>
  <c r="V138" i="121" s="1"/>
  <c r="N138" i="121"/>
  <c r="AZ137" i="121"/>
  <c r="AY137" i="121"/>
  <c r="AP137" i="121"/>
  <c r="AQ137" i="121" s="1"/>
  <c r="U137" i="121"/>
  <c r="V137" i="121" s="1"/>
  <c r="N137" i="121"/>
  <c r="AZ136" i="121"/>
  <c r="AY136" i="121"/>
  <c r="AP136" i="121"/>
  <c r="AQ136" i="121" s="1"/>
  <c r="U136" i="121"/>
  <c r="V136" i="121" s="1"/>
  <c r="N136" i="121"/>
  <c r="AZ135" i="121"/>
  <c r="AY135" i="121"/>
  <c r="AP135" i="121"/>
  <c r="AQ135" i="121" s="1"/>
  <c r="U135" i="121"/>
  <c r="V135" i="121" s="1"/>
  <c r="N135" i="121"/>
  <c r="AZ134" i="121"/>
  <c r="AY134" i="121"/>
  <c r="AP134" i="121"/>
  <c r="AQ134" i="121" s="1"/>
  <c r="U134" i="121"/>
  <c r="V134" i="121" s="1"/>
  <c r="N134" i="121"/>
  <c r="AZ133" i="121"/>
  <c r="AY133" i="121"/>
  <c r="AP133" i="121"/>
  <c r="AQ133" i="121" s="1"/>
  <c r="U133" i="121"/>
  <c r="V133" i="121" s="1"/>
  <c r="N133" i="121"/>
  <c r="AZ132" i="121"/>
  <c r="AY132" i="121"/>
  <c r="AP132" i="121"/>
  <c r="AQ132" i="121" s="1"/>
  <c r="U132" i="121"/>
  <c r="V132" i="121" s="1"/>
  <c r="N132" i="121"/>
  <c r="AZ131" i="121"/>
  <c r="AY131" i="121"/>
  <c r="AP131" i="121"/>
  <c r="AQ131" i="121" s="1"/>
  <c r="U131" i="121"/>
  <c r="V131" i="121" s="1"/>
  <c r="N131" i="121"/>
  <c r="AZ130" i="121"/>
  <c r="AY130" i="121"/>
  <c r="AP130" i="121"/>
  <c r="AQ130" i="121" s="1"/>
  <c r="U130" i="121"/>
  <c r="V130" i="121" s="1"/>
  <c r="N130" i="121"/>
  <c r="AZ129" i="121"/>
  <c r="AY129" i="121"/>
  <c r="AP129" i="121"/>
  <c r="AQ129" i="121" s="1"/>
  <c r="U129" i="121"/>
  <c r="V129" i="121" s="1"/>
  <c r="N129" i="121"/>
  <c r="AZ128" i="121"/>
  <c r="AY128" i="121"/>
  <c r="AP128" i="121"/>
  <c r="AQ128" i="121" s="1"/>
  <c r="U128" i="121"/>
  <c r="V128" i="121" s="1"/>
  <c r="N128" i="121"/>
  <c r="AZ127" i="121"/>
  <c r="AY127" i="121"/>
  <c r="AP127" i="121"/>
  <c r="AQ127" i="121" s="1"/>
  <c r="U127" i="121"/>
  <c r="V127" i="121" s="1"/>
  <c r="N127" i="121"/>
  <c r="AZ126" i="121"/>
  <c r="AY126" i="121"/>
  <c r="AP126" i="121"/>
  <c r="AQ126" i="121" s="1"/>
  <c r="U126" i="121"/>
  <c r="V126" i="121" s="1"/>
  <c r="N126" i="121"/>
  <c r="AZ125" i="121"/>
  <c r="AY125" i="121"/>
  <c r="AP125" i="121"/>
  <c r="AQ125" i="121" s="1"/>
  <c r="U125" i="121"/>
  <c r="V125" i="121" s="1"/>
  <c r="N125" i="121"/>
  <c r="AZ124" i="121"/>
  <c r="AY124" i="121"/>
  <c r="AP124" i="121"/>
  <c r="AQ124" i="121" s="1"/>
  <c r="U124" i="121"/>
  <c r="V124" i="121" s="1"/>
  <c r="N124" i="121"/>
  <c r="AZ123" i="121"/>
  <c r="AY123" i="121"/>
  <c r="AP123" i="121"/>
  <c r="AQ123" i="121" s="1"/>
  <c r="U123" i="121"/>
  <c r="V123" i="121" s="1"/>
  <c r="N123" i="121"/>
  <c r="AZ122" i="121"/>
  <c r="AY122" i="121"/>
  <c r="AP122" i="121"/>
  <c r="AQ122" i="121" s="1"/>
  <c r="U122" i="121"/>
  <c r="V122" i="121" s="1"/>
  <c r="N122" i="121"/>
  <c r="AZ121" i="121"/>
  <c r="AY121" i="121"/>
  <c r="AP121" i="121"/>
  <c r="AQ121" i="121" s="1"/>
  <c r="U121" i="121"/>
  <c r="V121" i="121" s="1"/>
  <c r="N121" i="121"/>
  <c r="AZ120" i="121"/>
  <c r="AY120" i="121"/>
  <c r="AP120" i="121"/>
  <c r="AQ120" i="121" s="1"/>
  <c r="U120" i="121"/>
  <c r="V120" i="121" s="1"/>
  <c r="N120" i="121"/>
  <c r="AZ119" i="121"/>
  <c r="AY119" i="121"/>
  <c r="AP119" i="121"/>
  <c r="AQ119" i="121" s="1"/>
  <c r="U119" i="121"/>
  <c r="V119" i="121" s="1"/>
  <c r="N119" i="121"/>
  <c r="AZ118" i="121"/>
  <c r="AY118" i="121"/>
  <c r="AP118" i="121"/>
  <c r="AQ118" i="121" s="1"/>
  <c r="U118" i="121"/>
  <c r="V118" i="121" s="1"/>
  <c r="N118" i="121"/>
  <c r="AZ117" i="121"/>
  <c r="AY117" i="121"/>
  <c r="AP117" i="121"/>
  <c r="AQ117" i="121" s="1"/>
  <c r="U117" i="121"/>
  <c r="V117" i="121" s="1"/>
  <c r="N117" i="121"/>
  <c r="AZ116" i="121"/>
  <c r="AY116" i="121"/>
  <c r="AP116" i="121"/>
  <c r="AQ116" i="121" s="1"/>
  <c r="U116" i="121"/>
  <c r="V116" i="121" s="1"/>
  <c r="N116" i="121"/>
  <c r="AZ115" i="121"/>
  <c r="AY115" i="121"/>
  <c r="AP115" i="121"/>
  <c r="AQ115" i="121" s="1"/>
  <c r="U115" i="121"/>
  <c r="V115" i="121" s="1"/>
  <c r="N115" i="121"/>
  <c r="AZ114" i="121"/>
  <c r="AY114" i="121"/>
  <c r="AP114" i="121"/>
  <c r="AQ114" i="121" s="1"/>
  <c r="U114" i="121"/>
  <c r="V114" i="121" s="1"/>
  <c r="N114" i="121"/>
  <c r="AZ113" i="121"/>
  <c r="AY113" i="121"/>
  <c r="AP113" i="121"/>
  <c r="AQ113" i="121" s="1"/>
  <c r="U113" i="121"/>
  <c r="V113" i="121" s="1"/>
  <c r="N113" i="121"/>
  <c r="AZ112" i="121"/>
  <c r="AY112" i="121"/>
  <c r="AP112" i="121"/>
  <c r="AQ112" i="121" s="1"/>
  <c r="U112" i="121"/>
  <c r="V112" i="121" s="1"/>
  <c r="N112" i="121"/>
  <c r="AZ111" i="121"/>
  <c r="AY111" i="121"/>
  <c r="AP111" i="121"/>
  <c r="AQ111" i="121" s="1"/>
  <c r="U111" i="121"/>
  <c r="V111" i="121" s="1"/>
  <c r="N111" i="121"/>
  <c r="AZ110" i="121"/>
  <c r="AY110" i="121"/>
  <c r="AP110" i="121"/>
  <c r="AQ110" i="121" s="1"/>
  <c r="U110" i="121"/>
  <c r="V110" i="121" s="1"/>
  <c r="N110" i="121"/>
  <c r="AZ109" i="121"/>
  <c r="AY109" i="121"/>
  <c r="AP109" i="121"/>
  <c r="AQ109" i="121" s="1"/>
  <c r="U109" i="121"/>
  <c r="V109" i="121" s="1"/>
  <c r="N109" i="121"/>
  <c r="AZ108" i="121"/>
  <c r="AY108" i="121"/>
  <c r="AP108" i="121"/>
  <c r="AQ108" i="121" s="1"/>
  <c r="U108" i="121"/>
  <c r="V108" i="121" s="1"/>
  <c r="N108" i="121"/>
  <c r="AZ107" i="121"/>
  <c r="AY107" i="121"/>
  <c r="AP107" i="121"/>
  <c r="AQ107" i="121" s="1"/>
  <c r="U107" i="121"/>
  <c r="V107" i="121" s="1"/>
  <c r="N107" i="121"/>
  <c r="AZ106" i="121"/>
  <c r="AY106" i="121"/>
  <c r="AP106" i="121"/>
  <c r="AQ106" i="121" s="1"/>
  <c r="U106" i="121"/>
  <c r="V106" i="121" s="1"/>
  <c r="N106" i="121"/>
  <c r="AZ105" i="121"/>
  <c r="AY105" i="121"/>
  <c r="AP105" i="121"/>
  <c r="AQ105" i="121" s="1"/>
  <c r="U105" i="121"/>
  <c r="V105" i="121" s="1"/>
  <c r="N105" i="121"/>
  <c r="AZ104" i="121"/>
  <c r="AY104" i="121"/>
  <c r="AP104" i="121"/>
  <c r="AQ104" i="121" s="1"/>
  <c r="U104" i="121"/>
  <c r="V104" i="121" s="1"/>
  <c r="N104" i="121"/>
  <c r="AZ103" i="121"/>
  <c r="AY103" i="121"/>
  <c r="AP103" i="121"/>
  <c r="AQ103" i="121" s="1"/>
  <c r="U103" i="121"/>
  <c r="V103" i="121" s="1"/>
  <c r="N103" i="121"/>
  <c r="AZ102" i="121"/>
  <c r="AY102" i="121"/>
  <c r="AP102" i="121"/>
  <c r="AQ102" i="121" s="1"/>
  <c r="U102" i="121"/>
  <c r="V102" i="121" s="1"/>
  <c r="N102" i="121"/>
  <c r="AZ101" i="121"/>
  <c r="AY101" i="121"/>
  <c r="AP101" i="121"/>
  <c r="AQ101" i="121" s="1"/>
  <c r="U101" i="121"/>
  <c r="V101" i="121" s="1"/>
  <c r="N101" i="121"/>
  <c r="AZ100" i="121"/>
  <c r="AY100" i="121"/>
  <c r="AP100" i="121"/>
  <c r="AQ100" i="121" s="1"/>
  <c r="U100" i="121"/>
  <c r="V100" i="121" s="1"/>
  <c r="N100" i="121"/>
  <c r="AZ99" i="121"/>
  <c r="AY99" i="121"/>
  <c r="AP99" i="121"/>
  <c r="AQ99" i="121" s="1"/>
  <c r="U99" i="121"/>
  <c r="V99" i="121" s="1"/>
  <c r="N99" i="121"/>
  <c r="AZ98" i="121"/>
  <c r="AY98" i="121"/>
  <c r="AP98" i="121"/>
  <c r="AQ98" i="121" s="1"/>
  <c r="U98" i="121"/>
  <c r="V98" i="121" s="1"/>
  <c r="N98" i="121"/>
  <c r="AZ97" i="121"/>
  <c r="AY97" i="121"/>
  <c r="AP97" i="121"/>
  <c r="AQ97" i="121" s="1"/>
  <c r="U97" i="121"/>
  <c r="V97" i="121" s="1"/>
  <c r="N97" i="121"/>
  <c r="AZ96" i="121"/>
  <c r="AY96" i="121"/>
  <c r="AP96" i="121"/>
  <c r="AQ96" i="121" s="1"/>
  <c r="U96" i="121"/>
  <c r="V96" i="121" s="1"/>
  <c r="N96" i="121"/>
  <c r="AZ95" i="121"/>
  <c r="AY95" i="121"/>
  <c r="AP95" i="121"/>
  <c r="AQ95" i="121" s="1"/>
  <c r="U95" i="121"/>
  <c r="V95" i="121" s="1"/>
  <c r="N95" i="121"/>
  <c r="AZ94" i="121"/>
  <c r="AY94" i="121"/>
  <c r="AP94" i="121"/>
  <c r="AQ94" i="121" s="1"/>
  <c r="U94" i="121"/>
  <c r="V94" i="121" s="1"/>
  <c r="N94" i="121"/>
  <c r="AZ93" i="121"/>
  <c r="AY93" i="121"/>
  <c r="AP93" i="121"/>
  <c r="AQ93" i="121" s="1"/>
  <c r="U93" i="121"/>
  <c r="V93" i="121" s="1"/>
  <c r="N93" i="121"/>
  <c r="AZ92" i="121"/>
  <c r="AY92" i="121"/>
  <c r="AP92" i="121"/>
  <c r="AQ92" i="121" s="1"/>
  <c r="U92" i="121"/>
  <c r="V92" i="121" s="1"/>
  <c r="N92" i="121"/>
  <c r="AZ91" i="121"/>
  <c r="AY91" i="121"/>
  <c r="AP91" i="121"/>
  <c r="AQ91" i="121" s="1"/>
  <c r="U91" i="121"/>
  <c r="V91" i="121" s="1"/>
  <c r="N91" i="121"/>
  <c r="AZ90" i="121"/>
  <c r="AY90" i="121"/>
  <c r="AP90" i="121"/>
  <c r="AQ90" i="121" s="1"/>
  <c r="U90" i="121"/>
  <c r="V90" i="121" s="1"/>
  <c r="N90" i="121"/>
  <c r="AZ89" i="121"/>
  <c r="AY89" i="121"/>
  <c r="AP89" i="121"/>
  <c r="AQ89" i="121" s="1"/>
  <c r="U89" i="121"/>
  <c r="V89" i="121" s="1"/>
  <c r="N89" i="121"/>
  <c r="AZ87" i="121"/>
  <c r="AY87" i="121"/>
  <c r="AP87" i="121"/>
  <c r="AQ87" i="121" s="1"/>
  <c r="U87" i="121"/>
  <c r="V87" i="121" s="1"/>
  <c r="N87" i="121"/>
  <c r="AZ85" i="121"/>
  <c r="AY85" i="121"/>
  <c r="AP85" i="121"/>
  <c r="AQ85" i="121" s="1"/>
  <c r="U85" i="121"/>
  <c r="V85" i="121" s="1"/>
  <c r="N85" i="121"/>
  <c r="AZ83" i="121"/>
  <c r="AY83" i="121"/>
  <c r="AP83" i="121"/>
  <c r="AQ83" i="121" s="1"/>
  <c r="U83" i="121"/>
  <c r="V83" i="121" s="1"/>
  <c r="N83" i="121"/>
  <c r="AZ81" i="121"/>
  <c r="AY81" i="121"/>
  <c r="AP81" i="121"/>
  <c r="AQ81" i="121" s="1"/>
  <c r="U81" i="121"/>
  <c r="V81" i="121" s="1"/>
  <c r="N81" i="121"/>
  <c r="AZ79" i="121"/>
  <c r="AY79" i="121"/>
  <c r="AP79" i="121"/>
  <c r="AQ79" i="121" s="1"/>
  <c r="U79" i="121"/>
  <c r="V79" i="121" s="1"/>
  <c r="N79" i="121"/>
  <c r="AZ77" i="121"/>
  <c r="AY77" i="121"/>
  <c r="AP77" i="121"/>
  <c r="AQ77" i="121" s="1"/>
  <c r="U77" i="121"/>
  <c r="V77" i="121" s="1"/>
  <c r="N77" i="121"/>
  <c r="AZ75" i="121"/>
  <c r="AY75" i="121"/>
  <c r="AP75" i="121"/>
  <c r="AQ75" i="121" s="1"/>
  <c r="U75" i="121"/>
  <c r="V75" i="121" s="1"/>
  <c r="N75" i="121"/>
  <c r="AZ73" i="121"/>
  <c r="AY73" i="121"/>
  <c r="AP73" i="121"/>
  <c r="AQ73" i="121" s="1"/>
  <c r="U73" i="121"/>
  <c r="V73" i="121" s="1"/>
  <c r="N73" i="121"/>
  <c r="AZ71" i="121"/>
  <c r="AY71" i="121"/>
  <c r="AP71" i="121"/>
  <c r="AQ71" i="121" s="1"/>
  <c r="U71" i="121"/>
  <c r="V71" i="121" s="1"/>
  <c r="N71" i="121"/>
  <c r="AZ69" i="121"/>
  <c r="AY69" i="121"/>
  <c r="AP69" i="121"/>
  <c r="AQ69" i="121" s="1"/>
  <c r="U69" i="121"/>
  <c r="V69" i="121" s="1"/>
  <c r="N69" i="121"/>
  <c r="AZ67" i="121"/>
  <c r="AY67" i="121"/>
  <c r="AP67" i="121"/>
  <c r="AQ67" i="121" s="1"/>
  <c r="U67" i="121"/>
  <c r="V67" i="121" s="1"/>
  <c r="N67" i="121"/>
  <c r="AZ65" i="121"/>
  <c r="AY65" i="121"/>
  <c r="AP65" i="121"/>
  <c r="AQ65" i="121" s="1"/>
  <c r="U65" i="121"/>
  <c r="V65" i="121" s="1"/>
  <c r="N65" i="121"/>
  <c r="AZ63" i="121"/>
  <c r="AY63" i="121"/>
  <c r="AP63" i="121"/>
  <c r="AQ63" i="121" s="1"/>
  <c r="U63" i="121"/>
  <c r="V63" i="121" s="1"/>
  <c r="N63" i="121"/>
  <c r="AZ61" i="121"/>
  <c r="AY61" i="121"/>
  <c r="AP61" i="121"/>
  <c r="U61" i="121"/>
  <c r="V61" i="121" s="1"/>
  <c r="N61" i="121"/>
  <c r="AZ59" i="121"/>
  <c r="AY59" i="121"/>
  <c r="AQ59" i="121"/>
  <c r="U59" i="121"/>
  <c r="V59" i="121" s="1"/>
  <c r="N59" i="121"/>
  <c r="AZ58" i="121"/>
  <c r="N58" i="121"/>
  <c r="AZ57" i="121"/>
  <c r="AY57" i="121"/>
  <c r="U57" i="121"/>
  <c r="V57" i="121" s="1"/>
  <c r="N57" i="121"/>
  <c r="AZ56" i="121"/>
  <c r="N56" i="121"/>
  <c r="AZ55" i="121"/>
  <c r="AY55" i="121"/>
  <c r="U55" i="121"/>
  <c r="V55" i="121" s="1"/>
  <c r="N55" i="121"/>
  <c r="AZ54" i="121"/>
  <c r="N54" i="121"/>
  <c r="AZ53" i="121"/>
  <c r="AY53" i="121"/>
  <c r="U53" i="121"/>
  <c r="V53" i="121" s="1"/>
  <c r="N53" i="121"/>
  <c r="AZ52" i="121"/>
  <c r="N52" i="121"/>
  <c r="AZ51" i="121"/>
  <c r="AY51" i="121"/>
  <c r="AQ51" i="121"/>
  <c r="U51" i="121"/>
  <c r="V51" i="121" s="1"/>
  <c r="N51" i="121"/>
  <c r="AZ50" i="121"/>
  <c r="N50" i="121"/>
  <c r="AZ49" i="121"/>
  <c r="AY49" i="121"/>
  <c r="U49" i="121"/>
  <c r="V49" i="121" s="1"/>
  <c r="N49" i="121"/>
  <c r="AZ48" i="121"/>
  <c r="N48" i="121"/>
  <c r="AZ47" i="121"/>
  <c r="AY47" i="121"/>
  <c r="AP47" i="121"/>
  <c r="U47" i="121"/>
  <c r="V47" i="121" s="1"/>
  <c r="N47" i="121"/>
  <c r="AZ46" i="121"/>
  <c r="N46" i="121"/>
  <c r="AZ45" i="121"/>
  <c r="AY45" i="121"/>
  <c r="AQ45" i="121"/>
  <c r="U45" i="121"/>
  <c r="V45" i="121" s="1"/>
  <c r="N45" i="121"/>
  <c r="AZ44" i="121"/>
  <c r="N44" i="121"/>
  <c r="AZ43" i="121"/>
  <c r="AY43" i="121"/>
  <c r="AQ43" i="121"/>
  <c r="U43" i="121"/>
  <c r="V43" i="121" s="1"/>
  <c r="N43" i="121"/>
  <c r="AZ42" i="121"/>
  <c r="AZ38" i="121"/>
  <c r="N38" i="121"/>
  <c r="AZ37" i="121"/>
  <c r="AY37" i="121"/>
  <c r="U37" i="121"/>
  <c r="V37" i="121" s="1"/>
  <c r="N37" i="121"/>
  <c r="AZ36" i="121"/>
  <c r="N36" i="121"/>
  <c r="AZ35" i="121"/>
  <c r="AY35" i="121"/>
  <c r="U35" i="121"/>
  <c r="V35" i="121" s="1"/>
  <c r="N35" i="121"/>
  <c r="AZ34" i="121"/>
  <c r="N34" i="121"/>
  <c r="AZ33" i="121"/>
  <c r="AY33" i="121"/>
  <c r="U33" i="121"/>
  <c r="V33" i="121" s="1"/>
  <c r="N33" i="121"/>
  <c r="AZ32" i="121"/>
  <c r="N32" i="121"/>
  <c r="AZ31" i="121"/>
  <c r="AY31" i="121"/>
  <c r="U31" i="121"/>
  <c r="V31" i="121" s="1"/>
  <c r="N31" i="121"/>
  <c r="AZ29" i="121"/>
  <c r="AY29" i="121"/>
  <c r="AP29" i="121"/>
  <c r="AQ29" i="121" s="1"/>
  <c r="U29" i="121"/>
  <c r="V29" i="121" s="1"/>
  <c r="N29" i="121"/>
  <c r="AZ28" i="121"/>
  <c r="N28" i="121"/>
  <c r="AZ27" i="121"/>
  <c r="AY27" i="121"/>
  <c r="U27" i="121"/>
  <c r="V27" i="121" s="1"/>
  <c r="N27" i="121"/>
  <c r="AZ26" i="121"/>
  <c r="N26" i="121"/>
  <c r="AZ25" i="121"/>
  <c r="AY25" i="121"/>
  <c r="U25" i="121"/>
  <c r="V25" i="121" s="1"/>
  <c r="N25" i="121"/>
  <c r="AZ24" i="121"/>
  <c r="N24" i="121"/>
  <c r="AZ23" i="121"/>
  <c r="AY23" i="121"/>
  <c r="U23" i="121"/>
  <c r="V23" i="121" s="1"/>
  <c r="N23" i="121"/>
  <c r="AZ22" i="121"/>
  <c r="N22" i="121"/>
  <c r="AZ21" i="121"/>
  <c r="AY21" i="121"/>
  <c r="U21" i="121"/>
  <c r="V21" i="121" s="1"/>
  <c r="N21" i="121"/>
  <c r="AZ20" i="121"/>
  <c r="N20" i="121"/>
  <c r="AZ19" i="121"/>
  <c r="AY19" i="121"/>
  <c r="U19" i="121"/>
  <c r="V19" i="121" s="1"/>
  <c r="N19" i="121"/>
  <c r="AZ17" i="121"/>
  <c r="AY17" i="121"/>
  <c r="AQ17" i="121"/>
  <c r="U17" i="121"/>
  <c r="V17" i="121" s="1"/>
  <c r="N17" i="121"/>
  <c r="AZ15" i="121"/>
  <c r="AY15" i="121"/>
  <c r="AP15" i="121"/>
  <c r="AQ15" i="121" s="1"/>
  <c r="U15" i="121"/>
  <c r="V15" i="121" s="1"/>
  <c r="N15" i="121"/>
  <c r="AZ14" i="121"/>
  <c r="N14" i="121"/>
  <c r="AZ13" i="121"/>
  <c r="AY13" i="121"/>
  <c r="U13" i="121"/>
  <c r="V13" i="121" s="1"/>
  <c r="AZ12" i="121"/>
  <c r="N12" i="121"/>
  <c r="AZ11" i="121"/>
  <c r="AY11" i="121"/>
  <c r="AP11" i="121"/>
  <c r="U11" i="121"/>
  <c r="V11" i="121" s="1"/>
  <c r="N11" i="121"/>
  <c r="AZ10" i="121"/>
  <c r="AZ9" i="121"/>
  <c r="AY9" i="121"/>
  <c r="AQ9" i="121"/>
  <c r="U9" i="121"/>
  <c r="V9" i="121" s="1"/>
  <c r="N9" i="121"/>
  <c r="AZ7" i="121"/>
  <c r="AY7" i="121"/>
  <c r="AP7" i="121"/>
  <c r="V7" i="121"/>
  <c r="N7" i="121"/>
  <c r="AZ5" i="121"/>
  <c r="AY5" i="121"/>
  <c r="AP5" i="121"/>
  <c r="AQ5" i="121" s="1"/>
  <c r="U5" i="121"/>
  <c r="V5" i="121" s="1"/>
  <c r="N5" i="121"/>
  <c r="Y2" i="121"/>
  <c r="AA2" i="121" s="1"/>
  <c r="I2" i="121"/>
  <c r="AG1" i="121"/>
  <c r="AU2" i="121" s="1"/>
  <c r="AB39" i="121" l="1"/>
  <c r="AC39" i="121" s="1"/>
  <c r="AE39" i="121" s="1"/>
  <c r="AL39" i="121" s="1"/>
  <c r="AB143" i="121"/>
  <c r="AC143" i="121" s="1"/>
  <c r="AE143" i="121" s="1"/>
  <c r="AL143" i="121" s="1"/>
  <c r="AB33" i="121"/>
  <c r="AC33" i="121" s="1"/>
  <c r="AE33" i="121" s="1"/>
  <c r="AH33" i="121" s="1"/>
  <c r="AB15" i="121"/>
  <c r="AC15" i="121" s="1"/>
  <c r="AE15" i="121" s="1"/>
  <c r="AH15" i="121" s="1"/>
  <c r="AB101" i="121"/>
  <c r="AC101" i="121" s="1"/>
  <c r="AE101" i="121" s="1"/>
  <c r="AL101" i="121" s="1"/>
  <c r="AB136" i="121"/>
  <c r="AC136" i="121" s="1"/>
  <c r="AE136" i="121" s="1"/>
  <c r="AL136" i="121" s="1"/>
  <c r="AB7" i="121"/>
  <c r="AC7" i="121" s="1"/>
  <c r="AE7" i="121" s="1"/>
  <c r="AL7" i="121" s="1"/>
  <c r="AB113" i="121"/>
  <c r="AC113" i="121" s="1"/>
  <c r="AE113" i="121" s="1"/>
  <c r="AH113" i="121" s="1"/>
  <c r="AL113" i="121"/>
  <c r="AB71" i="121"/>
  <c r="AC71" i="121" s="1"/>
  <c r="AE71" i="121" s="1"/>
  <c r="AL71" i="121" s="1"/>
  <c r="AB91" i="121"/>
  <c r="AC91" i="121" s="1"/>
  <c r="AE91" i="121" s="1"/>
  <c r="AL91" i="121" s="1"/>
  <c r="AB133" i="121"/>
  <c r="AC133" i="121" s="1"/>
  <c r="AE133" i="121" s="1"/>
  <c r="AL133" i="121" s="1"/>
  <c r="AB35" i="121"/>
  <c r="AC35" i="121" s="1"/>
  <c r="AE35" i="121" s="1"/>
  <c r="AH35" i="121" s="1"/>
  <c r="AB141" i="121"/>
  <c r="AC141" i="121" s="1"/>
  <c r="AE141" i="121" s="1"/>
  <c r="AL141" i="121" s="1"/>
  <c r="AB103" i="121"/>
  <c r="AC103" i="121" s="1"/>
  <c r="AE103" i="121" s="1"/>
  <c r="AL103" i="121" s="1"/>
  <c r="AB43" i="121"/>
  <c r="AC43" i="121" s="1"/>
  <c r="AE43" i="121" s="1"/>
  <c r="AH43" i="121" s="1"/>
  <c r="AB49" i="121"/>
  <c r="AC49" i="121" s="1"/>
  <c r="AE49" i="121" s="1"/>
  <c r="AH49" i="121" s="1"/>
  <c r="AB53" i="121"/>
  <c r="AC53" i="121" s="1"/>
  <c r="AE53" i="121" s="1"/>
  <c r="AH53" i="121" s="1"/>
  <c r="AB131" i="121"/>
  <c r="AC131" i="121" s="1"/>
  <c r="AE131" i="121" s="1"/>
  <c r="AL131" i="121" s="1"/>
  <c r="AB93" i="121"/>
  <c r="AC93" i="121" s="1"/>
  <c r="AE93" i="121" s="1"/>
  <c r="AL93" i="121" s="1"/>
  <c r="AB138" i="121"/>
  <c r="AC138" i="121" s="1"/>
  <c r="AE138" i="121" s="1"/>
  <c r="AH138" i="121" s="1"/>
  <c r="AB41" i="121"/>
  <c r="AC41" i="121" s="1"/>
  <c r="AE41" i="121" s="1"/>
  <c r="AB65" i="121"/>
  <c r="AC65" i="121" s="1"/>
  <c r="AE65" i="121" s="1"/>
  <c r="AH65" i="121" s="1"/>
  <c r="AB98" i="121"/>
  <c r="AC98" i="121" s="1"/>
  <c r="AE98" i="121" s="1"/>
  <c r="AH98" i="121" s="1"/>
  <c r="AB118" i="121"/>
  <c r="AC118" i="121" s="1"/>
  <c r="AE118" i="121" s="1"/>
  <c r="AL118" i="121" s="1"/>
  <c r="AB23" i="121"/>
  <c r="AC23" i="121" s="1"/>
  <c r="AE23" i="121" s="1"/>
  <c r="AH23" i="121" s="1"/>
  <c r="AB59" i="121"/>
  <c r="AC59" i="121" s="1"/>
  <c r="AE59" i="121" s="1"/>
  <c r="AH59" i="121" s="1"/>
  <c r="AB95" i="121"/>
  <c r="AC95" i="121" s="1"/>
  <c r="AE95" i="121" s="1"/>
  <c r="AL95" i="121" s="1"/>
  <c r="AB115" i="121"/>
  <c r="AC115" i="121" s="1"/>
  <c r="AE115" i="121" s="1"/>
  <c r="AH115" i="121" s="1"/>
  <c r="AB135" i="121"/>
  <c r="AC135" i="121" s="1"/>
  <c r="AE135" i="121" s="1"/>
  <c r="AL135" i="121" s="1"/>
  <c r="AB145" i="121"/>
  <c r="AC145" i="121" s="1"/>
  <c r="AE145" i="121" s="1"/>
  <c r="AL145" i="121" s="1"/>
  <c r="AB9" i="121"/>
  <c r="AC9" i="121" s="1"/>
  <c r="AE9" i="121" s="1"/>
  <c r="AL9" i="121" s="1"/>
  <c r="AB13" i="121"/>
  <c r="AC13" i="121" s="1"/>
  <c r="AE13" i="121" s="1"/>
  <c r="AH13" i="121" s="1"/>
  <c r="AN13" i="121" s="1"/>
  <c r="AB112" i="121"/>
  <c r="AC112" i="121" s="1"/>
  <c r="AE112" i="121" s="1"/>
  <c r="AL112" i="121" s="1"/>
  <c r="AB102" i="121"/>
  <c r="AC102" i="121" s="1"/>
  <c r="AE102" i="121" s="1"/>
  <c r="AH102" i="121" s="1"/>
  <c r="AB122" i="121"/>
  <c r="AC122" i="121" s="1"/>
  <c r="AE122" i="121" s="1"/>
  <c r="AH122" i="121" s="1"/>
  <c r="AB75" i="121"/>
  <c r="AC75" i="121" s="1"/>
  <c r="AE75" i="121" s="1"/>
  <c r="AH75" i="121" s="1"/>
  <c r="AB79" i="121"/>
  <c r="AC79" i="121" s="1"/>
  <c r="AE79" i="121" s="1"/>
  <c r="AH79" i="121" s="1"/>
  <c r="AB129" i="121"/>
  <c r="AC129" i="121" s="1"/>
  <c r="AE129" i="121" s="1"/>
  <c r="AH129" i="121" s="1"/>
  <c r="AB139" i="121"/>
  <c r="AC139" i="121" s="1"/>
  <c r="AE139" i="121" s="1"/>
  <c r="AH139" i="121" s="1"/>
  <c r="AB19" i="121"/>
  <c r="AC19" i="121" s="1"/>
  <c r="AE19" i="121" s="1"/>
  <c r="AL19" i="121" s="1"/>
  <c r="AB31" i="121"/>
  <c r="AC31" i="121" s="1"/>
  <c r="AE31" i="121" s="1"/>
  <c r="AL31" i="121" s="1"/>
  <c r="AB63" i="121"/>
  <c r="AC63" i="121" s="1"/>
  <c r="AE63" i="121" s="1"/>
  <c r="AL63" i="121" s="1"/>
  <c r="AB126" i="121"/>
  <c r="AC126" i="121" s="1"/>
  <c r="AE126" i="121" s="1"/>
  <c r="AL126" i="121" s="1"/>
  <c r="AB105" i="121"/>
  <c r="AC105" i="121" s="1"/>
  <c r="AE105" i="121" s="1"/>
  <c r="AL105" i="121" s="1"/>
  <c r="AB73" i="121"/>
  <c r="AC73" i="121" s="1"/>
  <c r="AE73" i="121" s="1"/>
  <c r="AL73" i="121" s="1"/>
  <c r="AB96" i="121"/>
  <c r="AC96" i="121" s="1"/>
  <c r="AE96" i="121" s="1"/>
  <c r="AH96" i="121" s="1"/>
  <c r="AB109" i="121"/>
  <c r="AC109" i="121" s="1"/>
  <c r="AE109" i="121" s="1"/>
  <c r="AL109" i="121" s="1"/>
  <c r="AB55" i="121"/>
  <c r="AC55" i="121" s="1"/>
  <c r="AE55" i="121" s="1"/>
  <c r="AH55" i="121" s="1"/>
  <c r="AB61" i="121"/>
  <c r="AC61" i="121" s="1"/>
  <c r="AE61" i="121" s="1"/>
  <c r="AL61" i="121" s="1"/>
  <c r="AB111" i="121"/>
  <c r="AC111" i="121" s="1"/>
  <c r="AE111" i="121" s="1"/>
  <c r="AL111" i="121" s="1"/>
  <c r="AB128" i="121"/>
  <c r="AC128" i="121" s="1"/>
  <c r="AE128" i="121" s="1"/>
  <c r="AL128" i="121" s="1"/>
  <c r="AB132" i="121"/>
  <c r="AC132" i="121" s="1"/>
  <c r="AE132" i="121" s="1"/>
  <c r="AH132" i="121" s="1"/>
  <c r="AB81" i="121"/>
  <c r="AC81" i="121" s="1"/>
  <c r="AE81" i="121" s="1"/>
  <c r="AL81" i="121" s="1"/>
  <c r="AB83" i="121"/>
  <c r="AC83" i="121" s="1"/>
  <c r="AE83" i="121" s="1"/>
  <c r="AL83" i="121" s="1"/>
  <c r="AB119" i="121"/>
  <c r="AC119" i="121" s="1"/>
  <c r="AE119" i="121" s="1"/>
  <c r="AL119" i="121" s="1"/>
  <c r="AB57" i="121"/>
  <c r="AC57" i="121" s="1"/>
  <c r="AE57" i="121" s="1"/>
  <c r="AH57" i="121" s="1"/>
  <c r="AB92" i="121"/>
  <c r="AC92" i="121" s="1"/>
  <c r="AE92" i="121" s="1"/>
  <c r="AH92" i="121" s="1"/>
  <c r="AB140" i="121"/>
  <c r="AC140" i="121" s="1"/>
  <c r="AE140" i="121" s="1"/>
  <c r="AH140" i="121" s="1"/>
  <c r="AB130" i="121"/>
  <c r="AC130" i="121" s="1"/>
  <c r="AE130" i="121" s="1"/>
  <c r="AB120" i="121"/>
  <c r="AC120" i="121" s="1"/>
  <c r="AE120" i="121" s="1"/>
  <c r="AL120" i="121" s="1"/>
  <c r="AB110" i="121"/>
  <c r="AC110" i="121" s="1"/>
  <c r="AE110" i="121" s="1"/>
  <c r="AB100" i="121"/>
  <c r="AC100" i="121" s="1"/>
  <c r="AE100" i="121" s="1"/>
  <c r="AH100" i="121" s="1"/>
  <c r="AB90" i="121"/>
  <c r="AC90" i="121" s="1"/>
  <c r="AE90" i="121" s="1"/>
  <c r="AL90" i="121" s="1"/>
  <c r="AB17" i="121"/>
  <c r="AC17" i="121" s="1"/>
  <c r="AE17" i="121" s="1"/>
  <c r="AL17" i="121" s="1"/>
  <c r="AB27" i="121"/>
  <c r="AC27" i="121" s="1"/>
  <c r="AE27" i="121" s="1"/>
  <c r="AB137" i="121"/>
  <c r="AC137" i="121" s="1"/>
  <c r="AE137" i="121" s="1"/>
  <c r="AB127" i="121"/>
  <c r="AC127" i="121" s="1"/>
  <c r="AE127" i="121" s="1"/>
  <c r="AH127" i="121" s="1"/>
  <c r="AB117" i="121"/>
  <c r="AC117" i="121" s="1"/>
  <c r="AE117" i="121" s="1"/>
  <c r="AL117" i="121" s="1"/>
  <c r="AB97" i="121"/>
  <c r="AC97" i="121" s="1"/>
  <c r="AE97" i="121" s="1"/>
  <c r="AH97" i="121" s="1"/>
  <c r="AB77" i="121"/>
  <c r="AC77" i="121" s="1"/>
  <c r="AE77" i="121" s="1"/>
  <c r="AL77" i="121" s="1"/>
  <c r="AB67" i="121"/>
  <c r="AC67" i="121" s="1"/>
  <c r="AE67" i="121" s="1"/>
  <c r="AL67" i="121" s="1"/>
  <c r="AB45" i="121"/>
  <c r="AC45" i="121" s="1"/>
  <c r="AE45" i="121" s="1"/>
  <c r="AB107" i="121"/>
  <c r="AC107" i="121" s="1"/>
  <c r="AE107" i="121" s="1"/>
  <c r="AH107" i="121" s="1"/>
  <c r="AB87" i="121"/>
  <c r="AC87" i="121" s="1"/>
  <c r="AE87" i="121" s="1"/>
  <c r="AL87" i="121" s="1"/>
  <c r="AB11" i="121"/>
  <c r="AC11" i="121" s="1"/>
  <c r="AE11" i="121" s="1"/>
  <c r="AL11" i="121" s="1"/>
  <c r="AB104" i="121"/>
  <c r="AC104" i="121" s="1"/>
  <c r="AE104" i="121" s="1"/>
  <c r="AL104" i="121" s="1"/>
  <c r="AB21" i="121"/>
  <c r="AC21" i="121" s="1"/>
  <c r="AE21" i="121" s="1"/>
  <c r="AL21" i="121" s="1"/>
  <c r="AB144" i="121"/>
  <c r="AC144" i="121" s="1"/>
  <c r="AE144" i="121" s="1"/>
  <c r="AL144" i="121" s="1"/>
  <c r="AB134" i="121"/>
  <c r="AC134" i="121" s="1"/>
  <c r="AE134" i="121" s="1"/>
  <c r="AH134" i="121" s="1"/>
  <c r="AB124" i="121"/>
  <c r="AC124" i="121" s="1"/>
  <c r="AE124" i="121" s="1"/>
  <c r="AL124" i="121" s="1"/>
  <c r="AB114" i="121"/>
  <c r="AC114" i="121" s="1"/>
  <c r="AE114" i="121" s="1"/>
  <c r="AH114" i="121" s="1"/>
  <c r="AB94" i="121"/>
  <c r="AC94" i="121" s="1"/>
  <c r="AE94" i="121" s="1"/>
  <c r="AL94" i="121" s="1"/>
  <c r="AB89" i="121"/>
  <c r="AC89" i="121" s="1"/>
  <c r="AE89" i="121" s="1"/>
  <c r="AL89" i="121" s="1"/>
  <c r="AB123" i="121"/>
  <c r="AC123" i="121" s="1"/>
  <c r="AE123" i="121" s="1"/>
  <c r="AB99" i="121"/>
  <c r="AC99" i="121" s="1"/>
  <c r="AE99" i="121" s="1"/>
  <c r="AL99" i="121" s="1"/>
  <c r="AB25" i="121"/>
  <c r="AC25" i="121" s="1"/>
  <c r="AE25" i="121" s="1"/>
  <c r="AL25" i="121" s="1"/>
  <c r="AB5" i="121"/>
  <c r="AC5" i="121" s="1"/>
  <c r="AE5" i="121" s="1"/>
  <c r="AH5" i="121" s="1"/>
  <c r="AB121" i="121"/>
  <c r="AC121" i="121" s="1"/>
  <c r="AE121" i="121" s="1"/>
  <c r="AL121" i="121" s="1"/>
  <c r="AB116" i="121"/>
  <c r="AC116" i="121" s="1"/>
  <c r="AE116" i="121" s="1"/>
  <c r="AH116" i="121" s="1"/>
  <c r="AB47" i="121"/>
  <c r="AC47" i="121" s="1"/>
  <c r="AE47" i="121" s="1"/>
  <c r="AH47" i="121" s="1"/>
  <c r="AB106" i="121"/>
  <c r="AC106" i="121" s="1"/>
  <c r="AE106" i="121" s="1"/>
  <c r="AL106" i="121" s="1"/>
  <c r="AB37" i="121"/>
  <c r="AC37" i="121" s="1"/>
  <c r="AE37" i="121" s="1"/>
  <c r="AL37" i="121" s="1"/>
  <c r="AB51" i="121"/>
  <c r="AC51" i="121" s="1"/>
  <c r="AE51" i="121" s="1"/>
  <c r="AH51" i="121" s="1"/>
  <c r="AB108" i="121"/>
  <c r="AC108" i="121" s="1"/>
  <c r="AE108" i="121" s="1"/>
  <c r="AL108" i="121" s="1"/>
  <c r="AB125" i="121"/>
  <c r="AC125" i="121" s="1"/>
  <c r="AE125" i="121" s="1"/>
  <c r="AB29" i="121"/>
  <c r="AC29" i="121" s="1"/>
  <c r="AE29" i="121" s="1"/>
  <c r="AH29" i="121" s="1"/>
  <c r="AB69" i="121"/>
  <c r="AC69" i="121" s="1"/>
  <c r="AE69" i="121" s="1"/>
  <c r="AB85" i="121"/>
  <c r="AC85" i="121" s="1"/>
  <c r="AE85" i="121" s="1"/>
  <c r="AH85" i="121" s="1"/>
  <c r="AB142" i="121"/>
  <c r="AC142" i="121" s="1"/>
  <c r="AE142" i="121" s="1"/>
  <c r="AH142" i="121" s="1"/>
  <c r="AL33" i="121" l="1"/>
  <c r="AH39" i="121"/>
  <c r="AH90" i="121"/>
  <c r="AH143" i="121"/>
  <c r="AN143" i="121" s="1"/>
  <c r="AH101" i="121"/>
  <c r="AN101" i="121" s="1"/>
  <c r="AH136" i="121"/>
  <c r="AN136" i="121" s="1"/>
  <c r="AL15" i="121"/>
  <c r="AH91" i="121"/>
  <c r="AN91" i="121" s="1"/>
  <c r="AL65" i="121"/>
  <c r="AH145" i="121"/>
  <c r="AM145" i="121" s="1"/>
  <c r="AH71" i="121"/>
  <c r="AN71" i="121" s="1"/>
  <c r="AH7" i="121"/>
  <c r="AM7" i="121" s="1"/>
  <c r="AH133" i="121"/>
  <c r="AN133" i="121" s="1"/>
  <c r="AL35" i="121"/>
  <c r="AH103" i="121"/>
  <c r="AM103" i="121" s="1"/>
  <c r="AH128" i="121"/>
  <c r="AN128" i="121" s="1"/>
  <c r="AH111" i="121"/>
  <c r="AM111" i="121" s="1"/>
  <c r="AL107" i="121"/>
  <c r="AL49" i="121"/>
  <c r="AL53" i="121"/>
  <c r="AL96" i="121"/>
  <c r="AH109" i="121"/>
  <c r="AN109" i="121" s="1"/>
  <c r="AH9" i="121"/>
  <c r="AM9" i="121" s="1"/>
  <c r="AH141" i="121"/>
  <c r="AN141" i="121" s="1"/>
  <c r="AL114" i="121"/>
  <c r="AM39" i="121"/>
  <c r="AN39" i="121"/>
  <c r="AL79" i="121"/>
  <c r="AH144" i="121"/>
  <c r="AN144" i="121" s="1"/>
  <c r="AL138" i="121"/>
  <c r="AL122" i="121"/>
  <c r="AH108" i="121"/>
  <c r="AN108" i="121" s="1"/>
  <c r="AH31" i="121"/>
  <c r="AM31" i="121" s="1"/>
  <c r="AL98" i="121"/>
  <c r="AL139" i="121"/>
  <c r="AH93" i="121"/>
  <c r="AM93" i="121" s="1"/>
  <c r="AH37" i="121"/>
  <c r="AM37" i="121" s="1"/>
  <c r="AH131" i="121"/>
  <c r="AM131" i="121" s="1"/>
  <c r="AH118" i="121"/>
  <c r="AM118" i="121" s="1"/>
  <c r="AL43" i="121"/>
  <c r="AL75" i="121"/>
  <c r="AH94" i="121"/>
  <c r="AN94" i="121" s="1"/>
  <c r="AL129" i="121"/>
  <c r="AL132" i="121"/>
  <c r="AL85" i="121"/>
  <c r="AH73" i="121"/>
  <c r="AM73" i="121" s="1"/>
  <c r="AH19" i="121"/>
  <c r="AN19" i="121" s="1"/>
  <c r="AH135" i="121"/>
  <c r="AN135" i="121" s="1"/>
  <c r="AH112" i="121"/>
  <c r="AN112" i="121" s="1"/>
  <c r="AH95" i="121"/>
  <c r="AN95" i="121" s="1"/>
  <c r="AL59" i="121"/>
  <c r="AH126" i="121"/>
  <c r="AM126" i="121" s="1"/>
  <c r="AL102" i="121"/>
  <c r="AH63" i="121"/>
  <c r="AM63" i="121" s="1"/>
  <c r="AL23" i="121"/>
  <c r="AL51" i="121"/>
  <c r="AL41" i="121"/>
  <c r="AH41" i="121"/>
  <c r="AL115" i="121"/>
  <c r="AM13" i="121"/>
  <c r="AL13" i="121"/>
  <c r="AH105" i="121"/>
  <c r="AN105" i="121" s="1"/>
  <c r="AH83" i="121"/>
  <c r="AM83" i="121" s="1"/>
  <c r="AH106" i="121"/>
  <c r="AN106" i="121" s="1"/>
  <c r="AL142" i="121"/>
  <c r="AH67" i="121"/>
  <c r="AM67" i="121" s="1"/>
  <c r="AH11" i="121"/>
  <c r="AM11" i="121" s="1"/>
  <c r="AH120" i="121"/>
  <c r="AM120" i="121" s="1"/>
  <c r="AL116" i="121"/>
  <c r="AH99" i="121"/>
  <c r="AM99" i="121" s="1"/>
  <c r="AH117" i="121"/>
  <c r="AN117" i="121" s="1"/>
  <c r="AL47" i="121"/>
  <c r="AL5" i="121"/>
  <c r="AH87" i="121"/>
  <c r="AM87" i="121" s="1"/>
  <c r="AH25" i="121"/>
  <c r="AN25" i="121" s="1"/>
  <c r="AH81" i="121"/>
  <c r="AM81" i="121" s="1"/>
  <c r="AN51" i="121"/>
  <c r="AM51" i="121"/>
  <c r="AM92" i="121"/>
  <c r="AN92" i="121"/>
  <c r="AM29" i="121"/>
  <c r="AN29" i="121"/>
  <c r="AM134" i="121"/>
  <c r="AN134" i="121"/>
  <c r="AN142" i="121"/>
  <c r="AM142" i="121"/>
  <c r="AM57" i="121"/>
  <c r="AN57" i="121"/>
  <c r="AM55" i="121"/>
  <c r="AN55" i="121"/>
  <c r="AN116" i="121"/>
  <c r="AM116" i="121"/>
  <c r="AM127" i="121"/>
  <c r="AN127" i="121"/>
  <c r="AL123" i="121"/>
  <c r="AH123" i="121"/>
  <c r="AN35" i="121"/>
  <c r="AM35" i="121"/>
  <c r="AH77" i="121"/>
  <c r="AN98" i="121"/>
  <c r="AM98" i="121"/>
  <c r="AN47" i="121"/>
  <c r="AM47" i="121"/>
  <c r="AL55" i="121"/>
  <c r="AN100" i="121"/>
  <c r="AM100" i="121"/>
  <c r="AN65" i="121"/>
  <c r="AM65" i="121"/>
  <c r="AN122" i="121"/>
  <c r="AM122" i="121"/>
  <c r="AL92" i="121"/>
  <c r="AH21" i="121"/>
  <c r="AM129" i="121"/>
  <c r="AN129" i="121"/>
  <c r="AH121" i="121"/>
  <c r="AL45" i="121"/>
  <c r="AH45" i="121"/>
  <c r="AL134" i="121"/>
  <c r="AH104" i="121"/>
  <c r="AN15" i="121"/>
  <c r="AM15" i="121"/>
  <c r="AM33" i="121"/>
  <c r="AN33" i="121"/>
  <c r="AN132" i="121"/>
  <c r="AM132" i="121"/>
  <c r="AH61" i="121"/>
  <c r="AN97" i="121"/>
  <c r="AM97" i="121"/>
  <c r="AN85" i="121"/>
  <c r="AM85" i="121"/>
  <c r="AH137" i="121"/>
  <c r="AL137" i="121"/>
  <c r="AL97" i="121"/>
  <c r="AN107" i="121"/>
  <c r="AM107" i="121"/>
  <c r="AN75" i="121"/>
  <c r="AM75" i="121"/>
  <c r="AM59" i="121"/>
  <c r="AN59" i="121"/>
  <c r="AN43" i="121"/>
  <c r="AM43" i="121"/>
  <c r="AL127" i="121"/>
  <c r="AH89" i="121"/>
  <c r="AL29" i="121"/>
  <c r="AM5" i="121"/>
  <c r="AN5" i="121"/>
  <c r="AN49" i="121"/>
  <c r="AM49" i="121"/>
  <c r="AL130" i="121"/>
  <c r="AH130" i="121"/>
  <c r="AL100" i="121"/>
  <c r="AL57" i="121"/>
  <c r="AN140" i="121"/>
  <c r="AM140" i="121"/>
  <c r="AN138" i="121"/>
  <c r="AM138" i="121"/>
  <c r="AH119" i="121"/>
  <c r="AH124" i="121"/>
  <c r="AM115" i="121"/>
  <c r="AN115" i="121"/>
  <c r="AN53" i="121"/>
  <c r="AM53" i="121"/>
  <c r="AL27" i="121"/>
  <c r="AH27" i="121"/>
  <c r="AH125" i="121"/>
  <c r="AL125" i="121"/>
  <c r="AN90" i="121"/>
  <c r="AM90" i="121"/>
  <c r="AN96" i="121"/>
  <c r="AM96" i="121"/>
  <c r="AN113" i="121"/>
  <c r="AM113" i="121"/>
  <c r="AL110" i="121"/>
  <c r="AH110" i="121"/>
  <c r="AN79" i="121"/>
  <c r="AM79" i="121"/>
  <c r="AN23" i="121"/>
  <c r="AM23" i="121"/>
  <c r="AH17" i="121"/>
  <c r="AH69" i="121"/>
  <c r="AL69" i="121"/>
  <c r="AN114" i="121"/>
  <c r="AM114" i="121"/>
  <c r="AN139" i="121"/>
  <c r="AM139" i="121"/>
  <c r="AL140" i="121"/>
  <c r="AN102" i="121"/>
  <c r="AM102" i="121"/>
  <c r="AM91" i="121" l="1"/>
  <c r="AM136" i="121"/>
  <c r="AM101" i="121"/>
  <c r="AM143" i="121"/>
  <c r="AM71" i="121"/>
  <c r="AN145" i="121"/>
  <c r="AN93" i="121"/>
  <c r="AM128" i="121"/>
  <c r="AM19" i="121"/>
  <c r="AN111" i="121"/>
  <c r="AN7" i="121"/>
  <c r="AM141" i="121"/>
  <c r="AN63" i="121"/>
  <c r="AM135" i="121"/>
  <c r="AM109" i="121"/>
  <c r="AM94" i="121"/>
  <c r="AN103" i="121"/>
  <c r="AM133" i="121"/>
  <c r="AN9" i="121"/>
  <c r="AN73" i="121"/>
  <c r="AM106" i="121"/>
  <c r="AM144" i="121"/>
  <c r="AN120" i="121"/>
  <c r="AN118" i="121"/>
  <c r="AN131" i="121"/>
  <c r="AN67" i="121"/>
  <c r="AM112" i="121"/>
  <c r="AM108" i="121"/>
  <c r="AN126" i="121"/>
  <c r="AN31" i="121"/>
  <c r="AM95" i="121"/>
  <c r="AN11" i="121"/>
  <c r="AN37" i="121"/>
  <c r="AN83" i="121"/>
  <c r="AN41" i="121"/>
  <c r="AM41" i="121"/>
  <c r="AM105" i="121"/>
  <c r="AN87" i="121"/>
  <c r="AN81" i="121"/>
  <c r="AM25" i="121"/>
  <c r="AN99" i="121"/>
  <c r="AM117" i="121"/>
  <c r="AN69" i="121"/>
  <c r="AM69" i="121"/>
  <c r="AN45" i="121"/>
  <c r="AM45" i="121"/>
  <c r="AN21" i="121"/>
  <c r="AM21" i="121"/>
  <c r="AN123" i="121"/>
  <c r="AM123" i="121"/>
  <c r="AN119" i="121"/>
  <c r="AM119" i="121"/>
  <c r="AM110" i="121"/>
  <c r="AN110" i="121"/>
  <c r="AN121" i="121"/>
  <c r="AM121" i="121"/>
  <c r="AM17" i="121"/>
  <c r="AN17" i="121"/>
  <c r="AN89" i="121"/>
  <c r="AM89" i="121"/>
  <c r="AM104" i="121"/>
  <c r="AN104" i="121"/>
  <c r="AM137" i="121"/>
  <c r="AN137" i="121"/>
  <c r="AN130" i="121"/>
  <c r="AM130" i="121"/>
  <c r="AM125" i="121"/>
  <c r="AN125" i="121"/>
  <c r="AN77" i="121"/>
  <c r="AM77" i="121"/>
  <c r="AN27" i="121"/>
  <c r="AM27" i="121"/>
  <c r="AM124" i="121"/>
  <c r="AN124" i="121"/>
  <c r="AM61" i="121"/>
  <c r="AN61" i="121"/>
  <c r="AZ46" i="107" l="1"/>
  <c r="N46" i="107"/>
  <c r="AZ46" i="106" l="1"/>
  <c r="N46" i="106"/>
  <c r="AF23" i="106" l="1"/>
  <c r="AZ35" i="106"/>
  <c r="N35" i="106"/>
  <c r="AZ32" i="106"/>
  <c r="AY32" i="106"/>
  <c r="AP32" i="106"/>
  <c r="AQ32" i="106" s="1"/>
  <c r="U32" i="106"/>
  <c r="V32" i="106" s="1"/>
  <c r="N32" i="106"/>
  <c r="AZ44" i="107" l="1"/>
  <c r="N44" i="107"/>
  <c r="AF11" i="107" l="1"/>
  <c r="AF5" i="107"/>
  <c r="AZ38" i="107" l="1"/>
  <c r="N38" i="107"/>
  <c r="AZ40" i="107"/>
  <c r="N40" i="107"/>
  <c r="AF33" i="107"/>
  <c r="AZ42" i="107"/>
  <c r="N42" i="107"/>
  <c r="AZ36" i="107"/>
  <c r="N36" i="107"/>
  <c r="AZ34" i="107"/>
  <c r="N34" i="107"/>
  <c r="AZ32" i="107"/>
  <c r="N32" i="107"/>
  <c r="AF20" i="107" l="1"/>
  <c r="AF16" i="107"/>
  <c r="AF13" i="107" l="1"/>
  <c r="AF7" i="107"/>
  <c r="AZ12" i="107"/>
  <c r="N12" i="107"/>
  <c r="AZ151" i="107" l="1"/>
  <c r="AY151" i="107"/>
  <c r="AP151" i="107"/>
  <c r="AQ151" i="107" s="1"/>
  <c r="U151" i="107"/>
  <c r="V151" i="107" s="1"/>
  <c r="N151" i="107"/>
  <c r="AZ150" i="107"/>
  <c r="AY150" i="107"/>
  <c r="AP150" i="107"/>
  <c r="AQ150" i="107" s="1"/>
  <c r="U150" i="107"/>
  <c r="V150" i="107" s="1"/>
  <c r="N150" i="107"/>
  <c r="AZ149" i="107"/>
  <c r="AY149" i="107"/>
  <c r="AP149" i="107"/>
  <c r="AQ149" i="107" s="1"/>
  <c r="AB149" i="107"/>
  <c r="AC149" i="107" s="1"/>
  <c r="AE149" i="107" s="1"/>
  <c r="V149" i="107"/>
  <c r="U149" i="107"/>
  <c r="N149" i="107"/>
  <c r="AZ148" i="107"/>
  <c r="AY148" i="107"/>
  <c r="AP148" i="107"/>
  <c r="AQ148" i="107" s="1"/>
  <c r="U148" i="107"/>
  <c r="V148" i="107" s="1"/>
  <c r="N148" i="107"/>
  <c r="AZ147" i="107"/>
  <c r="AY147" i="107"/>
  <c r="AQ147" i="107"/>
  <c r="AP147" i="107"/>
  <c r="AB147" i="107"/>
  <c r="AC147" i="107" s="1"/>
  <c r="AE147" i="107" s="1"/>
  <c r="V147" i="107"/>
  <c r="U147" i="107"/>
  <c r="N147" i="107"/>
  <c r="AZ146" i="107"/>
  <c r="AY146" i="107"/>
  <c r="AQ146" i="107"/>
  <c r="AP146" i="107"/>
  <c r="U146" i="107"/>
  <c r="V146" i="107" s="1"/>
  <c r="N146" i="107"/>
  <c r="AZ145" i="107"/>
  <c r="AY145" i="107"/>
  <c r="AP145" i="107"/>
  <c r="AQ145" i="107" s="1"/>
  <c r="AB145" i="107"/>
  <c r="AC145" i="107" s="1"/>
  <c r="AE145" i="107" s="1"/>
  <c r="U145" i="107"/>
  <c r="V145" i="107" s="1"/>
  <c r="N145" i="107"/>
  <c r="AZ144" i="107"/>
  <c r="AY144" i="107"/>
  <c r="AQ144" i="107"/>
  <c r="AP144" i="107"/>
  <c r="U144" i="107"/>
  <c r="V144" i="107" s="1"/>
  <c r="N144" i="107"/>
  <c r="AZ143" i="107"/>
  <c r="AY143" i="107"/>
  <c r="AQ143" i="107"/>
  <c r="AP143" i="107"/>
  <c r="U143" i="107"/>
  <c r="V143" i="107" s="1"/>
  <c r="N143" i="107"/>
  <c r="AZ142" i="107"/>
  <c r="AY142" i="107"/>
  <c r="AP142" i="107"/>
  <c r="AQ142" i="107" s="1"/>
  <c r="AB142" i="107"/>
  <c r="AC142" i="107" s="1"/>
  <c r="AE142" i="107" s="1"/>
  <c r="V142" i="107"/>
  <c r="U142" i="107"/>
  <c r="N142" i="107"/>
  <c r="AZ141" i="107"/>
  <c r="AY141" i="107"/>
  <c r="AP141" i="107"/>
  <c r="AQ141" i="107" s="1"/>
  <c r="U141" i="107"/>
  <c r="V141" i="107" s="1"/>
  <c r="N141" i="107"/>
  <c r="AZ140" i="107"/>
  <c r="AY140" i="107"/>
  <c r="AP140" i="107"/>
  <c r="AQ140" i="107" s="1"/>
  <c r="U140" i="107"/>
  <c r="V140" i="107" s="1"/>
  <c r="N140" i="107"/>
  <c r="AZ139" i="107"/>
  <c r="AY139" i="107"/>
  <c r="AQ139" i="107"/>
  <c r="AP139" i="107"/>
  <c r="AB139" i="107"/>
  <c r="AC139" i="107" s="1"/>
  <c r="AE139" i="107" s="1"/>
  <c r="V139" i="107"/>
  <c r="AL139" i="107" s="1"/>
  <c r="U139" i="107"/>
  <c r="N139" i="107"/>
  <c r="AZ138" i="107"/>
  <c r="AY138" i="107"/>
  <c r="AP138" i="107"/>
  <c r="AQ138" i="107" s="1"/>
  <c r="U138" i="107"/>
  <c r="V138" i="107" s="1"/>
  <c r="N138" i="107"/>
  <c r="AZ137" i="107"/>
  <c r="AY137" i="107"/>
  <c r="AP137" i="107"/>
  <c r="AQ137" i="107" s="1"/>
  <c r="AB137" i="107"/>
  <c r="AC137" i="107" s="1"/>
  <c r="AE137" i="107" s="1"/>
  <c r="V137" i="107"/>
  <c r="U137" i="107"/>
  <c r="N137" i="107"/>
  <c r="AZ136" i="107"/>
  <c r="AY136" i="107"/>
  <c r="AQ136" i="107"/>
  <c r="AP136" i="107"/>
  <c r="U136" i="107"/>
  <c r="V136" i="107" s="1"/>
  <c r="N136" i="107"/>
  <c r="AZ135" i="107"/>
  <c r="AY135" i="107"/>
  <c r="AP135" i="107"/>
  <c r="AQ135" i="107" s="1"/>
  <c r="U135" i="107"/>
  <c r="V135" i="107" s="1"/>
  <c r="N135" i="107"/>
  <c r="AZ134" i="107"/>
  <c r="AY134" i="107"/>
  <c r="AQ134" i="107"/>
  <c r="AP134" i="107"/>
  <c r="U134" i="107"/>
  <c r="V134" i="107" s="1"/>
  <c r="N134" i="107"/>
  <c r="AZ133" i="107"/>
  <c r="AY133" i="107"/>
  <c r="AQ133" i="107"/>
  <c r="AP133" i="107"/>
  <c r="U133" i="107"/>
  <c r="V133" i="107" s="1"/>
  <c r="N133" i="107"/>
  <c r="AZ132" i="107"/>
  <c r="AY132" i="107"/>
  <c r="AP132" i="107"/>
  <c r="AQ132" i="107" s="1"/>
  <c r="AB132" i="107"/>
  <c r="AC132" i="107" s="1"/>
  <c r="AE132" i="107" s="1"/>
  <c r="U132" i="107"/>
  <c r="V132" i="107" s="1"/>
  <c r="N132" i="107"/>
  <c r="AZ131" i="107"/>
  <c r="AY131" i="107"/>
  <c r="AQ131" i="107"/>
  <c r="AP131" i="107"/>
  <c r="U131" i="107"/>
  <c r="V131" i="107" s="1"/>
  <c r="N131" i="107"/>
  <c r="AZ130" i="107"/>
  <c r="AY130" i="107"/>
  <c r="AP130" i="107"/>
  <c r="AQ130" i="107" s="1"/>
  <c r="U130" i="107"/>
  <c r="V130" i="107" s="1"/>
  <c r="N130" i="107"/>
  <c r="AZ129" i="107"/>
  <c r="AY129" i="107"/>
  <c r="AQ129" i="107"/>
  <c r="AP129" i="107"/>
  <c r="AB129" i="107"/>
  <c r="AC129" i="107" s="1"/>
  <c r="AE129" i="107" s="1"/>
  <c r="AL129" i="107" s="1"/>
  <c r="V129" i="107"/>
  <c r="U129" i="107"/>
  <c r="N129" i="107"/>
  <c r="AZ128" i="107"/>
  <c r="AY128" i="107"/>
  <c r="AP128" i="107"/>
  <c r="AQ128" i="107" s="1"/>
  <c r="U128" i="107"/>
  <c r="V128" i="107" s="1"/>
  <c r="N128" i="107"/>
  <c r="AZ127" i="107"/>
  <c r="AY127" i="107"/>
  <c r="AQ127" i="107"/>
  <c r="AP127" i="107"/>
  <c r="AB127" i="107"/>
  <c r="AC127" i="107" s="1"/>
  <c r="AE127" i="107" s="1"/>
  <c r="V127" i="107"/>
  <c r="U127" i="107"/>
  <c r="N127" i="107"/>
  <c r="AZ126" i="107"/>
  <c r="AY126" i="107"/>
  <c r="AQ126" i="107"/>
  <c r="AP126" i="107"/>
  <c r="U126" i="107"/>
  <c r="V126" i="107" s="1"/>
  <c r="N126" i="107"/>
  <c r="AZ125" i="107"/>
  <c r="AY125" i="107"/>
  <c r="AP125" i="107"/>
  <c r="AQ125" i="107" s="1"/>
  <c r="U125" i="107"/>
  <c r="V125" i="107" s="1"/>
  <c r="N125" i="107"/>
  <c r="AZ124" i="107"/>
  <c r="AY124" i="107"/>
  <c r="AQ124" i="107"/>
  <c r="AP124" i="107"/>
  <c r="U124" i="107"/>
  <c r="V124" i="107" s="1"/>
  <c r="N124" i="107"/>
  <c r="AZ123" i="107"/>
  <c r="AY123" i="107"/>
  <c r="AQ123" i="107"/>
  <c r="AP123" i="107"/>
  <c r="U123" i="107"/>
  <c r="V123" i="107" s="1"/>
  <c r="N123" i="107"/>
  <c r="AZ122" i="107"/>
  <c r="AY122" i="107"/>
  <c r="AP122" i="107"/>
  <c r="AQ122" i="107" s="1"/>
  <c r="U122" i="107"/>
  <c r="V122" i="107" s="1"/>
  <c r="N122" i="107"/>
  <c r="AZ121" i="107"/>
  <c r="AY121" i="107"/>
  <c r="AQ121" i="107"/>
  <c r="AP121" i="107"/>
  <c r="U121" i="107"/>
  <c r="V121" i="107" s="1"/>
  <c r="N121" i="107"/>
  <c r="AZ120" i="107"/>
  <c r="AY120" i="107"/>
  <c r="AQ120" i="107"/>
  <c r="AP120" i="107"/>
  <c r="U120" i="107"/>
  <c r="V120" i="107" s="1"/>
  <c r="N120" i="107"/>
  <c r="AZ119" i="107"/>
  <c r="AY119" i="107"/>
  <c r="AQ119" i="107"/>
  <c r="AP119" i="107"/>
  <c r="V119" i="107"/>
  <c r="U119" i="107"/>
  <c r="N119" i="107"/>
  <c r="AZ118" i="107"/>
  <c r="AY118" i="107"/>
  <c r="AP118" i="107"/>
  <c r="AQ118" i="107" s="1"/>
  <c r="AB118" i="107"/>
  <c r="AC118" i="107" s="1"/>
  <c r="AE118" i="107" s="1"/>
  <c r="U118" i="107"/>
  <c r="V118" i="107" s="1"/>
  <c r="N118" i="107"/>
  <c r="AZ117" i="107"/>
  <c r="AY117" i="107"/>
  <c r="AP117" i="107"/>
  <c r="AQ117" i="107" s="1"/>
  <c r="AB117" i="107"/>
  <c r="AC117" i="107" s="1"/>
  <c r="AE117" i="107" s="1"/>
  <c r="V117" i="107"/>
  <c r="U117" i="107"/>
  <c r="N117" i="107"/>
  <c r="AZ116" i="107"/>
  <c r="AY116" i="107"/>
  <c r="AQ116" i="107"/>
  <c r="AP116" i="107"/>
  <c r="U116" i="107"/>
  <c r="V116" i="107" s="1"/>
  <c r="N116" i="107"/>
  <c r="AZ115" i="107"/>
  <c r="AY115" i="107"/>
  <c r="AP115" i="107"/>
  <c r="AQ115" i="107" s="1"/>
  <c r="AB115" i="107"/>
  <c r="AC115" i="107" s="1"/>
  <c r="AE115" i="107" s="1"/>
  <c r="U115" i="107"/>
  <c r="V115" i="107" s="1"/>
  <c r="N115" i="107"/>
  <c r="AZ114" i="107"/>
  <c r="AY114" i="107"/>
  <c r="AQ114" i="107"/>
  <c r="AP114" i="107"/>
  <c r="U114" i="107"/>
  <c r="V114" i="107" s="1"/>
  <c r="N114" i="107"/>
  <c r="AZ113" i="107"/>
  <c r="AY113" i="107"/>
  <c r="AQ113" i="107"/>
  <c r="AP113" i="107"/>
  <c r="U113" i="107"/>
  <c r="V113" i="107" s="1"/>
  <c r="N113" i="107"/>
  <c r="AZ112" i="107"/>
  <c r="AY112" i="107"/>
  <c r="AQ112" i="107"/>
  <c r="AP112" i="107"/>
  <c r="AB112" i="107"/>
  <c r="AC112" i="107" s="1"/>
  <c r="AE112" i="107" s="1"/>
  <c r="AL112" i="107" s="1"/>
  <c r="V112" i="107"/>
  <c r="U112" i="107"/>
  <c r="N112" i="107"/>
  <c r="AZ111" i="107"/>
  <c r="AY111" i="107"/>
  <c r="AQ111" i="107"/>
  <c r="AP111" i="107"/>
  <c r="U111" i="107"/>
  <c r="V111" i="107" s="1"/>
  <c r="N111" i="107"/>
  <c r="AZ110" i="107"/>
  <c r="AY110" i="107"/>
  <c r="AQ110" i="107"/>
  <c r="AP110" i="107"/>
  <c r="U110" i="107"/>
  <c r="V110" i="107" s="1"/>
  <c r="N110" i="107"/>
  <c r="AZ109" i="107"/>
  <c r="AY109" i="107"/>
  <c r="AQ109" i="107"/>
  <c r="AP109" i="107"/>
  <c r="AB109" i="107"/>
  <c r="AC109" i="107" s="1"/>
  <c r="AE109" i="107" s="1"/>
  <c r="V109" i="107"/>
  <c r="AL109" i="107" s="1"/>
  <c r="U109" i="107"/>
  <c r="N109" i="107"/>
  <c r="AZ108" i="107"/>
  <c r="AY108" i="107"/>
  <c r="AP108" i="107"/>
  <c r="AQ108" i="107" s="1"/>
  <c r="AB108" i="107"/>
  <c r="AC108" i="107" s="1"/>
  <c r="AE108" i="107" s="1"/>
  <c r="U108" i="107"/>
  <c r="V108" i="107" s="1"/>
  <c r="N108" i="107"/>
  <c r="AZ107" i="107"/>
  <c r="AY107" i="107"/>
  <c r="AQ107" i="107"/>
  <c r="AP107" i="107"/>
  <c r="AB107" i="107"/>
  <c r="AC107" i="107" s="1"/>
  <c r="AE107" i="107" s="1"/>
  <c r="V107" i="107"/>
  <c r="U107" i="107"/>
  <c r="N107" i="107"/>
  <c r="AZ106" i="107"/>
  <c r="AY106" i="107"/>
  <c r="AQ106" i="107"/>
  <c r="AP106" i="107"/>
  <c r="U106" i="107"/>
  <c r="V106" i="107" s="1"/>
  <c r="N106" i="107"/>
  <c r="AZ105" i="107"/>
  <c r="AY105" i="107"/>
  <c r="AQ105" i="107"/>
  <c r="AP105" i="107"/>
  <c r="AB105" i="107"/>
  <c r="AC105" i="107" s="1"/>
  <c r="AE105" i="107" s="1"/>
  <c r="U105" i="107"/>
  <c r="V105" i="107" s="1"/>
  <c r="N105" i="107"/>
  <c r="AZ104" i="107"/>
  <c r="AY104" i="107"/>
  <c r="AQ104" i="107"/>
  <c r="AP104" i="107"/>
  <c r="U104" i="107"/>
  <c r="V104" i="107" s="1"/>
  <c r="N104" i="107"/>
  <c r="AZ103" i="107"/>
  <c r="AY103" i="107"/>
  <c r="AQ103" i="107"/>
  <c r="AP103" i="107"/>
  <c r="U103" i="107"/>
  <c r="V103" i="107" s="1"/>
  <c r="N103" i="107"/>
  <c r="AZ102" i="107"/>
  <c r="AY102" i="107"/>
  <c r="AQ102" i="107"/>
  <c r="AP102" i="107"/>
  <c r="AB102" i="107"/>
  <c r="AC102" i="107" s="1"/>
  <c r="AE102" i="107" s="1"/>
  <c r="U102" i="107"/>
  <c r="V102" i="107" s="1"/>
  <c r="N102" i="107"/>
  <c r="AZ101" i="107"/>
  <c r="AY101" i="107"/>
  <c r="AQ101" i="107"/>
  <c r="AP101" i="107"/>
  <c r="U101" i="107"/>
  <c r="V101" i="107" s="1"/>
  <c r="N101" i="107"/>
  <c r="AZ100" i="107"/>
  <c r="AY100" i="107"/>
  <c r="AQ100" i="107"/>
  <c r="AP100" i="107"/>
  <c r="U100" i="107"/>
  <c r="V100" i="107" s="1"/>
  <c r="N100" i="107"/>
  <c r="AZ99" i="107"/>
  <c r="AY99" i="107"/>
  <c r="AQ99" i="107"/>
  <c r="AP99" i="107"/>
  <c r="AB99" i="107"/>
  <c r="AC99" i="107" s="1"/>
  <c r="AE99" i="107" s="1"/>
  <c r="AH99" i="107" s="1"/>
  <c r="V99" i="107"/>
  <c r="AL99" i="107" s="1"/>
  <c r="U99" i="107"/>
  <c r="N99" i="107"/>
  <c r="AZ98" i="107"/>
  <c r="AY98" i="107"/>
  <c r="AP98" i="107"/>
  <c r="AQ98" i="107" s="1"/>
  <c r="AB98" i="107"/>
  <c r="AC98" i="107" s="1"/>
  <c r="AE98" i="107" s="1"/>
  <c r="U98" i="107"/>
  <c r="V98" i="107" s="1"/>
  <c r="N98" i="107"/>
  <c r="AZ97" i="107"/>
  <c r="AY97" i="107"/>
  <c r="AQ97" i="107"/>
  <c r="AP97" i="107"/>
  <c r="AB97" i="107"/>
  <c r="AC97" i="107" s="1"/>
  <c r="AE97" i="107" s="1"/>
  <c r="V97" i="107"/>
  <c r="U97" i="107"/>
  <c r="N97" i="107"/>
  <c r="AZ96" i="107"/>
  <c r="AY96" i="107"/>
  <c r="AQ96" i="107"/>
  <c r="AP96" i="107"/>
  <c r="U96" i="107"/>
  <c r="V96" i="107" s="1"/>
  <c r="N96" i="107"/>
  <c r="AZ95" i="107"/>
  <c r="AY95" i="107"/>
  <c r="AQ95" i="107"/>
  <c r="AP95" i="107"/>
  <c r="U95" i="107"/>
  <c r="V95" i="107" s="1"/>
  <c r="N95" i="107"/>
  <c r="AZ94" i="107"/>
  <c r="AY94" i="107"/>
  <c r="AQ94" i="107"/>
  <c r="AP94" i="107"/>
  <c r="U94" i="107"/>
  <c r="V94" i="107" s="1"/>
  <c r="N94" i="107"/>
  <c r="AZ93" i="107"/>
  <c r="AY93" i="107"/>
  <c r="AP93" i="107"/>
  <c r="AQ93" i="107" s="1"/>
  <c r="U93" i="107"/>
  <c r="V93" i="107" s="1"/>
  <c r="N93" i="107"/>
  <c r="AZ92" i="107"/>
  <c r="AY92" i="107"/>
  <c r="AQ92" i="107"/>
  <c r="AP92" i="107"/>
  <c r="AB92" i="107"/>
  <c r="AC92" i="107" s="1"/>
  <c r="AE92" i="107" s="1"/>
  <c r="U92" i="107"/>
  <c r="V92" i="107" s="1"/>
  <c r="N92" i="107"/>
  <c r="AZ91" i="107"/>
  <c r="AY91" i="107"/>
  <c r="AQ91" i="107"/>
  <c r="AP91" i="107"/>
  <c r="U91" i="107"/>
  <c r="V91" i="107" s="1"/>
  <c r="N91" i="107"/>
  <c r="AZ90" i="107"/>
  <c r="AY90" i="107"/>
  <c r="AQ90" i="107"/>
  <c r="AP90" i="107"/>
  <c r="U90" i="107"/>
  <c r="V90" i="107" s="1"/>
  <c r="N90" i="107"/>
  <c r="AZ89" i="107"/>
  <c r="AY89" i="107"/>
  <c r="AQ89" i="107"/>
  <c r="AP89" i="107"/>
  <c r="V89" i="107"/>
  <c r="U89" i="107"/>
  <c r="N89" i="107"/>
  <c r="AZ88" i="107"/>
  <c r="AY88" i="107"/>
  <c r="AP88" i="107"/>
  <c r="AQ88" i="107" s="1"/>
  <c r="AB88" i="107"/>
  <c r="AC88" i="107" s="1"/>
  <c r="AE88" i="107" s="1"/>
  <c r="U88" i="107"/>
  <c r="V88" i="107" s="1"/>
  <c r="N88" i="107"/>
  <c r="AZ87" i="107"/>
  <c r="AY87" i="107"/>
  <c r="AP87" i="107"/>
  <c r="AQ87" i="107" s="1"/>
  <c r="AB87" i="107"/>
  <c r="AC87" i="107" s="1"/>
  <c r="AE87" i="107" s="1"/>
  <c r="V87" i="107"/>
  <c r="U87" i="107"/>
  <c r="N87" i="107"/>
  <c r="AZ86" i="107"/>
  <c r="AY86" i="107"/>
  <c r="AQ86" i="107"/>
  <c r="AP86" i="107"/>
  <c r="U86" i="107"/>
  <c r="V86" i="107" s="1"/>
  <c r="N86" i="107"/>
  <c r="AZ85" i="107"/>
  <c r="AY85" i="107"/>
  <c r="AP85" i="107"/>
  <c r="AQ85" i="107" s="1"/>
  <c r="AB85" i="107"/>
  <c r="AC85" i="107" s="1"/>
  <c r="AE85" i="107" s="1"/>
  <c r="V85" i="107"/>
  <c r="U85" i="107"/>
  <c r="N85" i="107"/>
  <c r="AZ84" i="107"/>
  <c r="AY84" i="107"/>
  <c r="AQ84" i="107"/>
  <c r="AP84" i="107"/>
  <c r="U84" i="107"/>
  <c r="V84" i="107" s="1"/>
  <c r="N84" i="107"/>
  <c r="AZ83" i="107"/>
  <c r="AY83" i="107"/>
  <c r="AP83" i="107"/>
  <c r="AQ83" i="107" s="1"/>
  <c r="U83" i="107"/>
  <c r="V83" i="107" s="1"/>
  <c r="N83" i="107"/>
  <c r="AZ82" i="107"/>
  <c r="AY82" i="107"/>
  <c r="AQ82" i="107"/>
  <c r="AP82" i="107"/>
  <c r="AB82" i="107"/>
  <c r="AC82" i="107" s="1"/>
  <c r="AE82" i="107" s="1"/>
  <c r="AL82" i="107" s="1"/>
  <c r="V82" i="107"/>
  <c r="U82" i="107"/>
  <c r="N82" i="107"/>
  <c r="AZ81" i="107"/>
  <c r="AY81" i="107"/>
  <c r="AQ81" i="107"/>
  <c r="AP81" i="107"/>
  <c r="AB81" i="107"/>
  <c r="AC81" i="107" s="1"/>
  <c r="AE81" i="107" s="1"/>
  <c r="AL81" i="107" s="1"/>
  <c r="U81" i="107"/>
  <c r="V81" i="107" s="1"/>
  <c r="N81" i="107"/>
  <c r="AZ80" i="107"/>
  <c r="AY80" i="107"/>
  <c r="AP80" i="107"/>
  <c r="AQ80" i="107" s="1"/>
  <c r="U80" i="107"/>
  <c r="V80" i="107" s="1"/>
  <c r="N80" i="107"/>
  <c r="AZ79" i="107"/>
  <c r="AY79" i="107"/>
  <c r="AQ79" i="107"/>
  <c r="AP79" i="107"/>
  <c r="AB79" i="107"/>
  <c r="AC79" i="107" s="1"/>
  <c r="AE79" i="107" s="1"/>
  <c r="V79" i="107"/>
  <c r="U79" i="107"/>
  <c r="N79" i="107"/>
  <c r="AZ78" i="107"/>
  <c r="AY78" i="107"/>
  <c r="AP78" i="107"/>
  <c r="AQ78" i="107" s="1"/>
  <c r="AB78" i="107"/>
  <c r="AC78" i="107" s="1"/>
  <c r="AE78" i="107" s="1"/>
  <c r="U78" i="107"/>
  <c r="V78" i="107" s="1"/>
  <c r="N78" i="107"/>
  <c r="AZ77" i="107"/>
  <c r="AY77" i="107"/>
  <c r="AQ77" i="107"/>
  <c r="AP77" i="107"/>
  <c r="V77" i="107"/>
  <c r="U77" i="107"/>
  <c r="N77" i="107"/>
  <c r="AZ76" i="107"/>
  <c r="AY76" i="107"/>
  <c r="AQ76" i="107"/>
  <c r="AP76" i="107"/>
  <c r="U76" i="107"/>
  <c r="V76" i="107" s="1"/>
  <c r="N76" i="107"/>
  <c r="AZ75" i="107"/>
  <c r="AY75" i="107"/>
  <c r="AQ75" i="107"/>
  <c r="AP75" i="107"/>
  <c r="AB75" i="107"/>
  <c r="AC75" i="107" s="1"/>
  <c r="AE75" i="107" s="1"/>
  <c r="U75" i="107"/>
  <c r="V75" i="107" s="1"/>
  <c r="N75" i="107"/>
  <c r="AZ74" i="107"/>
  <c r="AY74" i="107"/>
  <c r="AQ74" i="107"/>
  <c r="AP74" i="107"/>
  <c r="U74" i="107"/>
  <c r="V74" i="107" s="1"/>
  <c r="N74" i="107"/>
  <c r="AZ73" i="107"/>
  <c r="AY73" i="107"/>
  <c r="AQ73" i="107"/>
  <c r="AP73" i="107"/>
  <c r="U73" i="107"/>
  <c r="V73" i="107" s="1"/>
  <c r="N73" i="107"/>
  <c r="AZ72" i="107"/>
  <c r="AY72" i="107"/>
  <c r="AQ72" i="107"/>
  <c r="AP72" i="107"/>
  <c r="AB72" i="107"/>
  <c r="AC72" i="107" s="1"/>
  <c r="AE72" i="107" s="1"/>
  <c r="U72" i="107"/>
  <c r="V72" i="107" s="1"/>
  <c r="N72" i="107"/>
  <c r="AZ71" i="107"/>
  <c r="AY71" i="107"/>
  <c r="AQ71" i="107"/>
  <c r="AP71" i="107"/>
  <c r="U71" i="107"/>
  <c r="V71" i="107" s="1"/>
  <c r="N71" i="107"/>
  <c r="AZ70" i="107"/>
  <c r="AY70" i="107"/>
  <c r="AP70" i="107"/>
  <c r="AQ70" i="107" s="1"/>
  <c r="U70" i="107"/>
  <c r="V70" i="107" s="1"/>
  <c r="N70" i="107"/>
  <c r="AZ69" i="107"/>
  <c r="AY69" i="107"/>
  <c r="AQ69" i="107"/>
  <c r="AP69" i="107"/>
  <c r="AB69" i="107"/>
  <c r="AC69" i="107" s="1"/>
  <c r="AE69" i="107" s="1"/>
  <c r="V69" i="107"/>
  <c r="AL69" i="107" s="1"/>
  <c r="U69" i="107"/>
  <c r="N69" i="107"/>
  <c r="AZ68" i="107"/>
  <c r="AY68" i="107"/>
  <c r="AP68" i="107"/>
  <c r="AQ68" i="107" s="1"/>
  <c r="U68" i="107"/>
  <c r="V68" i="107" s="1"/>
  <c r="N68" i="107"/>
  <c r="AZ67" i="107"/>
  <c r="AY67" i="107"/>
  <c r="AQ67" i="107"/>
  <c r="AP67" i="107"/>
  <c r="AB67" i="107"/>
  <c r="AC67" i="107" s="1"/>
  <c r="AE67" i="107" s="1"/>
  <c r="V67" i="107"/>
  <c r="U67" i="107"/>
  <c r="N67" i="107"/>
  <c r="AZ66" i="107"/>
  <c r="AY66" i="107"/>
  <c r="AQ66" i="107"/>
  <c r="AP66" i="107"/>
  <c r="U66" i="107"/>
  <c r="V66" i="107" s="1"/>
  <c r="N66" i="107"/>
  <c r="AZ65" i="107"/>
  <c r="AY65" i="107"/>
  <c r="AQ65" i="107"/>
  <c r="AP65" i="107"/>
  <c r="AB65" i="107"/>
  <c r="AC65" i="107" s="1"/>
  <c r="AE65" i="107" s="1"/>
  <c r="U65" i="107"/>
  <c r="V65" i="107" s="1"/>
  <c r="N65" i="107"/>
  <c r="AZ64" i="107"/>
  <c r="AY64" i="107"/>
  <c r="AQ64" i="107"/>
  <c r="AP64" i="107"/>
  <c r="U64" i="107"/>
  <c r="V64" i="107" s="1"/>
  <c r="N64" i="107"/>
  <c r="AZ63" i="107"/>
  <c r="AY63" i="107"/>
  <c r="AQ63" i="107"/>
  <c r="AP63" i="107"/>
  <c r="U63" i="107"/>
  <c r="V63" i="107" s="1"/>
  <c r="N63" i="107"/>
  <c r="AZ62" i="107"/>
  <c r="AY62" i="107"/>
  <c r="AQ62" i="107"/>
  <c r="AP62" i="107"/>
  <c r="U62" i="107"/>
  <c r="V62" i="107" s="1"/>
  <c r="N62" i="107"/>
  <c r="AZ61" i="107"/>
  <c r="AY61" i="107"/>
  <c r="AQ61" i="107"/>
  <c r="AP61" i="107"/>
  <c r="AB61" i="107"/>
  <c r="AC61" i="107" s="1"/>
  <c r="AE61" i="107" s="1"/>
  <c r="U61" i="107"/>
  <c r="V61" i="107" s="1"/>
  <c r="N61" i="107"/>
  <c r="AZ60" i="107"/>
  <c r="AY60" i="107"/>
  <c r="AP60" i="107"/>
  <c r="AQ60" i="107" s="1"/>
  <c r="U60" i="107"/>
  <c r="V60" i="107" s="1"/>
  <c r="N60" i="107"/>
  <c r="AZ59" i="107"/>
  <c r="AY59" i="107"/>
  <c r="AQ59" i="107"/>
  <c r="AP59" i="107"/>
  <c r="V59" i="107"/>
  <c r="U59" i="107"/>
  <c r="N59" i="107"/>
  <c r="AZ58" i="107"/>
  <c r="AY58" i="107"/>
  <c r="AP58" i="107"/>
  <c r="AQ58" i="107" s="1"/>
  <c r="AB58" i="107"/>
  <c r="AC58" i="107" s="1"/>
  <c r="AE58" i="107" s="1"/>
  <c r="U58" i="107"/>
  <c r="V58" i="107" s="1"/>
  <c r="N58" i="107"/>
  <c r="AZ57" i="107"/>
  <c r="AY57" i="107"/>
  <c r="AP57" i="107"/>
  <c r="AQ57" i="107" s="1"/>
  <c r="AB57" i="107"/>
  <c r="AC57" i="107" s="1"/>
  <c r="AE57" i="107" s="1"/>
  <c r="V57" i="107"/>
  <c r="U57" i="107"/>
  <c r="N57" i="107"/>
  <c r="AZ56" i="107"/>
  <c r="AY56" i="107"/>
  <c r="AP56" i="107"/>
  <c r="AQ56" i="107" s="1"/>
  <c r="U56" i="107"/>
  <c r="V56" i="107" s="1"/>
  <c r="N56" i="107"/>
  <c r="AZ55" i="107"/>
  <c r="AY55" i="107"/>
  <c r="AP55" i="107"/>
  <c r="AQ55" i="107" s="1"/>
  <c r="AB55" i="107"/>
  <c r="AC55" i="107" s="1"/>
  <c r="AE55" i="107" s="1"/>
  <c r="V55" i="107"/>
  <c r="AL55" i="107" s="1"/>
  <c r="U55" i="107"/>
  <c r="N55" i="107"/>
  <c r="AZ54" i="107"/>
  <c r="AY54" i="107"/>
  <c r="AQ54" i="107"/>
  <c r="AP54" i="107"/>
  <c r="U54" i="107"/>
  <c r="V54" i="107" s="1"/>
  <c r="N54" i="107"/>
  <c r="AZ53" i="107"/>
  <c r="AY53" i="107"/>
  <c r="AP53" i="107"/>
  <c r="AQ53" i="107" s="1"/>
  <c r="U53" i="107"/>
  <c r="V53" i="107" s="1"/>
  <c r="N53" i="107"/>
  <c r="AZ52" i="107"/>
  <c r="AY52" i="107"/>
  <c r="AQ52" i="107"/>
  <c r="AP52" i="107"/>
  <c r="AB52" i="107"/>
  <c r="AC52" i="107" s="1"/>
  <c r="AE52" i="107" s="1"/>
  <c r="AH52" i="107" s="1"/>
  <c r="V52" i="107"/>
  <c r="AL52" i="107" s="1"/>
  <c r="U52" i="107"/>
  <c r="N52" i="107"/>
  <c r="AZ51" i="107"/>
  <c r="AY51" i="107"/>
  <c r="AQ51" i="107"/>
  <c r="AP51" i="107"/>
  <c r="AB51" i="107"/>
  <c r="AC51" i="107" s="1"/>
  <c r="AE51" i="107" s="1"/>
  <c r="AH51" i="107" s="1"/>
  <c r="U51" i="107"/>
  <c r="V51" i="107" s="1"/>
  <c r="N51" i="107"/>
  <c r="AZ50" i="107"/>
  <c r="AY50" i="107"/>
  <c r="AP50" i="107"/>
  <c r="AQ50" i="107" s="1"/>
  <c r="U50" i="107"/>
  <c r="V50" i="107" s="1"/>
  <c r="N50" i="107"/>
  <c r="AZ49" i="107"/>
  <c r="AY49" i="107"/>
  <c r="AQ49" i="107"/>
  <c r="AP49" i="107"/>
  <c r="AB49" i="107"/>
  <c r="AC49" i="107" s="1"/>
  <c r="AE49" i="107" s="1"/>
  <c r="V49" i="107"/>
  <c r="U49" i="107"/>
  <c r="N49" i="107"/>
  <c r="AZ48" i="107"/>
  <c r="AY48" i="107"/>
  <c r="AP48" i="107"/>
  <c r="AQ48" i="107" s="1"/>
  <c r="AB48" i="107"/>
  <c r="AC48" i="107" s="1"/>
  <c r="AE48" i="107" s="1"/>
  <c r="V48" i="107"/>
  <c r="U48" i="107"/>
  <c r="N48" i="107"/>
  <c r="AZ47" i="107"/>
  <c r="AY47" i="107"/>
  <c r="AP47" i="107"/>
  <c r="AQ47" i="107" s="1"/>
  <c r="V47" i="107"/>
  <c r="U47" i="107"/>
  <c r="N47" i="107"/>
  <c r="AZ45" i="107"/>
  <c r="AY45" i="107"/>
  <c r="AP45" i="107"/>
  <c r="AQ45" i="107" s="1"/>
  <c r="U45" i="107"/>
  <c r="V45" i="107" s="1"/>
  <c r="N45" i="107"/>
  <c r="AZ43" i="107"/>
  <c r="AY43" i="107"/>
  <c r="AP43" i="107"/>
  <c r="AQ43" i="107" s="1"/>
  <c r="AB43" i="107"/>
  <c r="AC43" i="107" s="1"/>
  <c r="AE43" i="107" s="1"/>
  <c r="U43" i="107"/>
  <c r="V43" i="107" s="1"/>
  <c r="N43" i="107"/>
  <c r="AZ41" i="107"/>
  <c r="AY41" i="107"/>
  <c r="AQ41" i="107"/>
  <c r="AP41" i="107"/>
  <c r="U41" i="107"/>
  <c r="V41" i="107" s="1"/>
  <c r="N41" i="107"/>
  <c r="AZ39" i="107"/>
  <c r="AY39" i="107"/>
  <c r="AP39" i="107"/>
  <c r="AQ39" i="107" s="1"/>
  <c r="U39" i="107"/>
  <c r="V39" i="107" s="1"/>
  <c r="N39" i="107"/>
  <c r="AZ37" i="107"/>
  <c r="AY37" i="107"/>
  <c r="AP37" i="107"/>
  <c r="AQ37" i="107" s="1"/>
  <c r="AB37" i="107"/>
  <c r="AC37" i="107" s="1"/>
  <c r="AE37" i="107" s="1"/>
  <c r="U37" i="107"/>
  <c r="V37" i="107" s="1"/>
  <c r="N37" i="107"/>
  <c r="AZ35" i="107"/>
  <c r="AY35" i="107"/>
  <c r="AQ35" i="107"/>
  <c r="AP35" i="107"/>
  <c r="U35" i="107"/>
  <c r="V35" i="107" s="1"/>
  <c r="N35" i="107"/>
  <c r="AZ33" i="107"/>
  <c r="AY33" i="107"/>
  <c r="AP33" i="107"/>
  <c r="AQ33" i="107" s="1"/>
  <c r="U33" i="107"/>
  <c r="V33" i="107" s="1"/>
  <c r="N33" i="107"/>
  <c r="AZ31" i="107"/>
  <c r="AY31" i="107"/>
  <c r="AQ31" i="107"/>
  <c r="AP31" i="107"/>
  <c r="AB31" i="107"/>
  <c r="AC31" i="107" s="1"/>
  <c r="AE31" i="107" s="1"/>
  <c r="U31" i="107"/>
  <c r="V31" i="107" s="1"/>
  <c r="N31" i="107"/>
  <c r="AZ30" i="107"/>
  <c r="AY30" i="107"/>
  <c r="AP30" i="107"/>
  <c r="AQ30" i="107" s="1"/>
  <c r="U30" i="107"/>
  <c r="V30" i="107" s="1"/>
  <c r="N30" i="107"/>
  <c r="AZ29" i="107"/>
  <c r="N29" i="107"/>
  <c r="AZ28" i="107"/>
  <c r="AY28" i="107"/>
  <c r="AQ28" i="107"/>
  <c r="AP28" i="107"/>
  <c r="AB28" i="107"/>
  <c r="AC28" i="107" s="1"/>
  <c r="AE28" i="107" s="1"/>
  <c r="U28" i="107"/>
  <c r="V28" i="107" s="1"/>
  <c r="N28" i="107"/>
  <c r="AZ27" i="107"/>
  <c r="N27" i="107"/>
  <c r="AZ26" i="107"/>
  <c r="AY26" i="107"/>
  <c r="AP26" i="107"/>
  <c r="AQ26" i="107" s="1"/>
  <c r="U26" i="107"/>
  <c r="V26" i="107" s="1"/>
  <c r="N26" i="107"/>
  <c r="AZ25" i="107"/>
  <c r="N25" i="107"/>
  <c r="AZ24" i="107"/>
  <c r="AY24" i="107"/>
  <c r="AQ24" i="107"/>
  <c r="AP24" i="107"/>
  <c r="U24" i="107"/>
  <c r="V24" i="107" s="1"/>
  <c r="N24" i="107"/>
  <c r="AZ23" i="107"/>
  <c r="N23" i="107"/>
  <c r="AZ22" i="107"/>
  <c r="AY22" i="107"/>
  <c r="AQ22" i="107"/>
  <c r="AP22" i="107"/>
  <c r="U22" i="107"/>
  <c r="V22" i="107" s="1"/>
  <c r="N22" i="107"/>
  <c r="AZ21" i="107"/>
  <c r="N21" i="107"/>
  <c r="AZ20" i="107"/>
  <c r="AY20" i="107"/>
  <c r="AP20" i="107"/>
  <c r="AQ20" i="107" s="1"/>
  <c r="AB20" i="107"/>
  <c r="AC20" i="107" s="1"/>
  <c r="AE20" i="107" s="1"/>
  <c r="U20" i="107"/>
  <c r="V20" i="107" s="1"/>
  <c r="N20" i="107"/>
  <c r="AZ19" i="107"/>
  <c r="N19" i="107"/>
  <c r="AZ18" i="107"/>
  <c r="AY18" i="107"/>
  <c r="AP18" i="107"/>
  <c r="AQ18" i="107" s="1"/>
  <c r="U18" i="107"/>
  <c r="V18" i="107" s="1"/>
  <c r="N18" i="107"/>
  <c r="AZ17" i="107"/>
  <c r="N17" i="107"/>
  <c r="AZ16" i="107"/>
  <c r="AY16" i="107"/>
  <c r="AP16" i="107"/>
  <c r="AQ16" i="107" s="1"/>
  <c r="AB16" i="107"/>
  <c r="AC16" i="107" s="1"/>
  <c r="AE16" i="107" s="1"/>
  <c r="U16" i="107"/>
  <c r="V16" i="107" s="1"/>
  <c r="N16" i="107"/>
  <c r="AZ15" i="107"/>
  <c r="AY15" i="107"/>
  <c r="AP15" i="107"/>
  <c r="AQ15" i="107" s="1"/>
  <c r="U15" i="107"/>
  <c r="V15" i="107" s="1"/>
  <c r="N15" i="107"/>
  <c r="AZ14" i="107"/>
  <c r="N14" i="107"/>
  <c r="AZ13" i="107"/>
  <c r="AY13" i="107"/>
  <c r="AP13" i="107"/>
  <c r="AQ13" i="107" s="1"/>
  <c r="U13" i="107"/>
  <c r="V13" i="107" s="1"/>
  <c r="N13" i="107"/>
  <c r="AZ11" i="107"/>
  <c r="AY11" i="107"/>
  <c r="AP11" i="107"/>
  <c r="AQ11" i="107" s="1"/>
  <c r="AB11" i="107"/>
  <c r="AC11" i="107" s="1"/>
  <c r="AE11" i="107" s="1"/>
  <c r="U11" i="107"/>
  <c r="V11" i="107" s="1"/>
  <c r="N11" i="107"/>
  <c r="AZ10" i="107"/>
  <c r="N10" i="107"/>
  <c r="AZ9" i="107"/>
  <c r="AY9" i="107"/>
  <c r="AQ9" i="107"/>
  <c r="AP9" i="107"/>
  <c r="AB9" i="107"/>
  <c r="AC9" i="107" s="1"/>
  <c r="AE9" i="107" s="1"/>
  <c r="U9" i="107"/>
  <c r="V9" i="107" s="1"/>
  <c r="N9" i="107"/>
  <c r="AZ8" i="107"/>
  <c r="N8" i="107"/>
  <c r="AZ7" i="107"/>
  <c r="AY7" i="107"/>
  <c r="AP7" i="107"/>
  <c r="AQ7" i="107" s="1"/>
  <c r="U7" i="107"/>
  <c r="V7" i="107" s="1"/>
  <c r="N7" i="107"/>
  <c r="AZ6" i="107"/>
  <c r="N6" i="107"/>
  <c r="AZ5" i="107"/>
  <c r="AY5" i="107"/>
  <c r="AP5" i="107"/>
  <c r="AQ5" i="107" s="1"/>
  <c r="U5" i="107"/>
  <c r="V5" i="107" s="1"/>
  <c r="N5" i="107"/>
  <c r="AU2" i="107"/>
  <c r="AA2" i="107"/>
  <c r="Y2" i="107"/>
  <c r="I2" i="107"/>
  <c r="AB146" i="107" s="1"/>
  <c r="AC146" i="107" s="1"/>
  <c r="AE146" i="107" s="1"/>
  <c r="AG1" i="107"/>
  <c r="AL43" i="107" l="1"/>
  <c r="AL31" i="107"/>
  <c r="AL61" i="107"/>
  <c r="AL11" i="107"/>
  <c r="AH81" i="107"/>
  <c r="AB62" i="107"/>
  <c r="AC62" i="107" s="1"/>
  <c r="AE62" i="107" s="1"/>
  <c r="AL62" i="107" s="1"/>
  <c r="AB71" i="107"/>
  <c r="AC71" i="107" s="1"/>
  <c r="AE71" i="107" s="1"/>
  <c r="AL71" i="107" s="1"/>
  <c r="AB77" i="107"/>
  <c r="AC77" i="107" s="1"/>
  <c r="AE77" i="107" s="1"/>
  <c r="AB13" i="107"/>
  <c r="AC13" i="107" s="1"/>
  <c r="AE13" i="107" s="1"/>
  <c r="AL13" i="107" s="1"/>
  <c r="AB30" i="107"/>
  <c r="AC30" i="107" s="1"/>
  <c r="AE30" i="107" s="1"/>
  <c r="AH30" i="107" s="1"/>
  <c r="AB35" i="107"/>
  <c r="AC35" i="107" s="1"/>
  <c r="AE35" i="107" s="1"/>
  <c r="AH35" i="107" s="1"/>
  <c r="AM35" i="107" s="1"/>
  <c r="AB47" i="107"/>
  <c r="AC47" i="107" s="1"/>
  <c r="AE47" i="107" s="1"/>
  <c r="AL47" i="107" s="1"/>
  <c r="AB59" i="107"/>
  <c r="AC59" i="107" s="1"/>
  <c r="AE59" i="107" s="1"/>
  <c r="AL59" i="107" s="1"/>
  <c r="AB68" i="107"/>
  <c r="AC68" i="107" s="1"/>
  <c r="AE68" i="107" s="1"/>
  <c r="AL68" i="107" s="1"/>
  <c r="AB125" i="107"/>
  <c r="AC125" i="107" s="1"/>
  <c r="AE125" i="107" s="1"/>
  <c r="AH125" i="107" s="1"/>
  <c r="AH31" i="107"/>
  <c r="AN31" i="107" s="1"/>
  <c r="AB22" i="107"/>
  <c r="AC22" i="107" s="1"/>
  <c r="AE22" i="107" s="1"/>
  <c r="AH22" i="107" s="1"/>
  <c r="AB122" i="107"/>
  <c r="AC122" i="107" s="1"/>
  <c r="AE122" i="107" s="1"/>
  <c r="AH122" i="107" s="1"/>
  <c r="AB89" i="107"/>
  <c r="AC89" i="107" s="1"/>
  <c r="AE89" i="107" s="1"/>
  <c r="AH89" i="107" s="1"/>
  <c r="AM89" i="107" s="1"/>
  <c r="AB95" i="107"/>
  <c r="AC95" i="107" s="1"/>
  <c r="AE95" i="107" s="1"/>
  <c r="AB119" i="107"/>
  <c r="AC119" i="107" s="1"/>
  <c r="AE119" i="107" s="1"/>
  <c r="AB135" i="107"/>
  <c r="AC135" i="107" s="1"/>
  <c r="AE135" i="107" s="1"/>
  <c r="AL75" i="107"/>
  <c r="AH75" i="107"/>
  <c r="AL132" i="107"/>
  <c r="AH132" i="107"/>
  <c r="AH72" i="107"/>
  <c r="AL72" i="107"/>
  <c r="AH37" i="107"/>
  <c r="AL37" i="107"/>
  <c r="AL123" i="107"/>
  <c r="AN51" i="107"/>
  <c r="AM51" i="107"/>
  <c r="AH102" i="107"/>
  <c r="AL102" i="107"/>
  <c r="AM99" i="107"/>
  <c r="AN99" i="107"/>
  <c r="AL20" i="107"/>
  <c r="AH20" i="107"/>
  <c r="AL58" i="107"/>
  <c r="AH58" i="107"/>
  <c r="AL79" i="107"/>
  <c r="AH79" i="107"/>
  <c r="AL16" i="107"/>
  <c r="AH16" i="107"/>
  <c r="AL49" i="107"/>
  <c r="AH49" i="107"/>
  <c r="AM52" i="107"/>
  <c r="AN52" i="107"/>
  <c r="AL91" i="107"/>
  <c r="AH65" i="107"/>
  <c r="AL65" i="107"/>
  <c r="AL146" i="107"/>
  <c r="AH146" i="107"/>
  <c r="AL95" i="107"/>
  <c r="AH95" i="107"/>
  <c r="AH92" i="107"/>
  <c r="AL92" i="107"/>
  <c r="AL127" i="107"/>
  <c r="AH127" i="107"/>
  <c r="AL144" i="107"/>
  <c r="AH61" i="107"/>
  <c r="AL118" i="107"/>
  <c r="AH118" i="107"/>
  <c r="AL147" i="107"/>
  <c r="AH147" i="107"/>
  <c r="AL51" i="107"/>
  <c r="AL57" i="107"/>
  <c r="AH57" i="107"/>
  <c r="AL67" i="107"/>
  <c r="AH67" i="107"/>
  <c r="AH69" i="107"/>
  <c r="AL90" i="107"/>
  <c r="AH90" i="107"/>
  <c r="AL137" i="107"/>
  <c r="AH137" i="107"/>
  <c r="AL142" i="107"/>
  <c r="AH142" i="107"/>
  <c r="AL77" i="107"/>
  <c r="AH77" i="107"/>
  <c r="AL88" i="107"/>
  <c r="AH88" i="107"/>
  <c r="AL107" i="107"/>
  <c r="AH107" i="107"/>
  <c r="AL48" i="107"/>
  <c r="AH48" i="107"/>
  <c r="AH82" i="107"/>
  <c r="AL135" i="107"/>
  <c r="AH135" i="107"/>
  <c r="AL145" i="107"/>
  <c r="AH145" i="107"/>
  <c r="AH55" i="107"/>
  <c r="AL98" i="107"/>
  <c r="AH98" i="107"/>
  <c r="AH109" i="107"/>
  <c r="AL9" i="107"/>
  <c r="AH9" i="107"/>
  <c r="AL105" i="107"/>
  <c r="AH105" i="107"/>
  <c r="AL78" i="107"/>
  <c r="AH78" i="107"/>
  <c r="AH112" i="107"/>
  <c r="AL128" i="107"/>
  <c r="AH128" i="107"/>
  <c r="AH119" i="107"/>
  <c r="AH148" i="107"/>
  <c r="AL97" i="107"/>
  <c r="AH97" i="107"/>
  <c r="AH93" i="107"/>
  <c r="AL110" i="107"/>
  <c r="AH110" i="107"/>
  <c r="AH28" i="107"/>
  <c r="AL28" i="107"/>
  <c r="AH91" i="107"/>
  <c r="AL117" i="107"/>
  <c r="AH117" i="107"/>
  <c r="AL119" i="107"/>
  <c r="AL108" i="107"/>
  <c r="AH108" i="107"/>
  <c r="AL115" i="107"/>
  <c r="AH115" i="107"/>
  <c r="AH129" i="107"/>
  <c r="AN81" i="107"/>
  <c r="AM81" i="107"/>
  <c r="AH139" i="107"/>
  <c r="AH11" i="107"/>
  <c r="AH43" i="107"/>
  <c r="AL85" i="107"/>
  <c r="AH85" i="107"/>
  <c r="AL87" i="107"/>
  <c r="AH87" i="107"/>
  <c r="AH141" i="107"/>
  <c r="AL149" i="107"/>
  <c r="AH149" i="107"/>
  <c r="AB128" i="107"/>
  <c r="AC128" i="107" s="1"/>
  <c r="AE128" i="107" s="1"/>
  <c r="AB138" i="107"/>
  <c r="AC138" i="107" s="1"/>
  <c r="AE138" i="107" s="1"/>
  <c r="AL138" i="107" s="1"/>
  <c r="AB148" i="107"/>
  <c r="AC148" i="107" s="1"/>
  <c r="AE148" i="107" s="1"/>
  <c r="AL148" i="107" s="1"/>
  <c r="AB91" i="107"/>
  <c r="AC91" i="107" s="1"/>
  <c r="AE91" i="107" s="1"/>
  <c r="AB101" i="107"/>
  <c r="AC101" i="107" s="1"/>
  <c r="AE101" i="107" s="1"/>
  <c r="AB111" i="107"/>
  <c r="AC111" i="107" s="1"/>
  <c r="AE111" i="107" s="1"/>
  <c r="AL111" i="107" s="1"/>
  <c r="AB121" i="107"/>
  <c r="AC121" i="107" s="1"/>
  <c r="AE121" i="107" s="1"/>
  <c r="AB131" i="107"/>
  <c r="AC131" i="107" s="1"/>
  <c r="AE131" i="107" s="1"/>
  <c r="AL131" i="107" s="1"/>
  <c r="AB141" i="107"/>
  <c r="AC141" i="107" s="1"/>
  <c r="AE141" i="107" s="1"/>
  <c r="AL141" i="107" s="1"/>
  <c r="AB151" i="107"/>
  <c r="AC151" i="107" s="1"/>
  <c r="AE151" i="107" s="1"/>
  <c r="AL151" i="107" s="1"/>
  <c r="AB18" i="107"/>
  <c r="AC18" i="107" s="1"/>
  <c r="AE18" i="107" s="1"/>
  <c r="AL18" i="107" s="1"/>
  <c r="AB41" i="107"/>
  <c r="AC41" i="107" s="1"/>
  <c r="AE41" i="107" s="1"/>
  <c r="AH41" i="107" s="1"/>
  <c r="AB54" i="107"/>
  <c r="AC54" i="107" s="1"/>
  <c r="AE54" i="107" s="1"/>
  <c r="AH54" i="107" s="1"/>
  <c r="AB64" i="107"/>
  <c r="AC64" i="107" s="1"/>
  <c r="AE64" i="107" s="1"/>
  <c r="AL64" i="107" s="1"/>
  <c r="AB74" i="107"/>
  <c r="AC74" i="107" s="1"/>
  <c r="AE74" i="107" s="1"/>
  <c r="AH74" i="107" s="1"/>
  <c r="AB84" i="107"/>
  <c r="AC84" i="107" s="1"/>
  <c r="AE84" i="107" s="1"/>
  <c r="AL84" i="107" s="1"/>
  <c r="AB94" i="107"/>
  <c r="AC94" i="107" s="1"/>
  <c r="AE94" i="107" s="1"/>
  <c r="AH94" i="107" s="1"/>
  <c r="AB104" i="107"/>
  <c r="AC104" i="107" s="1"/>
  <c r="AE104" i="107" s="1"/>
  <c r="AL104" i="107" s="1"/>
  <c r="AB114" i="107"/>
  <c r="AC114" i="107" s="1"/>
  <c r="AE114" i="107" s="1"/>
  <c r="AL114" i="107" s="1"/>
  <c r="AB124" i="107"/>
  <c r="AC124" i="107" s="1"/>
  <c r="AE124" i="107" s="1"/>
  <c r="AL124" i="107" s="1"/>
  <c r="AB134" i="107"/>
  <c r="AC134" i="107" s="1"/>
  <c r="AE134" i="107" s="1"/>
  <c r="AH134" i="107" s="1"/>
  <c r="AB144" i="107"/>
  <c r="AC144" i="107" s="1"/>
  <c r="AE144" i="107" s="1"/>
  <c r="AH144" i="107" s="1"/>
  <c r="AB26" i="107"/>
  <c r="AC26" i="107" s="1"/>
  <c r="AE26" i="107" s="1"/>
  <c r="AL26" i="107" s="1"/>
  <c r="AB33" i="107"/>
  <c r="AC33" i="107" s="1"/>
  <c r="AE33" i="107" s="1"/>
  <c r="AL33" i="107" s="1"/>
  <c r="AB90" i="107"/>
  <c r="AC90" i="107" s="1"/>
  <c r="AE90" i="107" s="1"/>
  <c r="AB100" i="107"/>
  <c r="AC100" i="107" s="1"/>
  <c r="AE100" i="107" s="1"/>
  <c r="AH100" i="107" s="1"/>
  <c r="AB110" i="107"/>
  <c r="AC110" i="107" s="1"/>
  <c r="AE110" i="107" s="1"/>
  <c r="AB120" i="107"/>
  <c r="AC120" i="107" s="1"/>
  <c r="AE120" i="107" s="1"/>
  <c r="AL120" i="107" s="1"/>
  <c r="AB130" i="107"/>
  <c r="AC130" i="107" s="1"/>
  <c r="AE130" i="107" s="1"/>
  <c r="AH130" i="107" s="1"/>
  <c r="AB140" i="107"/>
  <c r="AC140" i="107" s="1"/>
  <c r="AE140" i="107" s="1"/>
  <c r="AL140" i="107" s="1"/>
  <c r="AB150" i="107"/>
  <c r="AC150" i="107" s="1"/>
  <c r="AE150" i="107" s="1"/>
  <c r="AH150" i="107" s="1"/>
  <c r="AB50" i="107"/>
  <c r="AC50" i="107" s="1"/>
  <c r="AE50" i="107" s="1"/>
  <c r="AL50" i="107" s="1"/>
  <c r="AB80" i="107"/>
  <c r="AC80" i="107" s="1"/>
  <c r="AE80" i="107" s="1"/>
  <c r="AL80" i="107" s="1"/>
  <c r="AB60" i="107"/>
  <c r="AC60" i="107" s="1"/>
  <c r="AE60" i="107" s="1"/>
  <c r="AL60" i="107" s="1"/>
  <c r="AB70" i="107"/>
  <c r="AC70" i="107" s="1"/>
  <c r="AE70" i="107" s="1"/>
  <c r="AL70" i="107" s="1"/>
  <c r="AB39" i="107"/>
  <c r="AC39" i="107" s="1"/>
  <c r="AE39" i="107" s="1"/>
  <c r="AL39" i="107" s="1"/>
  <c r="AB53" i="107"/>
  <c r="AC53" i="107" s="1"/>
  <c r="AE53" i="107" s="1"/>
  <c r="AH53" i="107" s="1"/>
  <c r="AB63" i="107"/>
  <c r="AC63" i="107" s="1"/>
  <c r="AE63" i="107" s="1"/>
  <c r="AH63" i="107" s="1"/>
  <c r="AB73" i="107"/>
  <c r="AC73" i="107" s="1"/>
  <c r="AE73" i="107" s="1"/>
  <c r="AL73" i="107" s="1"/>
  <c r="AB83" i="107"/>
  <c r="AC83" i="107" s="1"/>
  <c r="AE83" i="107" s="1"/>
  <c r="AL83" i="107" s="1"/>
  <c r="AB93" i="107"/>
  <c r="AC93" i="107" s="1"/>
  <c r="AE93" i="107" s="1"/>
  <c r="AL93" i="107" s="1"/>
  <c r="AB103" i="107"/>
  <c r="AC103" i="107" s="1"/>
  <c r="AE103" i="107" s="1"/>
  <c r="AB113" i="107"/>
  <c r="AC113" i="107" s="1"/>
  <c r="AE113" i="107" s="1"/>
  <c r="AL113" i="107" s="1"/>
  <c r="AB123" i="107"/>
  <c r="AC123" i="107" s="1"/>
  <c r="AE123" i="107" s="1"/>
  <c r="AH123" i="107" s="1"/>
  <c r="AB133" i="107"/>
  <c r="AC133" i="107" s="1"/>
  <c r="AE133" i="107" s="1"/>
  <c r="AL133" i="107" s="1"/>
  <c r="AB143" i="107"/>
  <c r="AC143" i="107" s="1"/>
  <c r="AE143" i="107" s="1"/>
  <c r="AL143" i="107" s="1"/>
  <c r="AB5" i="107"/>
  <c r="AC5" i="107" s="1"/>
  <c r="AE5" i="107" s="1"/>
  <c r="AL5" i="107" s="1"/>
  <c r="AB15" i="107"/>
  <c r="AC15" i="107" s="1"/>
  <c r="AE15" i="107" s="1"/>
  <c r="AB7" i="107"/>
  <c r="AC7" i="107" s="1"/>
  <c r="AE7" i="107" s="1"/>
  <c r="AL7" i="107" s="1"/>
  <c r="AB24" i="107"/>
  <c r="AC24" i="107" s="1"/>
  <c r="AE24" i="107" s="1"/>
  <c r="AB45" i="107"/>
  <c r="AC45" i="107" s="1"/>
  <c r="AE45" i="107" s="1"/>
  <c r="AB56" i="107"/>
  <c r="AC56" i="107" s="1"/>
  <c r="AE56" i="107" s="1"/>
  <c r="AL56" i="107" s="1"/>
  <c r="AB66" i="107"/>
  <c r="AC66" i="107" s="1"/>
  <c r="AE66" i="107" s="1"/>
  <c r="AL66" i="107" s="1"/>
  <c r="AB76" i="107"/>
  <c r="AC76" i="107" s="1"/>
  <c r="AE76" i="107" s="1"/>
  <c r="AB86" i="107"/>
  <c r="AC86" i="107" s="1"/>
  <c r="AE86" i="107" s="1"/>
  <c r="AL86" i="107" s="1"/>
  <c r="AB96" i="107"/>
  <c r="AC96" i="107" s="1"/>
  <c r="AE96" i="107" s="1"/>
  <c r="AL96" i="107" s="1"/>
  <c r="AB106" i="107"/>
  <c r="AC106" i="107" s="1"/>
  <c r="AE106" i="107" s="1"/>
  <c r="AL106" i="107" s="1"/>
  <c r="AB116" i="107"/>
  <c r="AC116" i="107" s="1"/>
  <c r="AE116" i="107" s="1"/>
  <c r="AL116" i="107" s="1"/>
  <c r="AB126" i="107"/>
  <c r="AC126" i="107" s="1"/>
  <c r="AE126" i="107" s="1"/>
  <c r="AH126" i="107" s="1"/>
  <c r="AB136" i="107"/>
  <c r="AC136" i="107" s="1"/>
  <c r="AE136" i="107" s="1"/>
  <c r="AH33" i="107" l="1"/>
  <c r="AN33" i="107" s="1"/>
  <c r="AH18" i="107"/>
  <c r="AM18" i="107" s="1"/>
  <c r="AH5" i="107"/>
  <c r="AM5" i="107" s="1"/>
  <c r="AH59" i="107"/>
  <c r="AL22" i="107"/>
  <c r="AL150" i="107"/>
  <c r="AM31" i="107"/>
  <c r="AL122" i="107"/>
  <c r="AL130" i="107"/>
  <c r="AN89" i="107"/>
  <c r="AL125" i="107"/>
  <c r="AH13" i="107"/>
  <c r="AN13" i="107" s="1"/>
  <c r="AH47" i="107"/>
  <c r="AN47" i="107" s="1"/>
  <c r="AL30" i="107"/>
  <c r="AH111" i="107"/>
  <c r="AH62" i="107"/>
  <c r="AM62" i="107" s="1"/>
  <c r="AL35" i="107"/>
  <c r="AN35" i="107"/>
  <c r="AH151" i="107"/>
  <c r="AM151" i="107" s="1"/>
  <c r="AH68" i="107"/>
  <c r="AM68" i="107" s="1"/>
  <c r="AH26" i="107"/>
  <c r="AM26" i="107" s="1"/>
  <c r="AH71" i="107"/>
  <c r="AN71" i="107" s="1"/>
  <c r="AH116" i="107"/>
  <c r="AM116" i="107" s="1"/>
  <c r="AH66" i="107"/>
  <c r="AN66" i="107" s="1"/>
  <c r="AH138" i="107"/>
  <c r="AL89" i="107"/>
  <c r="AH7" i="107"/>
  <c r="AH56" i="107"/>
  <c r="AN134" i="107"/>
  <c r="AM134" i="107"/>
  <c r="AM126" i="107"/>
  <c r="AN126" i="107"/>
  <c r="AN53" i="107"/>
  <c r="AM53" i="107"/>
  <c r="AN94" i="107"/>
  <c r="AM94" i="107"/>
  <c r="AN74" i="107"/>
  <c r="AM74" i="107"/>
  <c r="AN54" i="107"/>
  <c r="AM54" i="107"/>
  <c r="AN41" i="107"/>
  <c r="AM41" i="107"/>
  <c r="AN100" i="107"/>
  <c r="AM100" i="107"/>
  <c r="AN123" i="107"/>
  <c r="AM123" i="107"/>
  <c r="AN145" i="107"/>
  <c r="AM145" i="107"/>
  <c r="AN90" i="107"/>
  <c r="AM90" i="107"/>
  <c r="AN148" i="107"/>
  <c r="AM148" i="107"/>
  <c r="AM22" i="107"/>
  <c r="AN22" i="107"/>
  <c r="AN58" i="107"/>
  <c r="AM58" i="107"/>
  <c r="AN7" i="107"/>
  <c r="AM7" i="107"/>
  <c r="AN125" i="107"/>
  <c r="AM125" i="107"/>
  <c r="AM79" i="107"/>
  <c r="AN79" i="107"/>
  <c r="AN150" i="107"/>
  <c r="AM150" i="107"/>
  <c r="AM20" i="107"/>
  <c r="AN20" i="107"/>
  <c r="AN110" i="107"/>
  <c r="AM110" i="107"/>
  <c r="AH84" i="107"/>
  <c r="AN59" i="107"/>
  <c r="AM59" i="107"/>
  <c r="AN57" i="107"/>
  <c r="AM57" i="107"/>
  <c r="AN127" i="107"/>
  <c r="AM127" i="107"/>
  <c r="AH131" i="107"/>
  <c r="AN91" i="107"/>
  <c r="AM91" i="107"/>
  <c r="AL53" i="107"/>
  <c r="AH104" i="107"/>
  <c r="AN43" i="107"/>
  <c r="AM43" i="107"/>
  <c r="AH70" i="107"/>
  <c r="AN112" i="107"/>
  <c r="AM112" i="107"/>
  <c r="AN82" i="107"/>
  <c r="AM82" i="107"/>
  <c r="AN30" i="107"/>
  <c r="AM30" i="107"/>
  <c r="AH143" i="107"/>
  <c r="AN149" i="107"/>
  <c r="AM149" i="107"/>
  <c r="AN97" i="107"/>
  <c r="AM97" i="107"/>
  <c r="AN61" i="107"/>
  <c r="AM61" i="107"/>
  <c r="AN93" i="107"/>
  <c r="AM93" i="107"/>
  <c r="AM11" i="107"/>
  <c r="AN11" i="107"/>
  <c r="AH50" i="107"/>
  <c r="AM78" i="107"/>
  <c r="AN78" i="107"/>
  <c r="AN48" i="107"/>
  <c r="AM48" i="107"/>
  <c r="AN65" i="107"/>
  <c r="AM65" i="107"/>
  <c r="AL136" i="107"/>
  <c r="AH136" i="107"/>
  <c r="AN77" i="107"/>
  <c r="AM77" i="107"/>
  <c r="AM69" i="107"/>
  <c r="AN69" i="107"/>
  <c r="AN67" i="107"/>
  <c r="AM67" i="107"/>
  <c r="AN142" i="107"/>
  <c r="AM142" i="107"/>
  <c r="AL54" i="107"/>
  <c r="AH64" i="107"/>
  <c r="AL94" i="107"/>
  <c r="AH120" i="107"/>
  <c r="AN92" i="107"/>
  <c r="AM92" i="107"/>
  <c r="AN72" i="107"/>
  <c r="AM72" i="107"/>
  <c r="AH73" i="107"/>
  <c r="AL76" i="107"/>
  <c r="AH76" i="107"/>
  <c r="AH140" i="107"/>
  <c r="AN105" i="107"/>
  <c r="AM105" i="107"/>
  <c r="AL41" i="107"/>
  <c r="AH83" i="107"/>
  <c r="AN135" i="107"/>
  <c r="AM135" i="107"/>
  <c r="AN87" i="107"/>
  <c r="AM87" i="107"/>
  <c r="AN130" i="107"/>
  <c r="AM130" i="107"/>
  <c r="AH114" i="107"/>
  <c r="AN119" i="107"/>
  <c r="AM119" i="107"/>
  <c r="AN85" i="107"/>
  <c r="AM85" i="107"/>
  <c r="AH45" i="107"/>
  <c r="AL45" i="107"/>
  <c r="AH121" i="107"/>
  <c r="AL121" i="107"/>
  <c r="AH80" i="107"/>
  <c r="AH60" i="107"/>
  <c r="AN147" i="107"/>
  <c r="AM147" i="107"/>
  <c r="AH133" i="107"/>
  <c r="AN56" i="107"/>
  <c r="AM56" i="107"/>
  <c r="AN28" i="107"/>
  <c r="AM28" i="107"/>
  <c r="AH86" i="107"/>
  <c r="AM128" i="107"/>
  <c r="AN128" i="107"/>
  <c r="AN108" i="107"/>
  <c r="AM108" i="107"/>
  <c r="AL15" i="107"/>
  <c r="AH15" i="107"/>
  <c r="AN132" i="107"/>
  <c r="AM132" i="107"/>
  <c r="AH101" i="107"/>
  <c r="AL101" i="107"/>
  <c r="AH124" i="107"/>
  <c r="AM109" i="107"/>
  <c r="AN109" i="107"/>
  <c r="AN107" i="107"/>
  <c r="AM107" i="107"/>
  <c r="AL100" i="107"/>
  <c r="AN118" i="107"/>
  <c r="AM118" i="107"/>
  <c r="AH106" i="107"/>
  <c r="AN102" i="107"/>
  <c r="AM102" i="107"/>
  <c r="AL126" i="107"/>
  <c r="AN63" i="107"/>
  <c r="AM63" i="107"/>
  <c r="AH96" i="107"/>
  <c r="AL74" i="107"/>
  <c r="AN49" i="107"/>
  <c r="AM49" i="107"/>
  <c r="AN139" i="107"/>
  <c r="AM139" i="107"/>
  <c r="AM98" i="107"/>
  <c r="AN98" i="107"/>
  <c r="AN137" i="107"/>
  <c r="AM137" i="107"/>
  <c r="AN146" i="107"/>
  <c r="AM146" i="107"/>
  <c r="AH39" i="107"/>
  <c r="AN75" i="107"/>
  <c r="AM75" i="107"/>
  <c r="AM66" i="107"/>
  <c r="AL63" i="107"/>
  <c r="AN144" i="107"/>
  <c r="AM144" i="107"/>
  <c r="AL24" i="107"/>
  <c r="AH24" i="107"/>
  <c r="AN9" i="107"/>
  <c r="AM9" i="107"/>
  <c r="AL103" i="107"/>
  <c r="AH103" i="107"/>
  <c r="AN117" i="107"/>
  <c r="AM117" i="107"/>
  <c r="AN88" i="107"/>
  <c r="AM88" i="107"/>
  <c r="AL134" i="107"/>
  <c r="AM16" i="107"/>
  <c r="AN16" i="107"/>
  <c r="AM111" i="107"/>
  <c r="AN111" i="107"/>
  <c r="AM141" i="107"/>
  <c r="AN141" i="107"/>
  <c r="AM37" i="107"/>
  <c r="AN37" i="107"/>
  <c r="AN115" i="107"/>
  <c r="AM115" i="107"/>
  <c r="AN138" i="107"/>
  <c r="AM138" i="107"/>
  <c r="AN95" i="107"/>
  <c r="AM95" i="107"/>
  <c r="AN129" i="107"/>
  <c r="AM129" i="107"/>
  <c r="AN55" i="107"/>
  <c r="AM55" i="107"/>
  <c r="AN122" i="107"/>
  <c r="AM122" i="107"/>
  <c r="AH113" i="107"/>
  <c r="AM33" i="107" l="1"/>
  <c r="AN18" i="107"/>
  <c r="AN5" i="107"/>
  <c r="AM47" i="107"/>
  <c r="AN26" i="107"/>
  <c r="AM71" i="107"/>
  <c r="AN151" i="107"/>
  <c r="AN116" i="107"/>
  <c r="AN68" i="107"/>
  <c r="AN62" i="107"/>
  <c r="AM13" i="107"/>
  <c r="AN133" i="107"/>
  <c r="AM133" i="107"/>
  <c r="AN103" i="107"/>
  <c r="AM103" i="107"/>
  <c r="AM131" i="107"/>
  <c r="AN131" i="107"/>
  <c r="AM101" i="107"/>
  <c r="AN101" i="107"/>
  <c r="AM80" i="107"/>
  <c r="AN80" i="107"/>
  <c r="AN24" i="107"/>
  <c r="AM24" i="107"/>
  <c r="AM73" i="107"/>
  <c r="AN73" i="107"/>
  <c r="AN60" i="107"/>
  <c r="AM60" i="107"/>
  <c r="AN143" i="107"/>
  <c r="AM143" i="107"/>
  <c r="AM39" i="107"/>
  <c r="AN39" i="107"/>
  <c r="AN120" i="107"/>
  <c r="AM120" i="107"/>
  <c r="AM50" i="107"/>
  <c r="AN50" i="107"/>
  <c r="AN70" i="107"/>
  <c r="AM70" i="107"/>
  <c r="AM140" i="107"/>
  <c r="AN140" i="107"/>
  <c r="AM45" i="107"/>
  <c r="AN45" i="107"/>
  <c r="AN114" i="107"/>
  <c r="AM114" i="107"/>
  <c r="AM83" i="107"/>
  <c r="AN83" i="107"/>
  <c r="AM96" i="107"/>
  <c r="AN96" i="107"/>
  <c r="AN84" i="107"/>
  <c r="AM84" i="107"/>
  <c r="AN64" i="107"/>
  <c r="AM64" i="107"/>
  <c r="AN124" i="107"/>
  <c r="AM124" i="107"/>
  <c r="AM136" i="107"/>
  <c r="AN136" i="107"/>
  <c r="AN121" i="107"/>
  <c r="AM121" i="107"/>
  <c r="AM113" i="107"/>
  <c r="AN113" i="107"/>
  <c r="AM106" i="107"/>
  <c r="AN106" i="107"/>
  <c r="AM86" i="107"/>
  <c r="AN86" i="107"/>
  <c r="AN104" i="107"/>
  <c r="AM104" i="107"/>
  <c r="AN76" i="107"/>
  <c r="AM76" i="107"/>
  <c r="AN15" i="107"/>
  <c r="AM15" i="107"/>
  <c r="AG1" i="106" l="1"/>
  <c r="AZ146" i="106"/>
  <c r="AY146" i="106"/>
  <c r="AP146" i="106"/>
  <c r="AQ146" i="106" s="1"/>
  <c r="U146" i="106"/>
  <c r="V146" i="106" s="1"/>
  <c r="N146" i="106"/>
  <c r="AZ145" i="106"/>
  <c r="AY145" i="106"/>
  <c r="AP145" i="106"/>
  <c r="AQ145" i="106" s="1"/>
  <c r="AB145" i="106"/>
  <c r="AC145" i="106" s="1"/>
  <c r="AE145" i="106" s="1"/>
  <c r="U145" i="106"/>
  <c r="V145" i="106" s="1"/>
  <c r="N145" i="106"/>
  <c r="AZ144" i="106"/>
  <c r="AY144" i="106"/>
  <c r="AP144" i="106"/>
  <c r="AQ144" i="106" s="1"/>
  <c r="U144" i="106"/>
  <c r="V144" i="106" s="1"/>
  <c r="N144" i="106"/>
  <c r="AZ143" i="106"/>
  <c r="AY143" i="106"/>
  <c r="AP143" i="106"/>
  <c r="AQ143" i="106" s="1"/>
  <c r="U143" i="106"/>
  <c r="V143" i="106" s="1"/>
  <c r="N143" i="106"/>
  <c r="AZ142" i="106"/>
  <c r="AY142" i="106"/>
  <c r="AP142" i="106"/>
  <c r="AQ142" i="106" s="1"/>
  <c r="U142" i="106"/>
  <c r="V142" i="106" s="1"/>
  <c r="N142" i="106"/>
  <c r="AZ141" i="106"/>
  <c r="AY141" i="106"/>
  <c r="AP141" i="106"/>
  <c r="AQ141" i="106" s="1"/>
  <c r="U141" i="106"/>
  <c r="V141" i="106" s="1"/>
  <c r="N141" i="106"/>
  <c r="AZ140" i="106"/>
  <c r="AY140" i="106"/>
  <c r="AP140" i="106"/>
  <c r="AQ140" i="106" s="1"/>
  <c r="U140" i="106"/>
  <c r="V140" i="106" s="1"/>
  <c r="N140" i="106"/>
  <c r="AZ139" i="106"/>
  <c r="AY139" i="106"/>
  <c r="AQ139" i="106"/>
  <c r="AP139" i="106"/>
  <c r="U139" i="106"/>
  <c r="V139" i="106" s="1"/>
  <c r="N139" i="106"/>
  <c r="AZ138" i="106"/>
  <c r="AY138" i="106"/>
  <c r="AP138" i="106"/>
  <c r="AQ138" i="106" s="1"/>
  <c r="U138" i="106"/>
  <c r="V138" i="106" s="1"/>
  <c r="N138" i="106"/>
  <c r="AZ137" i="106"/>
  <c r="AY137" i="106"/>
  <c r="AP137" i="106"/>
  <c r="AQ137" i="106" s="1"/>
  <c r="U137" i="106"/>
  <c r="V137" i="106" s="1"/>
  <c r="N137" i="106"/>
  <c r="AZ136" i="106"/>
  <c r="AY136" i="106"/>
  <c r="AP136" i="106"/>
  <c r="AQ136" i="106" s="1"/>
  <c r="U136" i="106"/>
  <c r="V136" i="106" s="1"/>
  <c r="N136" i="106"/>
  <c r="AZ135" i="106"/>
  <c r="AY135" i="106"/>
  <c r="AP135" i="106"/>
  <c r="AQ135" i="106" s="1"/>
  <c r="AB135" i="106"/>
  <c r="AC135" i="106" s="1"/>
  <c r="AE135" i="106" s="1"/>
  <c r="U135" i="106"/>
  <c r="V135" i="106" s="1"/>
  <c r="N135" i="106"/>
  <c r="AZ134" i="106"/>
  <c r="AY134" i="106"/>
  <c r="AP134" i="106"/>
  <c r="AQ134" i="106" s="1"/>
  <c r="U134" i="106"/>
  <c r="V134" i="106" s="1"/>
  <c r="N134" i="106"/>
  <c r="AZ133" i="106"/>
  <c r="AY133" i="106"/>
  <c r="AP133" i="106"/>
  <c r="AQ133" i="106" s="1"/>
  <c r="U133" i="106"/>
  <c r="V133" i="106" s="1"/>
  <c r="N133" i="106"/>
  <c r="AZ132" i="106"/>
  <c r="AY132" i="106"/>
  <c r="AP132" i="106"/>
  <c r="AQ132" i="106" s="1"/>
  <c r="U132" i="106"/>
  <c r="V132" i="106" s="1"/>
  <c r="N132" i="106"/>
  <c r="AZ131" i="106"/>
  <c r="AY131" i="106"/>
  <c r="AP131" i="106"/>
  <c r="AQ131" i="106" s="1"/>
  <c r="U131" i="106"/>
  <c r="V131" i="106" s="1"/>
  <c r="N131" i="106"/>
  <c r="AZ130" i="106"/>
  <c r="AY130" i="106"/>
  <c r="AP130" i="106"/>
  <c r="AQ130" i="106" s="1"/>
  <c r="U130" i="106"/>
  <c r="V130" i="106" s="1"/>
  <c r="N130" i="106"/>
  <c r="AZ129" i="106"/>
  <c r="AY129" i="106"/>
  <c r="AQ129" i="106"/>
  <c r="AP129" i="106"/>
  <c r="U129" i="106"/>
  <c r="V129" i="106" s="1"/>
  <c r="N129" i="106"/>
  <c r="AZ128" i="106"/>
  <c r="AY128" i="106"/>
  <c r="AP128" i="106"/>
  <c r="AQ128" i="106" s="1"/>
  <c r="U128" i="106"/>
  <c r="V128" i="106" s="1"/>
  <c r="N128" i="106"/>
  <c r="AZ127" i="106"/>
  <c r="AY127" i="106"/>
  <c r="AP127" i="106"/>
  <c r="AQ127" i="106" s="1"/>
  <c r="U127" i="106"/>
  <c r="V127" i="106" s="1"/>
  <c r="N127" i="106"/>
  <c r="AZ126" i="106"/>
  <c r="AY126" i="106"/>
  <c r="AP126" i="106"/>
  <c r="AQ126" i="106" s="1"/>
  <c r="U126" i="106"/>
  <c r="V126" i="106" s="1"/>
  <c r="N126" i="106"/>
  <c r="AZ125" i="106"/>
  <c r="AY125" i="106"/>
  <c r="AP125" i="106"/>
  <c r="AQ125" i="106" s="1"/>
  <c r="U125" i="106"/>
  <c r="V125" i="106" s="1"/>
  <c r="N125" i="106"/>
  <c r="AZ124" i="106"/>
  <c r="AY124" i="106"/>
  <c r="AP124" i="106"/>
  <c r="AQ124" i="106" s="1"/>
  <c r="U124" i="106"/>
  <c r="V124" i="106" s="1"/>
  <c r="N124" i="106"/>
  <c r="AZ123" i="106"/>
  <c r="AY123" i="106"/>
  <c r="AP123" i="106"/>
  <c r="AQ123" i="106" s="1"/>
  <c r="U123" i="106"/>
  <c r="V123" i="106" s="1"/>
  <c r="N123" i="106"/>
  <c r="AZ122" i="106"/>
  <c r="AY122" i="106"/>
  <c r="AP122" i="106"/>
  <c r="AQ122" i="106" s="1"/>
  <c r="U122" i="106"/>
  <c r="V122" i="106" s="1"/>
  <c r="N122" i="106"/>
  <c r="AZ121" i="106"/>
  <c r="AY121" i="106"/>
  <c r="AP121" i="106"/>
  <c r="AQ121" i="106" s="1"/>
  <c r="U121" i="106"/>
  <c r="V121" i="106" s="1"/>
  <c r="N121" i="106"/>
  <c r="AZ120" i="106"/>
  <c r="AY120" i="106"/>
  <c r="AP120" i="106"/>
  <c r="AQ120" i="106" s="1"/>
  <c r="AB120" i="106"/>
  <c r="AC120" i="106" s="1"/>
  <c r="AE120" i="106" s="1"/>
  <c r="U120" i="106"/>
  <c r="V120" i="106" s="1"/>
  <c r="N120" i="106"/>
  <c r="AZ119" i="106"/>
  <c r="AY119" i="106"/>
  <c r="AP119" i="106"/>
  <c r="AQ119" i="106" s="1"/>
  <c r="U119" i="106"/>
  <c r="V119" i="106" s="1"/>
  <c r="N119" i="106"/>
  <c r="AZ118" i="106"/>
  <c r="AY118" i="106"/>
  <c r="AP118" i="106"/>
  <c r="AQ118" i="106" s="1"/>
  <c r="U118" i="106"/>
  <c r="V118" i="106" s="1"/>
  <c r="N118" i="106"/>
  <c r="AZ117" i="106"/>
  <c r="AY117" i="106"/>
  <c r="AP117" i="106"/>
  <c r="AQ117" i="106" s="1"/>
  <c r="AB117" i="106"/>
  <c r="AC117" i="106" s="1"/>
  <c r="AE117" i="106" s="1"/>
  <c r="U117" i="106"/>
  <c r="V117" i="106" s="1"/>
  <c r="N117" i="106"/>
  <c r="AZ116" i="106"/>
  <c r="AY116" i="106"/>
  <c r="AP116" i="106"/>
  <c r="AQ116" i="106" s="1"/>
  <c r="U116" i="106"/>
  <c r="V116" i="106" s="1"/>
  <c r="N116" i="106"/>
  <c r="AZ115" i="106"/>
  <c r="AY115" i="106"/>
  <c r="AP115" i="106"/>
  <c r="AQ115" i="106" s="1"/>
  <c r="U115" i="106"/>
  <c r="V115" i="106" s="1"/>
  <c r="N115" i="106"/>
  <c r="AZ114" i="106"/>
  <c r="AY114" i="106"/>
  <c r="AP114" i="106"/>
  <c r="AQ114" i="106" s="1"/>
  <c r="U114" i="106"/>
  <c r="V114" i="106" s="1"/>
  <c r="N114" i="106"/>
  <c r="AZ113" i="106"/>
  <c r="AY113" i="106"/>
  <c r="AP113" i="106"/>
  <c r="AQ113" i="106" s="1"/>
  <c r="U113" i="106"/>
  <c r="V113" i="106" s="1"/>
  <c r="N113" i="106"/>
  <c r="AZ112" i="106"/>
  <c r="AY112" i="106"/>
  <c r="AP112" i="106"/>
  <c r="AQ112" i="106" s="1"/>
  <c r="U112" i="106"/>
  <c r="V112" i="106" s="1"/>
  <c r="N112" i="106"/>
  <c r="AZ111" i="106"/>
  <c r="AY111" i="106"/>
  <c r="AP111" i="106"/>
  <c r="AQ111" i="106" s="1"/>
  <c r="U111" i="106"/>
  <c r="V111" i="106" s="1"/>
  <c r="N111" i="106"/>
  <c r="AZ110" i="106"/>
  <c r="AY110" i="106"/>
  <c r="AP110" i="106"/>
  <c r="AQ110" i="106" s="1"/>
  <c r="U110" i="106"/>
  <c r="V110" i="106" s="1"/>
  <c r="N110" i="106"/>
  <c r="AZ109" i="106"/>
  <c r="AY109" i="106"/>
  <c r="AQ109" i="106"/>
  <c r="AP109" i="106"/>
  <c r="U109" i="106"/>
  <c r="V109" i="106" s="1"/>
  <c r="N109" i="106"/>
  <c r="AZ108" i="106"/>
  <c r="AY108" i="106"/>
  <c r="AP108" i="106"/>
  <c r="AQ108" i="106" s="1"/>
  <c r="U108" i="106"/>
  <c r="V108" i="106" s="1"/>
  <c r="N108" i="106"/>
  <c r="AZ107" i="106"/>
  <c r="AY107" i="106"/>
  <c r="AP107" i="106"/>
  <c r="AQ107" i="106" s="1"/>
  <c r="U107" i="106"/>
  <c r="V107" i="106" s="1"/>
  <c r="N107" i="106"/>
  <c r="AZ106" i="106"/>
  <c r="AY106" i="106"/>
  <c r="AP106" i="106"/>
  <c r="AQ106" i="106" s="1"/>
  <c r="U106" i="106"/>
  <c r="V106" i="106" s="1"/>
  <c r="N106" i="106"/>
  <c r="AZ105" i="106"/>
  <c r="AY105" i="106"/>
  <c r="AP105" i="106"/>
  <c r="AQ105" i="106" s="1"/>
  <c r="U105" i="106"/>
  <c r="V105" i="106" s="1"/>
  <c r="N105" i="106"/>
  <c r="AZ104" i="106"/>
  <c r="AY104" i="106"/>
  <c r="AP104" i="106"/>
  <c r="AQ104" i="106" s="1"/>
  <c r="U104" i="106"/>
  <c r="V104" i="106" s="1"/>
  <c r="N104" i="106"/>
  <c r="AZ103" i="106"/>
  <c r="AY103" i="106"/>
  <c r="AP103" i="106"/>
  <c r="AQ103" i="106" s="1"/>
  <c r="U103" i="106"/>
  <c r="V103" i="106" s="1"/>
  <c r="N103" i="106"/>
  <c r="AZ102" i="106"/>
  <c r="AY102" i="106"/>
  <c r="AP102" i="106"/>
  <c r="AQ102" i="106" s="1"/>
  <c r="U102" i="106"/>
  <c r="V102" i="106" s="1"/>
  <c r="N102" i="106"/>
  <c r="AZ101" i="106"/>
  <c r="AY101" i="106"/>
  <c r="AP101" i="106"/>
  <c r="AQ101" i="106" s="1"/>
  <c r="U101" i="106"/>
  <c r="V101" i="106" s="1"/>
  <c r="N101" i="106"/>
  <c r="AZ100" i="106"/>
  <c r="AY100" i="106"/>
  <c r="AP100" i="106"/>
  <c r="AQ100" i="106" s="1"/>
  <c r="AB100" i="106"/>
  <c r="AC100" i="106" s="1"/>
  <c r="AE100" i="106" s="1"/>
  <c r="U100" i="106"/>
  <c r="V100" i="106" s="1"/>
  <c r="AH100" i="106" s="1"/>
  <c r="N100" i="106"/>
  <c r="AZ99" i="106"/>
  <c r="AY99" i="106"/>
  <c r="AP99" i="106"/>
  <c r="AQ99" i="106" s="1"/>
  <c r="U99" i="106"/>
  <c r="V99" i="106" s="1"/>
  <c r="N99" i="106"/>
  <c r="AZ98" i="106"/>
  <c r="AY98" i="106"/>
  <c r="AP98" i="106"/>
  <c r="AQ98" i="106" s="1"/>
  <c r="U98" i="106"/>
  <c r="V98" i="106" s="1"/>
  <c r="N98" i="106"/>
  <c r="AZ97" i="106"/>
  <c r="AY97" i="106"/>
  <c r="AP97" i="106"/>
  <c r="AQ97" i="106" s="1"/>
  <c r="AB97" i="106"/>
  <c r="AC97" i="106" s="1"/>
  <c r="AE97" i="106" s="1"/>
  <c r="U97" i="106"/>
  <c r="V97" i="106" s="1"/>
  <c r="AL97" i="106" s="1"/>
  <c r="N97" i="106"/>
  <c r="AZ96" i="106"/>
  <c r="AY96" i="106"/>
  <c r="AP96" i="106"/>
  <c r="AQ96" i="106" s="1"/>
  <c r="U96" i="106"/>
  <c r="V96" i="106" s="1"/>
  <c r="N96" i="106"/>
  <c r="AZ95" i="106"/>
  <c r="AY95" i="106"/>
  <c r="AP95" i="106"/>
  <c r="AQ95" i="106" s="1"/>
  <c r="U95" i="106"/>
  <c r="V95" i="106" s="1"/>
  <c r="N95" i="106"/>
  <c r="AZ94" i="106"/>
  <c r="AY94" i="106"/>
  <c r="AP94" i="106"/>
  <c r="AQ94" i="106" s="1"/>
  <c r="U94" i="106"/>
  <c r="V94" i="106" s="1"/>
  <c r="N94" i="106"/>
  <c r="AZ93" i="106"/>
  <c r="AY93" i="106"/>
  <c r="AP93" i="106"/>
  <c r="AQ93" i="106" s="1"/>
  <c r="V93" i="106"/>
  <c r="U93" i="106"/>
  <c r="N93" i="106"/>
  <c r="AZ92" i="106"/>
  <c r="AY92" i="106"/>
  <c r="AP92" i="106"/>
  <c r="AQ92" i="106" s="1"/>
  <c r="U92" i="106"/>
  <c r="V92" i="106" s="1"/>
  <c r="N92" i="106"/>
  <c r="AZ91" i="106"/>
  <c r="AY91" i="106"/>
  <c r="AP91" i="106"/>
  <c r="AQ91" i="106" s="1"/>
  <c r="U91" i="106"/>
  <c r="V91" i="106" s="1"/>
  <c r="N91" i="106"/>
  <c r="AZ90" i="106"/>
  <c r="AY90" i="106"/>
  <c r="AP90" i="106"/>
  <c r="AQ90" i="106" s="1"/>
  <c r="U90" i="106"/>
  <c r="V90" i="106" s="1"/>
  <c r="N90" i="106"/>
  <c r="AZ89" i="106"/>
  <c r="AY89" i="106"/>
  <c r="AQ89" i="106"/>
  <c r="AP89" i="106"/>
  <c r="U89" i="106"/>
  <c r="V89" i="106" s="1"/>
  <c r="N89" i="106"/>
  <c r="AZ88" i="106"/>
  <c r="AY88" i="106"/>
  <c r="AP88" i="106"/>
  <c r="AQ88" i="106" s="1"/>
  <c r="AB88" i="106"/>
  <c r="AC88" i="106" s="1"/>
  <c r="AE88" i="106" s="1"/>
  <c r="U88" i="106"/>
  <c r="V88" i="106" s="1"/>
  <c r="N88" i="106"/>
  <c r="AZ87" i="106"/>
  <c r="AY87" i="106"/>
  <c r="AP87" i="106"/>
  <c r="AQ87" i="106" s="1"/>
  <c r="U87" i="106"/>
  <c r="V87" i="106" s="1"/>
  <c r="N87" i="106"/>
  <c r="AZ86" i="106"/>
  <c r="AY86" i="106"/>
  <c r="AP86" i="106"/>
  <c r="AQ86" i="106" s="1"/>
  <c r="U86" i="106"/>
  <c r="V86" i="106" s="1"/>
  <c r="N86" i="106"/>
  <c r="AZ85" i="106"/>
  <c r="AY85" i="106"/>
  <c r="AP85" i="106"/>
  <c r="AQ85" i="106" s="1"/>
  <c r="U85" i="106"/>
  <c r="V85" i="106" s="1"/>
  <c r="N85" i="106"/>
  <c r="AZ84" i="106"/>
  <c r="AY84" i="106"/>
  <c r="AP84" i="106"/>
  <c r="AQ84" i="106" s="1"/>
  <c r="U84" i="106"/>
  <c r="V84" i="106" s="1"/>
  <c r="N84" i="106"/>
  <c r="AZ83" i="106"/>
  <c r="AY83" i="106"/>
  <c r="AP83" i="106"/>
  <c r="AQ83" i="106" s="1"/>
  <c r="AB83" i="106"/>
  <c r="AC83" i="106" s="1"/>
  <c r="AE83" i="106" s="1"/>
  <c r="U83" i="106"/>
  <c r="V83" i="106" s="1"/>
  <c r="N83" i="106"/>
  <c r="AZ82" i="106"/>
  <c r="AY82" i="106"/>
  <c r="AP82" i="106"/>
  <c r="AQ82" i="106" s="1"/>
  <c r="U82" i="106"/>
  <c r="V82" i="106" s="1"/>
  <c r="N82" i="106"/>
  <c r="AZ81" i="106"/>
  <c r="AY81" i="106"/>
  <c r="AP81" i="106"/>
  <c r="AQ81" i="106" s="1"/>
  <c r="U81" i="106"/>
  <c r="V81" i="106" s="1"/>
  <c r="N81" i="106"/>
  <c r="AZ80" i="106"/>
  <c r="AY80" i="106"/>
  <c r="AP80" i="106"/>
  <c r="AQ80" i="106" s="1"/>
  <c r="U80" i="106"/>
  <c r="V80" i="106" s="1"/>
  <c r="N80" i="106"/>
  <c r="AZ79" i="106"/>
  <c r="AY79" i="106"/>
  <c r="AQ79" i="106"/>
  <c r="AP79" i="106"/>
  <c r="U79" i="106"/>
  <c r="V79" i="106" s="1"/>
  <c r="N79" i="106"/>
  <c r="AZ78" i="106"/>
  <c r="AY78" i="106"/>
  <c r="AP78" i="106"/>
  <c r="AQ78" i="106" s="1"/>
  <c r="U78" i="106"/>
  <c r="V78" i="106" s="1"/>
  <c r="N78" i="106"/>
  <c r="AZ77" i="106"/>
  <c r="AY77" i="106"/>
  <c r="AP77" i="106"/>
  <c r="AQ77" i="106" s="1"/>
  <c r="U77" i="106"/>
  <c r="V77" i="106" s="1"/>
  <c r="N77" i="106"/>
  <c r="AZ76" i="106"/>
  <c r="AY76" i="106"/>
  <c r="AP76" i="106"/>
  <c r="AQ76" i="106" s="1"/>
  <c r="U76" i="106"/>
  <c r="V76" i="106" s="1"/>
  <c r="N76" i="106"/>
  <c r="AZ75" i="106"/>
  <c r="AY75" i="106"/>
  <c r="AP75" i="106"/>
  <c r="AQ75" i="106" s="1"/>
  <c r="U75" i="106"/>
  <c r="V75" i="106" s="1"/>
  <c r="N75" i="106"/>
  <c r="AZ74" i="106"/>
  <c r="AY74" i="106"/>
  <c r="AP74" i="106"/>
  <c r="AQ74" i="106" s="1"/>
  <c r="U74" i="106"/>
  <c r="V74" i="106" s="1"/>
  <c r="N74" i="106"/>
  <c r="AZ73" i="106"/>
  <c r="AY73" i="106"/>
  <c r="AP73" i="106"/>
  <c r="AQ73" i="106" s="1"/>
  <c r="U73" i="106"/>
  <c r="V73" i="106" s="1"/>
  <c r="N73" i="106"/>
  <c r="AZ72" i="106"/>
  <c r="AY72" i="106"/>
  <c r="AP72" i="106"/>
  <c r="AQ72" i="106" s="1"/>
  <c r="U72" i="106"/>
  <c r="V72" i="106" s="1"/>
  <c r="N72" i="106"/>
  <c r="AZ71" i="106"/>
  <c r="AY71" i="106"/>
  <c r="AP71" i="106"/>
  <c r="AQ71" i="106" s="1"/>
  <c r="U71" i="106"/>
  <c r="V71" i="106" s="1"/>
  <c r="N71" i="106"/>
  <c r="AZ70" i="106"/>
  <c r="AY70" i="106"/>
  <c r="AP70" i="106"/>
  <c r="AQ70" i="106" s="1"/>
  <c r="AB70" i="106"/>
  <c r="AC70" i="106" s="1"/>
  <c r="AE70" i="106" s="1"/>
  <c r="U70" i="106"/>
  <c r="V70" i="106" s="1"/>
  <c r="N70" i="106"/>
  <c r="AZ69" i="106"/>
  <c r="AY69" i="106"/>
  <c r="AP69" i="106"/>
  <c r="AQ69" i="106" s="1"/>
  <c r="U69" i="106"/>
  <c r="V69" i="106" s="1"/>
  <c r="N69" i="106"/>
  <c r="AZ68" i="106"/>
  <c r="AY68" i="106"/>
  <c r="AP68" i="106"/>
  <c r="AQ68" i="106" s="1"/>
  <c r="U68" i="106"/>
  <c r="V68" i="106" s="1"/>
  <c r="N68" i="106"/>
  <c r="AZ67" i="106"/>
  <c r="AY67" i="106"/>
  <c r="AP67" i="106"/>
  <c r="AQ67" i="106" s="1"/>
  <c r="AB67" i="106"/>
  <c r="AC67" i="106" s="1"/>
  <c r="AE67" i="106" s="1"/>
  <c r="U67" i="106"/>
  <c r="V67" i="106" s="1"/>
  <c r="N67" i="106"/>
  <c r="AZ66" i="106"/>
  <c r="AY66" i="106"/>
  <c r="AP66" i="106"/>
  <c r="AQ66" i="106" s="1"/>
  <c r="U66" i="106"/>
  <c r="V66" i="106" s="1"/>
  <c r="N66" i="106"/>
  <c r="AZ65" i="106"/>
  <c r="AY65" i="106"/>
  <c r="AP65" i="106"/>
  <c r="AQ65" i="106" s="1"/>
  <c r="U65" i="106"/>
  <c r="V65" i="106" s="1"/>
  <c r="N65" i="106"/>
  <c r="AZ64" i="106"/>
  <c r="AY64" i="106"/>
  <c r="AP64" i="106"/>
  <c r="AQ64" i="106" s="1"/>
  <c r="U64" i="106"/>
  <c r="V64" i="106" s="1"/>
  <c r="N64" i="106"/>
  <c r="AZ63" i="106"/>
  <c r="AY63" i="106"/>
  <c r="AP63" i="106"/>
  <c r="AQ63" i="106" s="1"/>
  <c r="AB63" i="106"/>
  <c r="AC63" i="106" s="1"/>
  <c r="AE63" i="106" s="1"/>
  <c r="U63" i="106"/>
  <c r="V63" i="106" s="1"/>
  <c r="N63" i="106"/>
  <c r="AZ62" i="106"/>
  <c r="AY62" i="106"/>
  <c r="AP62" i="106"/>
  <c r="AQ62" i="106" s="1"/>
  <c r="U62" i="106"/>
  <c r="V62" i="106" s="1"/>
  <c r="N62" i="106"/>
  <c r="AZ61" i="106"/>
  <c r="AY61" i="106"/>
  <c r="AP61" i="106"/>
  <c r="AQ61" i="106" s="1"/>
  <c r="U61" i="106"/>
  <c r="V61" i="106" s="1"/>
  <c r="N61" i="106"/>
  <c r="AZ60" i="106"/>
  <c r="AY60" i="106"/>
  <c r="AP60" i="106"/>
  <c r="AQ60" i="106" s="1"/>
  <c r="AB60" i="106"/>
  <c r="AC60" i="106" s="1"/>
  <c r="AE60" i="106" s="1"/>
  <c r="U60" i="106"/>
  <c r="V60" i="106" s="1"/>
  <c r="N60" i="106"/>
  <c r="AZ59" i="106"/>
  <c r="AY59" i="106"/>
  <c r="AP59" i="106"/>
  <c r="AQ59" i="106" s="1"/>
  <c r="U59" i="106"/>
  <c r="V59" i="106" s="1"/>
  <c r="N59" i="106"/>
  <c r="AZ58" i="106"/>
  <c r="AY58" i="106"/>
  <c r="AP58" i="106"/>
  <c r="AQ58" i="106" s="1"/>
  <c r="U58" i="106"/>
  <c r="V58" i="106" s="1"/>
  <c r="N58" i="106"/>
  <c r="AZ57" i="106"/>
  <c r="AY57" i="106"/>
  <c r="AP57" i="106"/>
  <c r="AQ57" i="106" s="1"/>
  <c r="AB57" i="106"/>
  <c r="AC57" i="106" s="1"/>
  <c r="AE57" i="106" s="1"/>
  <c r="U57" i="106"/>
  <c r="V57" i="106" s="1"/>
  <c r="N57" i="106"/>
  <c r="AZ56" i="106"/>
  <c r="AY56" i="106"/>
  <c r="AP56" i="106"/>
  <c r="AQ56" i="106" s="1"/>
  <c r="U56" i="106"/>
  <c r="V56" i="106" s="1"/>
  <c r="N56" i="106"/>
  <c r="AZ55" i="106"/>
  <c r="AY55" i="106"/>
  <c r="AP55" i="106"/>
  <c r="AQ55" i="106" s="1"/>
  <c r="U55" i="106"/>
  <c r="V55" i="106" s="1"/>
  <c r="N55" i="106"/>
  <c r="AZ54" i="106"/>
  <c r="N54" i="106"/>
  <c r="AZ53" i="106"/>
  <c r="AY53" i="106"/>
  <c r="AP53" i="106"/>
  <c r="AQ53" i="106" s="1"/>
  <c r="U53" i="106"/>
  <c r="V53" i="106" s="1"/>
  <c r="N53" i="106"/>
  <c r="AZ52" i="106"/>
  <c r="AY52" i="106"/>
  <c r="AP52" i="106"/>
  <c r="AQ52" i="106" s="1"/>
  <c r="AF52" i="106"/>
  <c r="U52" i="106"/>
  <c r="V52" i="106" s="1"/>
  <c r="N52" i="106"/>
  <c r="AZ51" i="106"/>
  <c r="AY51" i="106"/>
  <c r="AP51" i="106"/>
  <c r="AQ51" i="106" s="1"/>
  <c r="U51" i="106"/>
  <c r="V51" i="106" s="1"/>
  <c r="N51" i="106"/>
  <c r="AZ50" i="106"/>
  <c r="AY50" i="106"/>
  <c r="AP50" i="106"/>
  <c r="AQ50" i="106" s="1"/>
  <c r="U50" i="106"/>
  <c r="V50" i="106" s="1"/>
  <c r="N50" i="106"/>
  <c r="AZ49" i="106"/>
  <c r="AY49" i="106"/>
  <c r="AP49" i="106"/>
  <c r="AQ49" i="106" s="1"/>
  <c r="U49" i="106"/>
  <c r="V49" i="106" s="1"/>
  <c r="N49" i="106"/>
  <c r="AZ48" i="106"/>
  <c r="AY48" i="106"/>
  <c r="AP48" i="106"/>
  <c r="AQ48" i="106" s="1"/>
  <c r="U48" i="106"/>
  <c r="V48" i="106" s="1"/>
  <c r="N48" i="106"/>
  <c r="AZ47" i="106"/>
  <c r="AY47" i="106"/>
  <c r="AP47" i="106"/>
  <c r="AQ47" i="106" s="1"/>
  <c r="U47" i="106"/>
  <c r="V47" i="106" s="1"/>
  <c r="N47" i="106"/>
  <c r="AZ45" i="106"/>
  <c r="AY45" i="106"/>
  <c r="AP45" i="106"/>
  <c r="AQ45" i="106" s="1"/>
  <c r="U45" i="106"/>
  <c r="V45" i="106" s="1"/>
  <c r="N45" i="106"/>
  <c r="AZ44" i="106"/>
  <c r="AY44" i="106"/>
  <c r="AP44" i="106"/>
  <c r="AQ44" i="106" s="1"/>
  <c r="U44" i="106"/>
  <c r="V44" i="106" s="1"/>
  <c r="N44" i="106"/>
  <c r="AZ43" i="106"/>
  <c r="AY43" i="106"/>
  <c r="AQ43" i="106"/>
  <c r="AP43" i="106"/>
  <c r="U43" i="106"/>
  <c r="V43" i="106" s="1"/>
  <c r="N43" i="106"/>
  <c r="AZ42" i="106"/>
  <c r="AY42" i="106"/>
  <c r="AP42" i="106"/>
  <c r="AQ42" i="106" s="1"/>
  <c r="U42" i="106"/>
  <c r="V42" i="106" s="1"/>
  <c r="N42" i="106"/>
  <c r="AZ41" i="106"/>
  <c r="AY41" i="106"/>
  <c r="AP41" i="106"/>
  <c r="AQ41" i="106" s="1"/>
  <c r="U41" i="106"/>
  <c r="V41" i="106" s="1"/>
  <c r="N41" i="106"/>
  <c r="AZ40" i="106"/>
  <c r="AY40" i="106"/>
  <c r="AP40" i="106"/>
  <c r="AQ40" i="106" s="1"/>
  <c r="U40" i="106"/>
  <c r="V40" i="106" s="1"/>
  <c r="N40" i="106"/>
  <c r="AZ39" i="106"/>
  <c r="AY39" i="106"/>
  <c r="AP39" i="106"/>
  <c r="AQ39" i="106" s="1"/>
  <c r="U39" i="106"/>
  <c r="V39" i="106" s="1"/>
  <c r="N39" i="106"/>
  <c r="AZ38" i="106"/>
  <c r="N38" i="106"/>
  <c r="AZ37" i="106"/>
  <c r="AY37" i="106"/>
  <c r="AP37" i="106"/>
  <c r="AQ37" i="106" s="1"/>
  <c r="AB37" i="106"/>
  <c r="AC37" i="106" s="1"/>
  <c r="AE37" i="106" s="1"/>
  <c r="U37" i="106"/>
  <c r="V37" i="106" s="1"/>
  <c r="N37" i="106"/>
  <c r="AZ36" i="106"/>
  <c r="AY36" i="106"/>
  <c r="AP36" i="106"/>
  <c r="AQ36" i="106" s="1"/>
  <c r="U36" i="106"/>
  <c r="V36" i="106" s="1"/>
  <c r="N36" i="106"/>
  <c r="AZ34" i="106"/>
  <c r="AY34" i="106"/>
  <c r="AP34" i="106"/>
  <c r="AQ34" i="106" s="1"/>
  <c r="AB34" i="106"/>
  <c r="AC34" i="106" s="1"/>
  <c r="AE34" i="106" s="1"/>
  <c r="U34" i="106"/>
  <c r="V34" i="106" s="1"/>
  <c r="N34" i="106"/>
  <c r="AZ33" i="106"/>
  <c r="AY33" i="106"/>
  <c r="AP33" i="106"/>
  <c r="AQ33" i="106" s="1"/>
  <c r="U33" i="106"/>
  <c r="V33" i="106" s="1"/>
  <c r="N33" i="106"/>
  <c r="AZ31" i="106"/>
  <c r="N31" i="106"/>
  <c r="AZ30" i="106"/>
  <c r="AY30" i="106"/>
  <c r="AP30" i="106"/>
  <c r="AQ30" i="106" s="1"/>
  <c r="U30" i="106"/>
  <c r="V30" i="106" s="1"/>
  <c r="N30" i="106"/>
  <c r="AZ29" i="106"/>
  <c r="N29" i="106"/>
  <c r="AZ28" i="106"/>
  <c r="AY28" i="106"/>
  <c r="AP28" i="106"/>
  <c r="AQ28" i="106" s="1"/>
  <c r="AB28" i="106"/>
  <c r="AC28" i="106" s="1"/>
  <c r="AE28" i="106" s="1"/>
  <c r="U28" i="106"/>
  <c r="V28" i="106" s="1"/>
  <c r="N28" i="106"/>
  <c r="AZ27" i="106"/>
  <c r="N27" i="106"/>
  <c r="AZ26" i="106"/>
  <c r="AY26" i="106"/>
  <c r="AP26" i="106"/>
  <c r="AQ26" i="106" s="1"/>
  <c r="AB26" i="106"/>
  <c r="AC26" i="106" s="1"/>
  <c r="AE26" i="106" s="1"/>
  <c r="U26" i="106"/>
  <c r="V26" i="106" s="1"/>
  <c r="N26" i="106"/>
  <c r="AZ25" i="106"/>
  <c r="AY25" i="106"/>
  <c r="AQ25" i="106"/>
  <c r="AP25" i="106"/>
  <c r="U25" i="106"/>
  <c r="V25" i="106" s="1"/>
  <c r="N25" i="106"/>
  <c r="AZ24" i="106"/>
  <c r="N24" i="106"/>
  <c r="AZ23" i="106"/>
  <c r="AY23" i="106"/>
  <c r="AP23" i="106"/>
  <c r="AQ23" i="106" s="1"/>
  <c r="U23" i="106"/>
  <c r="V23" i="106" s="1"/>
  <c r="N23" i="106"/>
  <c r="AZ22" i="106"/>
  <c r="AY22" i="106"/>
  <c r="AP22" i="106"/>
  <c r="AQ22" i="106" s="1"/>
  <c r="AB22" i="106"/>
  <c r="AC22" i="106" s="1"/>
  <c r="AE22" i="106" s="1"/>
  <c r="U22" i="106"/>
  <c r="V22" i="106" s="1"/>
  <c r="N22" i="106"/>
  <c r="AZ21" i="106"/>
  <c r="N21" i="106"/>
  <c r="AZ20" i="106"/>
  <c r="AY20" i="106"/>
  <c r="AP20" i="106"/>
  <c r="AQ20" i="106" s="1"/>
  <c r="U20" i="106"/>
  <c r="V20" i="106" s="1"/>
  <c r="N20" i="106"/>
  <c r="AZ19" i="106"/>
  <c r="N19" i="106"/>
  <c r="AZ18" i="106"/>
  <c r="AY18" i="106"/>
  <c r="AP18" i="106"/>
  <c r="AQ18" i="106" s="1"/>
  <c r="U18" i="106"/>
  <c r="V18" i="106" s="1"/>
  <c r="N18" i="106"/>
  <c r="AZ17" i="106"/>
  <c r="AY17" i="106"/>
  <c r="AP17" i="106"/>
  <c r="AQ17" i="106" s="1"/>
  <c r="U17" i="106"/>
  <c r="V17" i="106" s="1"/>
  <c r="N17" i="106"/>
  <c r="AZ16" i="106"/>
  <c r="AY16" i="106"/>
  <c r="AP16" i="106"/>
  <c r="AQ16" i="106" s="1"/>
  <c r="AF16" i="106"/>
  <c r="U16" i="106"/>
  <c r="V16" i="106" s="1"/>
  <c r="N16" i="106"/>
  <c r="AZ15" i="106"/>
  <c r="N15" i="106"/>
  <c r="AZ14" i="106"/>
  <c r="AY14" i="106"/>
  <c r="AP14" i="106"/>
  <c r="AQ14" i="106" s="1"/>
  <c r="AF14" i="106"/>
  <c r="AB14" i="106"/>
  <c r="AC14" i="106" s="1"/>
  <c r="AE14" i="106" s="1"/>
  <c r="U14" i="106"/>
  <c r="V14" i="106" s="1"/>
  <c r="N14" i="106"/>
  <c r="AZ13" i="106"/>
  <c r="N13" i="106"/>
  <c r="AZ12" i="106"/>
  <c r="AY12" i="106"/>
  <c r="AP12" i="106"/>
  <c r="AQ12" i="106" s="1"/>
  <c r="U12" i="106"/>
  <c r="V12" i="106" s="1"/>
  <c r="N12" i="106"/>
  <c r="AZ11" i="106"/>
  <c r="N11" i="106"/>
  <c r="AZ10" i="106"/>
  <c r="AY10" i="106"/>
  <c r="AP10" i="106"/>
  <c r="AQ10" i="106" s="1"/>
  <c r="U10" i="106"/>
  <c r="V10" i="106" s="1"/>
  <c r="N10" i="106"/>
  <c r="AZ9" i="106"/>
  <c r="AY9" i="106"/>
  <c r="AP9" i="106"/>
  <c r="AQ9" i="106" s="1"/>
  <c r="AB9" i="106"/>
  <c r="AC9" i="106" s="1"/>
  <c r="AE9" i="106" s="1"/>
  <c r="U9" i="106"/>
  <c r="V9" i="106" s="1"/>
  <c r="N9" i="106"/>
  <c r="AZ8" i="106"/>
  <c r="AY8" i="106"/>
  <c r="AP8" i="106"/>
  <c r="AQ8" i="106" s="1"/>
  <c r="U8" i="106"/>
  <c r="V8" i="106" s="1"/>
  <c r="N8" i="106"/>
  <c r="AZ7" i="106"/>
  <c r="AY7" i="106"/>
  <c r="AP7" i="106"/>
  <c r="AQ7" i="106" s="1"/>
  <c r="AB7" i="106"/>
  <c r="AC7" i="106" s="1"/>
  <c r="AE7" i="106" s="1"/>
  <c r="U7" i="106"/>
  <c r="V7" i="106" s="1"/>
  <c r="N7" i="106"/>
  <c r="AZ6" i="106"/>
  <c r="AY6" i="106"/>
  <c r="AP6" i="106"/>
  <c r="AQ6" i="106" s="1"/>
  <c r="U6" i="106"/>
  <c r="V6" i="106" s="1"/>
  <c r="N6" i="106"/>
  <c r="AZ5" i="106"/>
  <c r="AY5" i="106"/>
  <c r="AP5" i="106"/>
  <c r="AQ5" i="106" s="1"/>
  <c r="U5" i="106"/>
  <c r="V5" i="106" s="1"/>
  <c r="N5" i="106"/>
  <c r="AU2" i="106"/>
  <c r="Y2" i="106"/>
  <c r="AA2" i="106" s="1"/>
  <c r="I2" i="106"/>
  <c r="AB139" i="106" s="1"/>
  <c r="AC139" i="106" s="1"/>
  <c r="AE139" i="106" s="1"/>
  <c r="AB55" i="106" l="1"/>
  <c r="AC55" i="106" s="1"/>
  <c r="AE55" i="106" s="1"/>
  <c r="AB75" i="106"/>
  <c r="AC75" i="106" s="1"/>
  <c r="AE75" i="106" s="1"/>
  <c r="AB12" i="106"/>
  <c r="AC12" i="106" s="1"/>
  <c r="AE12" i="106" s="1"/>
  <c r="AH12" i="106" s="1"/>
  <c r="AB43" i="106"/>
  <c r="AC43" i="106" s="1"/>
  <c r="AE43" i="106" s="1"/>
  <c r="AH43" i="106" s="1"/>
  <c r="AB122" i="106"/>
  <c r="AC122" i="106" s="1"/>
  <c r="AE122" i="106" s="1"/>
  <c r="AL122" i="106" s="1"/>
  <c r="AB129" i="106"/>
  <c r="AC129" i="106" s="1"/>
  <c r="AE129" i="106" s="1"/>
  <c r="AH129" i="106" s="1"/>
  <c r="AB137" i="106"/>
  <c r="AC137" i="106" s="1"/>
  <c r="AE137" i="106" s="1"/>
  <c r="AL137" i="106" s="1"/>
  <c r="AB32" i="106"/>
  <c r="AC32" i="106" s="1"/>
  <c r="AE32" i="106" s="1"/>
  <c r="AB142" i="106"/>
  <c r="AC142" i="106" s="1"/>
  <c r="AE142" i="106" s="1"/>
  <c r="AH142" i="106" s="1"/>
  <c r="AB72" i="106"/>
  <c r="AC72" i="106" s="1"/>
  <c r="AE72" i="106" s="1"/>
  <c r="AB82" i="106"/>
  <c r="AC82" i="106" s="1"/>
  <c r="AE82" i="106" s="1"/>
  <c r="AH82" i="106" s="1"/>
  <c r="AB119" i="106"/>
  <c r="AC119" i="106" s="1"/>
  <c r="AE119" i="106" s="1"/>
  <c r="AL119" i="106" s="1"/>
  <c r="AB20" i="106"/>
  <c r="AC20" i="106" s="1"/>
  <c r="AE20" i="106" s="1"/>
  <c r="AL20" i="106" s="1"/>
  <c r="AB58" i="106"/>
  <c r="AC58" i="106" s="1"/>
  <c r="AE58" i="106" s="1"/>
  <c r="AL58" i="106" s="1"/>
  <c r="AB125" i="106"/>
  <c r="AC125" i="106" s="1"/>
  <c r="AE125" i="106" s="1"/>
  <c r="AL125" i="106" s="1"/>
  <c r="AB36" i="106"/>
  <c r="AC36" i="106" s="1"/>
  <c r="AE36" i="106" s="1"/>
  <c r="AH36" i="106" s="1"/>
  <c r="AB40" i="106"/>
  <c r="AC40" i="106" s="1"/>
  <c r="AE40" i="106" s="1"/>
  <c r="AL40" i="106" s="1"/>
  <c r="AB116" i="106"/>
  <c r="AC116" i="106" s="1"/>
  <c r="AE116" i="106" s="1"/>
  <c r="AB136" i="106"/>
  <c r="AC136" i="106" s="1"/>
  <c r="AE136" i="106" s="1"/>
  <c r="AL136" i="106" s="1"/>
  <c r="AL57" i="106"/>
  <c r="AB30" i="106"/>
  <c r="AC30" i="106" s="1"/>
  <c r="AE30" i="106" s="1"/>
  <c r="AB79" i="106"/>
  <c r="AC79" i="106" s="1"/>
  <c r="AE79" i="106" s="1"/>
  <c r="AH79" i="106" s="1"/>
  <c r="AB89" i="106"/>
  <c r="AC89" i="106" s="1"/>
  <c r="AE89" i="106" s="1"/>
  <c r="AL89" i="106" s="1"/>
  <c r="AB109" i="106"/>
  <c r="AC109" i="106" s="1"/>
  <c r="AE109" i="106" s="1"/>
  <c r="AB126" i="106"/>
  <c r="AC126" i="106" s="1"/>
  <c r="AE126" i="106" s="1"/>
  <c r="AB17" i="106"/>
  <c r="AC17" i="106" s="1"/>
  <c r="AE17" i="106" s="1"/>
  <c r="AL17" i="106" s="1"/>
  <c r="AB66" i="106"/>
  <c r="AC66" i="106" s="1"/>
  <c r="AE66" i="106" s="1"/>
  <c r="AB76" i="106"/>
  <c r="AC76" i="106" s="1"/>
  <c r="AE76" i="106" s="1"/>
  <c r="AL76" i="106" s="1"/>
  <c r="AB106" i="106"/>
  <c r="AC106" i="106" s="1"/>
  <c r="AE106" i="106" s="1"/>
  <c r="AL106" i="106" s="1"/>
  <c r="AH28" i="106"/>
  <c r="AM28" i="106" s="1"/>
  <c r="AL14" i="106"/>
  <c r="AH9" i="106"/>
  <c r="AN9" i="106" s="1"/>
  <c r="AL126" i="106"/>
  <c r="AB41" i="106"/>
  <c r="AC41" i="106" s="1"/>
  <c r="AE41" i="106" s="1"/>
  <c r="AH41" i="106" s="1"/>
  <c r="AB44" i="106"/>
  <c r="AC44" i="106" s="1"/>
  <c r="AE44" i="106" s="1"/>
  <c r="AL44" i="106" s="1"/>
  <c r="AB48" i="106"/>
  <c r="AC48" i="106" s="1"/>
  <c r="AE48" i="106" s="1"/>
  <c r="AL48" i="106" s="1"/>
  <c r="AB51" i="106"/>
  <c r="AC51" i="106" s="1"/>
  <c r="AE51" i="106" s="1"/>
  <c r="AH51" i="106" s="1"/>
  <c r="AN51" i="106" s="1"/>
  <c r="AB92" i="106"/>
  <c r="AC92" i="106" s="1"/>
  <c r="AE92" i="106" s="1"/>
  <c r="AB95" i="106"/>
  <c r="AC95" i="106" s="1"/>
  <c r="AE95" i="106" s="1"/>
  <c r="AB132" i="106"/>
  <c r="AC132" i="106" s="1"/>
  <c r="AE132" i="106" s="1"/>
  <c r="AH132" i="106" s="1"/>
  <c r="AB73" i="106"/>
  <c r="AC73" i="106" s="1"/>
  <c r="AE73" i="106" s="1"/>
  <c r="AH73" i="106" s="1"/>
  <c r="AB86" i="106"/>
  <c r="AC86" i="106" s="1"/>
  <c r="AE86" i="106" s="1"/>
  <c r="AH86" i="106" s="1"/>
  <c r="AB98" i="106"/>
  <c r="AC98" i="106" s="1"/>
  <c r="AE98" i="106" s="1"/>
  <c r="AH98" i="106" s="1"/>
  <c r="AB107" i="106"/>
  <c r="AC107" i="106" s="1"/>
  <c r="AE107" i="106" s="1"/>
  <c r="AH107" i="106" s="1"/>
  <c r="AB110" i="106"/>
  <c r="AC110" i="106" s="1"/>
  <c r="AE110" i="106" s="1"/>
  <c r="AH110" i="106" s="1"/>
  <c r="AB123" i="106"/>
  <c r="AC123" i="106" s="1"/>
  <c r="AE123" i="106" s="1"/>
  <c r="AL123" i="106" s="1"/>
  <c r="AB102" i="106"/>
  <c r="AC102" i="106" s="1"/>
  <c r="AE102" i="106" s="1"/>
  <c r="AL102" i="106" s="1"/>
  <c r="AB130" i="106"/>
  <c r="AC130" i="106" s="1"/>
  <c r="AE130" i="106" s="1"/>
  <c r="AL130" i="106" s="1"/>
  <c r="AB143" i="106"/>
  <c r="AC143" i="106" s="1"/>
  <c r="AE143" i="106" s="1"/>
  <c r="AL143" i="106" s="1"/>
  <c r="AB146" i="106"/>
  <c r="AC146" i="106" s="1"/>
  <c r="AE146" i="106" s="1"/>
  <c r="AL146" i="106" s="1"/>
  <c r="AB90" i="106"/>
  <c r="AC90" i="106" s="1"/>
  <c r="AE90" i="106" s="1"/>
  <c r="AL90" i="106" s="1"/>
  <c r="AH34" i="106"/>
  <c r="AM34" i="106" s="1"/>
  <c r="AB59" i="106"/>
  <c r="AC59" i="106" s="1"/>
  <c r="AE59" i="106" s="1"/>
  <c r="AL59" i="106" s="1"/>
  <c r="AB140" i="106"/>
  <c r="AC140" i="106" s="1"/>
  <c r="AE140" i="106" s="1"/>
  <c r="AH140" i="106" s="1"/>
  <c r="AN140" i="106" s="1"/>
  <c r="AB49" i="106"/>
  <c r="AC49" i="106" s="1"/>
  <c r="AE49" i="106" s="1"/>
  <c r="AH49" i="106" s="1"/>
  <c r="AB96" i="106"/>
  <c r="AC96" i="106" s="1"/>
  <c r="AE96" i="106" s="1"/>
  <c r="AL96" i="106" s="1"/>
  <c r="AB105" i="106"/>
  <c r="AC105" i="106" s="1"/>
  <c r="AE105" i="106" s="1"/>
  <c r="AL105" i="106" s="1"/>
  <c r="AB133" i="106"/>
  <c r="AC133" i="106" s="1"/>
  <c r="AE133" i="106" s="1"/>
  <c r="AB39" i="106"/>
  <c r="AC39" i="106" s="1"/>
  <c r="AE39" i="106" s="1"/>
  <c r="AH39" i="106" s="1"/>
  <c r="AB80" i="106"/>
  <c r="AC80" i="106" s="1"/>
  <c r="AE80" i="106" s="1"/>
  <c r="AL80" i="106" s="1"/>
  <c r="AB52" i="106"/>
  <c r="AC52" i="106" s="1"/>
  <c r="AE52" i="106" s="1"/>
  <c r="AH52" i="106" s="1"/>
  <c r="AB87" i="106"/>
  <c r="AC87" i="106" s="1"/>
  <c r="AE87" i="106" s="1"/>
  <c r="AH87" i="106" s="1"/>
  <c r="AB93" i="106"/>
  <c r="AC93" i="106" s="1"/>
  <c r="AE93" i="106" s="1"/>
  <c r="AL93" i="106" s="1"/>
  <c r="AB99" i="106"/>
  <c r="AC99" i="106" s="1"/>
  <c r="AE99" i="106" s="1"/>
  <c r="AL99" i="106" s="1"/>
  <c r="AB127" i="106"/>
  <c r="AC127" i="106" s="1"/>
  <c r="AE127" i="106" s="1"/>
  <c r="AH127" i="106" s="1"/>
  <c r="AB23" i="106"/>
  <c r="AC23" i="106" s="1"/>
  <c r="AE23" i="106" s="1"/>
  <c r="AL23" i="106" s="1"/>
  <c r="AB56" i="106"/>
  <c r="AC56" i="106" s="1"/>
  <c r="AE56" i="106" s="1"/>
  <c r="AH56" i="106" s="1"/>
  <c r="AB62" i="106"/>
  <c r="AC62" i="106" s="1"/>
  <c r="AE62" i="106" s="1"/>
  <c r="AL62" i="106" s="1"/>
  <c r="AB115" i="106"/>
  <c r="AC115" i="106" s="1"/>
  <c r="AE115" i="106" s="1"/>
  <c r="AH115" i="106" s="1"/>
  <c r="AB8" i="106"/>
  <c r="AC8" i="106" s="1"/>
  <c r="AE8" i="106" s="1"/>
  <c r="AH8" i="106" s="1"/>
  <c r="AB33" i="106"/>
  <c r="AC33" i="106" s="1"/>
  <c r="AE33" i="106" s="1"/>
  <c r="AL33" i="106" s="1"/>
  <c r="AB65" i="106"/>
  <c r="AC65" i="106" s="1"/>
  <c r="AE65" i="106" s="1"/>
  <c r="AL65" i="106" s="1"/>
  <c r="AB68" i="106"/>
  <c r="AC68" i="106" s="1"/>
  <c r="AE68" i="106" s="1"/>
  <c r="AL68" i="106" s="1"/>
  <c r="AB5" i="106"/>
  <c r="AC5" i="106" s="1"/>
  <c r="AE5" i="106" s="1"/>
  <c r="AH5" i="106" s="1"/>
  <c r="AB16" i="106"/>
  <c r="AC16" i="106" s="1"/>
  <c r="AE16" i="106" s="1"/>
  <c r="AH16" i="106" s="1"/>
  <c r="AB47" i="106"/>
  <c r="AC47" i="106" s="1"/>
  <c r="AE47" i="106" s="1"/>
  <c r="AL47" i="106" s="1"/>
  <c r="AB50" i="106"/>
  <c r="AC50" i="106" s="1"/>
  <c r="AE50" i="106" s="1"/>
  <c r="AL50" i="106" s="1"/>
  <c r="AB78" i="106"/>
  <c r="AC78" i="106" s="1"/>
  <c r="AE78" i="106" s="1"/>
  <c r="AH78" i="106" s="1"/>
  <c r="AB112" i="106"/>
  <c r="AC112" i="106" s="1"/>
  <c r="AE112" i="106" s="1"/>
  <c r="AH112" i="106" s="1"/>
  <c r="AL75" i="106"/>
  <c r="AH75" i="106"/>
  <c r="AL88" i="106"/>
  <c r="AH88" i="106"/>
  <c r="AH72" i="106"/>
  <c r="AL72" i="106"/>
  <c r="AH119" i="106"/>
  <c r="AL95" i="106"/>
  <c r="AH95" i="106"/>
  <c r="AN100" i="106"/>
  <c r="AM100" i="106"/>
  <c r="AL63" i="106"/>
  <c r="AH63" i="106"/>
  <c r="AL82" i="106"/>
  <c r="AL92" i="106"/>
  <c r="AH92" i="106"/>
  <c r="AN129" i="106"/>
  <c r="AM129" i="106"/>
  <c r="AL26" i="106"/>
  <c r="AH26" i="106"/>
  <c r="AL60" i="106"/>
  <c r="AH60" i="106"/>
  <c r="AL70" i="106"/>
  <c r="AH70" i="106"/>
  <c r="AL83" i="106"/>
  <c r="AH83" i="106"/>
  <c r="AL52" i="106"/>
  <c r="AL117" i="106"/>
  <c r="AH117" i="106"/>
  <c r="AL112" i="106"/>
  <c r="AM140" i="106"/>
  <c r="AH91" i="106"/>
  <c r="AL66" i="106"/>
  <c r="AL9" i="106"/>
  <c r="AH89" i="106"/>
  <c r="AL34" i="106"/>
  <c r="AH57" i="106"/>
  <c r="AH126" i="106"/>
  <c r="AL140" i="106"/>
  <c r="AH66" i="106"/>
  <c r="AL22" i="106"/>
  <c r="AH22" i="106"/>
  <c r="AL132" i="106"/>
  <c r="AH14" i="106"/>
  <c r="AL28" i="106"/>
  <c r="AH116" i="106"/>
  <c r="AL116" i="106"/>
  <c r="AH97" i="106"/>
  <c r="AL109" i="106"/>
  <c r="AH109" i="106"/>
  <c r="AH17" i="106"/>
  <c r="AL55" i="106"/>
  <c r="AH55" i="106"/>
  <c r="AL100" i="106"/>
  <c r="AH130" i="106"/>
  <c r="AL145" i="106"/>
  <c r="AH145" i="106"/>
  <c r="AL37" i="106"/>
  <c r="AH37" i="106"/>
  <c r="AH136" i="106"/>
  <c r="AL139" i="106"/>
  <c r="AH139" i="106"/>
  <c r="AL135" i="106"/>
  <c r="AH135" i="106"/>
  <c r="AL133" i="106"/>
  <c r="AH133" i="106"/>
  <c r="AL30" i="106"/>
  <c r="AH30" i="106"/>
  <c r="AL79" i="106"/>
  <c r="AL85" i="106"/>
  <c r="AL120" i="106"/>
  <c r="AH120" i="106"/>
  <c r="AL7" i="106"/>
  <c r="AH7" i="106"/>
  <c r="AL67" i="106"/>
  <c r="AH67" i="106"/>
  <c r="AB141" i="106"/>
  <c r="AC141" i="106" s="1"/>
  <c r="AE141" i="106" s="1"/>
  <c r="AB131" i="106"/>
  <c r="AC131" i="106" s="1"/>
  <c r="AE131" i="106" s="1"/>
  <c r="AH131" i="106" s="1"/>
  <c r="AB121" i="106"/>
  <c r="AC121" i="106" s="1"/>
  <c r="AE121" i="106" s="1"/>
  <c r="AL121" i="106" s="1"/>
  <c r="AB111" i="106"/>
  <c r="AC111" i="106" s="1"/>
  <c r="AE111" i="106" s="1"/>
  <c r="AH111" i="106" s="1"/>
  <c r="AB101" i="106"/>
  <c r="AC101" i="106" s="1"/>
  <c r="AE101" i="106" s="1"/>
  <c r="AH101" i="106" s="1"/>
  <c r="AB91" i="106"/>
  <c r="AC91" i="106" s="1"/>
  <c r="AE91" i="106" s="1"/>
  <c r="AL91" i="106" s="1"/>
  <c r="AB81" i="106"/>
  <c r="AC81" i="106" s="1"/>
  <c r="AE81" i="106" s="1"/>
  <c r="AL81" i="106" s="1"/>
  <c r="AB71" i="106"/>
  <c r="AC71" i="106" s="1"/>
  <c r="AE71" i="106" s="1"/>
  <c r="AH71" i="106" s="1"/>
  <c r="AB61" i="106"/>
  <c r="AC61" i="106" s="1"/>
  <c r="AE61" i="106" s="1"/>
  <c r="AB53" i="106"/>
  <c r="AC53" i="106" s="1"/>
  <c r="AE53" i="106" s="1"/>
  <c r="AH53" i="106" s="1"/>
  <c r="AB138" i="106"/>
  <c r="AC138" i="106" s="1"/>
  <c r="AE138" i="106" s="1"/>
  <c r="AL138" i="106" s="1"/>
  <c r="AB108" i="106"/>
  <c r="AC108" i="106" s="1"/>
  <c r="AE108" i="106" s="1"/>
  <c r="AL108" i="106" s="1"/>
  <c r="AB42" i="106"/>
  <c r="AC42" i="106" s="1"/>
  <c r="AE42" i="106" s="1"/>
  <c r="AL42" i="106" s="1"/>
  <c r="AB18" i="106"/>
  <c r="AC18" i="106" s="1"/>
  <c r="AE18" i="106" s="1"/>
  <c r="AH18" i="106" s="1"/>
  <c r="AB10" i="106"/>
  <c r="AC10" i="106" s="1"/>
  <c r="AE10" i="106" s="1"/>
  <c r="AL10" i="106" s="1"/>
  <c r="AB128" i="106"/>
  <c r="AC128" i="106" s="1"/>
  <c r="AE128" i="106" s="1"/>
  <c r="AH128" i="106" s="1"/>
  <c r="AB118" i="106"/>
  <c r="AC118" i="106" s="1"/>
  <c r="AE118" i="106" s="1"/>
  <c r="AL118" i="106" s="1"/>
  <c r="AB144" i="106"/>
  <c r="AC144" i="106" s="1"/>
  <c r="AE144" i="106" s="1"/>
  <c r="AB134" i="106"/>
  <c r="AC134" i="106" s="1"/>
  <c r="AE134" i="106" s="1"/>
  <c r="AB124" i="106"/>
  <c r="AC124" i="106" s="1"/>
  <c r="AE124" i="106" s="1"/>
  <c r="AB114" i="106"/>
  <c r="AC114" i="106" s="1"/>
  <c r="AE114" i="106" s="1"/>
  <c r="AB104" i="106"/>
  <c r="AC104" i="106" s="1"/>
  <c r="AE104" i="106" s="1"/>
  <c r="AB94" i="106"/>
  <c r="AC94" i="106" s="1"/>
  <c r="AE94" i="106" s="1"/>
  <c r="AB84" i="106"/>
  <c r="AC84" i="106" s="1"/>
  <c r="AE84" i="106" s="1"/>
  <c r="AB74" i="106"/>
  <c r="AC74" i="106" s="1"/>
  <c r="AE74" i="106" s="1"/>
  <c r="AB64" i="106"/>
  <c r="AC64" i="106" s="1"/>
  <c r="AE64" i="106" s="1"/>
  <c r="AH64" i="106" s="1"/>
  <c r="AB6" i="106"/>
  <c r="AC6" i="106" s="1"/>
  <c r="AE6" i="106" s="1"/>
  <c r="AB113" i="106"/>
  <c r="AC113" i="106" s="1"/>
  <c r="AE113" i="106" s="1"/>
  <c r="AB25" i="106"/>
  <c r="AC25" i="106" s="1"/>
  <c r="AE25" i="106" s="1"/>
  <c r="AB45" i="106"/>
  <c r="AC45" i="106" s="1"/>
  <c r="AE45" i="106" s="1"/>
  <c r="AB69" i="106"/>
  <c r="AC69" i="106" s="1"/>
  <c r="AE69" i="106" s="1"/>
  <c r="AH69" i="106" s="1"/>
  <c r="AB77" i="106"/>
  <c r="AC77" i="106" s="1"/>
  <c r="AE77" i="106" s="1"/>
  <c r="AB85" i="106"/>
  <c r="AC85" i="106" s="1"/>
  <c r="AE85" i="106" s="1"/>
  <c r="AH85" i="106" s="1"/>
  <c r="AB103" i="106"/>
  <c r="AC103" i="106" s="1"/>
  <c r="AE103" i="106" s="1"/>
  <c r="AH103" i="106" s="1"/>
  <c r="AH20" i="106" l="1"/>
  <c r="AN28" i="106"/>
  <c r="AM51" i="106"/>
  <c r="AL49" i="106"/>
  <c r="AL51" i="106"/>
  <c r="AH40" i="106"/>
  <c r="AM40" i="106" s="1"/>
  <c r="AN49" i="106"/>
  <c r="AM49" i="106"/>
  <c r="AM79" i="106"/>
  <c r="AN79" i="106"/>
  <c r="AH32" i="106"/>
  <c r="AL32" i="106"/>
  <c r="AL36" i="106"/>
  <c r="AH137" i="106"/>
  <c r="AH62" i="106"/>
  <c r="AN62" i="106" s="1"/>
  <c r="AH76" i="106"/>
  <c r="AH48" i="106"/>
  <c r="AN48" i="106" s="1"/>
  <c r="AH44" i="106"/>
  <c r="AM44" i="106" s="1"/>
  <c r="AL115" i="106"/>
  <c r="AH143" i="106"/>
  <c r="AM143" i="106" s="1"/>
  <c r="AH118" i="106"/>
  <c r="AM118" i="106" s="1"/>
  <c r="AH123" i="106"/>
  <c r="AN123" i="106" s="1"/>
  <c r="AH125" i="106"/>
  <c r="AN125" i="106" s="1"/>
  <c r="AL142" i="106"/>
  <c r="AH122" i="106"/>
  <c r="AN122" i="106" s="1"/>
  <c r="AH59" i="106"/>
  <c r="AN59" i="106" s="1"/>
  <c r="AL12" i="106"/>
  <c r="AM9" i="106"/>
  <c r="AL110" i="106"/>
  <c r="AL127" i="106"/>
  <c r="AH106" i="106"/>
  <c r="AL129" i="106"/>
  <c r="AL43" i="106"/>
  <c r="AL64" i="106"/>
  <c r="AL41" i="106"/>
  <c r="AH58" i="106"/>
  <c r="AN58" i="106" s="1"/>
  <c r="AH90" i="106"/>
  <c r="AN90" i="106" s="1"/>
  <c r="AN34" i="106"/>
  <c r="AL8" i="106"/>
  <c r="AL71" i="106"/>
  <c r="AL87" i="106"/>
  <c r="AH146" i="106"/>
  <c r="AM146" i="106" s="1"/>
  <c r="AH33" i="106"/>
  <c r="AM33" i="106" s="1"/>
  <c r="AH47" i="106"/>
  <c r="AM47" i="106" s="1"/>
  <c r="AL56" i="106"/>
  <c r="AH10" i="106"/>
  <c r="AN10" i="106" s="1"/>
  <c r="AH23" i="106"/>
  <c r="AM16" i="106"/>
  <c r="AN16" i="106"/>
  <c r="AL39" i="106"/>
  <c r="AH80" i="106"/>
  <c r="AH99" i="106"/>
  <c r="AL16" i="106"/>
  <c r="AL103" i="106"/>
  <c r="AH50" i="106"/>
  <c r="AL78" i="106"/>
  <c r="AL73" i="106"/>
  <c r="AL107" i="106"/>
  <c r="AH96" i="106"/>
  <c r="AN96" i="106" s="1"/>
  <c r="AH68" i="106"/>
  <c r="AN68" i="106" s="1"/>
  <c r="AL86" i="106"/>
  <c r="AL128" i="106"/>
  <c r="AH105" i="106"/>
  <c r="AN105" i="106" s="1"/>
  <c r="AL98" i="106"/>
  <c r="AH102" i="106"/>
  <c r="AM102" i="106" s="1"/>
  <c r="AH65" i="106"/>
  <c r="AM65" i="106" s="1"/>
  <c r="AL53" i="106"/>
  <c r="AL5" i="106"/>
  <c r="AH121" i="106"/>
  <c r="AH81" i="106"/>
  <c r="AM81" i="106" s="1"/>
  <c r="AH93" i="106"/>
  <c r="AH138" i="106"/>
  <c r="AM128" i="106"/>
  <c r="AN128" i="106"/>
  <c r="AN69" i="106"/>
  <c r="AM69" i="106"/>
  <c r="AM131" i="106"/>
  <c r="AN131" i="106"/>
  <c r="AM18" i="106"/>
  <c r="AN18" i="106"/>
  <c r="AN53" i="106"/>
  <c r="AM53" i="106"/>
  <c r="AM101" i="106"/>
  <c r="AN101" i="106"/>
  <c r="AM71" i="106"/>
  <c r="AN71" i="106"/>
  <c r="AN111" i="106"/>
  <c r="AM111" i="106"/>
  <c r="AN117" i="106"/>
  <c r="AM117" i="106"/>
  <c r="AM20" i="106"/>
  <c r="AN20" i="106"/>
  <c r="AN43" i="106"/>
  <c r="AM43" i="106"/>
  <c r="AN120" i="106"/>
  <c r="AM120" i="106"/>
  <c r="AN95" i="106"/>
  <c r="AM95" i="106"/>
  <c r="AH141" i="106"/>
  <c r="AL141" i="106"/>
  <c r="AN76" i="106"/>
  <c r="AM76" i="106"/>
  <c r="AN110" i="106"/>
  <c r="AM110" i="106"/>
  <c r="AN7" i="106"/>
  <c r="AM7" i="106"/>
  <c r="AM39" i="106"/>
  <c r="AN39" i="106"/>
  <c r="AL94" i="106"/>
  <c r="AH94" i="106"/>
  <c r="AN109" i="106"/>
  <c r="AM109" i="106"/>
  <c r="AN23" i="106"/>
  <c r="AM23" i="106"/>
  <c r="AN85" i="106"/>
  <c r="AM85" i="106"/>
  <c r="AM97" i="106"/>
  <c r="AN97" i="106"/>
  <c r="AM80" i="106"/>
  <c r="AN80" i="106"/>
  <c r="AM136" i="106"/>
  <c r="AN136" i="106"/>
  <c r="AM26" i="106"/>
  <c r="AN26" i="106"/>
  <c r="AN37" i="106"/>
  <c r="AM37" i="106"/>
  <c r="AN93" i="106"/>
  <c r="AM93" i="106"/>
  <c r="AM96" i="106"/>
  <c r="AN98" i="106"/>
  <c r="AM98" i="106"/>
  <c r="AN137" i="106"/>
  <c r="AM137" i="106"/>
  <c r="AN91" i="106"/>
  <c r="AM91" i="106"/>
  <c r="AN5" i="106"/>
  <c r="AM5" i="106"/>
  <c r="AM107" i="106"/>
  <c r="AN107" i="106"/>
  <c r="AN14" i="106"/>
  <c r="AM14" i="106"/>
  <c r="AL77" i="106"/>
  <c r="AH77" i="106"/>
  <c r="AL101" i="106"/>
  <c r="AN135" i="106"/>
  <c r="AM135" i="106"/>
  <c r="AH108" i="106"/>
  <c r="AN56" i="106"/>
  <c r="AM56" i="106"/>
  <c r="AL111" i="106"/>
  <c r="AN112" i="106"/>
  <c r="AM112" i="106"/>
  <c r="AN82" i="106"/>
  <c r="AM82" i="106"/>
  <c r="AN72" i="106"/>
  <c r="AM72" i="106"/>
  <c r="AL45" i="106"/>
  <c r="AH45" i="106"/>
  <c r="AL69" i="106"/>
  <c r="AM60" i="106"/>
  <c r="AN60" i="106"/>
  <c r="AN63" i="106"/>
  <c r="AM63" i="106"/>
  <c r="AL25" i="106"/>
  <c r="AH25" i="106"/>
  <c r="AN78" i="106"/>
  <c r="AM78" i="106"/>
  <c r="AN145" i="106"/>
  <c r="AM145" i="106"/>
  <c r="AM22" i="106"/>
  <c r="AN22" i="106"/>
  <c r="AN64" i="106"/>
  <c r="AM64" i="106"/>
  <c r="AN126" i="106"/>
  <c r="AM126" i="106"/>
  <c r="AN57" i="106"/>
  <c r="AM57" i="106"/>
  <c r="AN36" i="106"/>
  <c r="AM36" i="106"/>
  <c r="AH74" i="106"/>
  <c r="AL74" i="106"/>
  <c r="AM106" i="106"/>
  <c r="AN106" i="106"/>
  <c r="AM17" i="106"/>
  <c r="AN17" i="106"/>
  <c r="AL104" i="106"/>
  <c r="AH104" i="106"/>
  <c r="AN139" i="106"/>
  <c r="AM139" i="106"/>
  <c r="AL114" i="106"/>
  <c r="AH114" i="106"/>
  <c r="AM83" i="106"/>
  <c r="AN83" i="106"/>
  <c r="AN73" i="106"/>
  <c r="AM73" i="106"/>
  <c r="AH134" i="106"/>
  <c r="AL134" i="106"/>
  <c r="AN81" i="106"/>
  <c r="AN70" i="106"/>
  <c r="AM70" i="106"/>
  <c r="AN87" i="106"/>
  <c r="AM87" i="106"/>
  <c r="AN89" i="106"/>
  <c r="AM89" i="106"/>
  <c r="AH124" i="106"/>
  <c r="AL124" i="106"/>
  <c r="AM12" i="106"/>
  <c r="AN12" i="106"/>
  <c r="AM41" i="106"/>
  <c r="AN41" i="106"/>
  <c r="AN30" i="106"/>
  <c r="AM30" i="106"/>
  <c r="AN132" i="106"/>
  <c r="AM132" i="106"/>
  <c r="AN119" i="106"/>
  <c r="AM119" i="106"/>
  <c r="AN92" i="106"/>
  <c r="AM92" i="106"/>
  <c r="AN116" i="106"/>
  <c r="AM116" i="106"/>
  <c r="AM86" i="106"/>
  <c r="AN86" i="106"/>
  <c r="AH42" i="106"/>
  <c r="AL61" i="106"/>
  <c r="AH61" i="106"/>
  <c r="AN115" i="106"/>
  <c r="AM115" i="106"/>
  <c r="AM62" i="106"/>
  <c r="AL6" i="106"/>
  <c r="AH6" i="106"/>
  <c r="AN66" i="106"/>
  <c r="AM66" i="106"/>
  <c r="AL18" i="106"/>
  <c r="AN52" i="106"/>
  <c r="AM52" i="106"/>
  <c r="AN75" i="106"/>
  <c r="AM75" i="106"/>
  <c r="AN121" i="106"/>
  <c r="AM121" i="106"/>
  <c r="AL84" i="106"/>
  <c r="AH84" i="106"/>
  <c r="AM103" i="106"/>
  <c r="AN103" i="106"/>
  <c r="AL144" i="106"/>
  <c r="AH144" i="106"/>
  <c r="AL131" i="106"/>
  <c r="AN99" i="106"/>
  <c r="AM99" i="106"/>
  <c r="AN133" i="106"/>
  <c r="AM133" i="106"/>
  <c r="AN138" i="106"/>
  <c r="AM138" i="106"/>
  <c r="AH113" i="106"/>
  <c r="AL113" i="106"/>
  <c r="AN8" i="106"/>
  <c r="AM8" i="106"/>
  <c r="AM88" i="106"/>
  <c r="AN88" i="106"/>
  <c r="AM67" i="106"/>
  <c r="AN67" i="106"/>
  <c r="AN130" i="106"/>
  <c r="AM130" i="106"/>
  <c r="AN55" i="106"/>
  <c r="AM55" i="106"/>
  <c r="AN142" i="106"/>
  <c r="AM142" i="106"/>
  <c r="AN127" i="106"/>
  <c r="AM127" i="106"/>
  <c r="AN40" i="106" l="1"/>
  <c r="AN44" i="106"/>
  <c r="AM59" i="106"/>
  <c r="AM122" i="106"/>
  <c r="AM125" i="106"/>
  <c r="AM10" i="106"/>
  <c r="AM32" i="106"/>
  <c r="AN32" i="106"/>
  <c r="AM123" i="106"/>
  <c r="AN143" i="106"/>
  <c r="AM48" i="106"/>
  <c r="AN47" i="106"/>
  <c r="AN146" i="106"/>
  <c r="AN118" i="106"/>
  <c r="AM90" i="106"/>
  <c r="AM58" i="106"/>
  <c r="AN102" i="106"/>
  <c r="AN33" i="106"/>
  <c r="AM50" i="106"/>
  <c r="AN50" i="106"/>
  <c r="AM105" i="106"/>
  <c r="AM68" i="106"/>
  <c r="AN65" i="106"/>
  <c r="AM108" i="106"/>
  <c r="AN108" i="106"/>
  <c r="AN25" i="106"/>
  <c r="AM25" i="106"/>
  <c r="AN74" i="106"/>
  <c r="AM74" i="106"/>
  <c r="AN6" i="106"/>
  <c r="AM6" i="106"/>
  <c r="AN113" i="106"/>
  <c r="AM113" i="106"/>
  <c r="AN144" i="106"/>
  <c r="AM144" i="106"/>
  <c r="AN114" i="106"/>
  <c r="AM114" i="106"/>
  <c r="AM61" i="106"/>
  <c r="AN61" i="106"/>
  <c r="AM45" i="106"/>
  <c r="AN45" i="106"/>
  <c r="AM124" i="106"/>
  <c r="AN124" i="106"/>
  <c r="AN104" i="106"/>
  <c r="AM104" i="106"/>
  <c r="AN94" i="106"/>
  <c r="AM94" i="106"/>
  <c r="AM134" i="106"/>
  <c r="AN134" i="106"/>
  <c r="AN141" i="106"/>
  <c r="AM141" i="106"/>
  <c r="AN77" i="106"/>
  <c r="AM77" i="106"/>
  <c r="AN84" i="106"/>
  <c r="AM84" i="106"/>
  <c r="AN42" i="106"/>
  <c r="AM42" i="106"/>
  <c r="AF21" i="103" l="1"/>
  <c r="AF5" i="103"/>
  <c r="AZ18" i="103" l="1"/>
  <c r="N18" i="103"/>
  <c r="AF12" i="103"/>
  <c r="AZ13" i="103"/>
  <c r="N13" i="103"/>
  <c r="AZ10" i="103"/>
  <c r="N10" i="103"/>
  <c r="AF14" i="103"/>
  <c r="AF15" i="103"/>
  <c r="AZ16" i="103"/>
  <c r="N16" i="103"/>
  <c r="AF7" i="103"/>
  <c r="AZ8" i="103"/>
  <c r="N8" i="103"/>
  <c r="AZ6" i="103"/>
  <c r="N6" i="103"/>
  <c r="AZ5" i="103"/>
  <c r="AY5" i="103"/>
  <c r="AP5" i="103"/>
  <c r="AQ5" i="103" s="1"/>
  <c r="U5" i="103"/>
  <c r="V5" i="103" s="1"/>
  <c r="N5" i="103"/>
  <c r="AG1" i="103" l="1"/>
  <c r="AZ142" i="103"/>
  <c r="AY142" i="103"/>
  <c r="AP142" i="103"/>
  <c r="AQ142" i="103" s="1"/>
  <c r="U142" i="103"/>
  <c r="V142" i="103" s="1"/>
  <c r="N142" i="103"/>
  <c r="AZ141" i="103"/>
  <c r="AY141" i="103"/>
  <c r="AP141" i="103"/>
  <c r="AQ141" i="103" s="1"/>
  <c r="U141" i="103"/>
  <c r="V141" i="103" s="1"/>
  <c r="N141" i="103"/>
  <c r="AZ140" i="103"/>
  <c r="AY140" i="103"/>
  <c r="AP140" i="103"/>
  <c r="AQ140" i="103" s="1"/>
  <c r="U140" i="103"/>
  <c r="V140" i="103" s="1"/>
  <c r="N140" i="103"/>
  <c r="AZ139" i="103"/>
  <c r="AY139" i="103"/>
  <c r="AP139" i="103"/>
  <c r="AQ139" i="103" s="1"/>
  <c r="U139" i="103"/>
  <c r="V139" i="103" s="1"/>
  <c r="N139" i="103"/>
  <c r="AZ138" i="103"/>
  <c r="AY138" i="103"/>
  <c r="AP138" i="103"/>
  <c r="AQ138" i="103" s="1"/>
  <c r="U138" i="103"/>
  <c r="V138" i="103" s="1"/>
  <c r="N138" i="103"/>
  <c r="AZ137" i="103"/>
  <c r="AY137" i="103"/>
  <c r="AP137" i="103"/>
  <c r="AQ137" i="103" s="1"/>
  <c r="U137" i="103"/>
  <c r="V137" i="103" s="1"/>
  <c r="N137" i="103"/>
  <c r="AZ136" i="103"/>
  <c r="AY136" i="103"/>
  <c r="AP136" i="103"/>
  <c r="AQ136" i="103" s="1"/>
  <c r="U136" i="103"/>
  <c r="V136" i="103" s="1"/>
  <c r="N136" i="103"/>
  <c r="AZ135" i="103"/>
  <c r="AY135" i="103"/>
  <c r="AP135" i="103"/>
  <c r="AQ135" i="103" s="1"/>
  <c r="U135" i="103"/>
  <c r="V135" i="103" s="1"/>
  <c r="N135" i="103"/>
  <c r="AZ134" i="103"/>
  <c r="AY134" i="103"/>
  <c r="AP134" i="103"/>
  <c r="AQ134" i="103" s="1"/>
  <c r="U134" i="103"/>
  <c r="V134" i="103" s="1"/>
  <c r="N134" i="103"/>
  <c r="AZ133" i="103"/>
  <c r="AY133" i="103"/>
  <c r="AP133" i="103"/>
  <c r="AQ133" i="103" s="1"/>
  <c r="U133" i="103"/>
  <c r="V133" i="103" s="1"/>
  <c r="N133" i="103"/>
  <c r="AZ132" i="103"/>
  <c r="AY132" i="103"/>
  <c r="AP132" i="103"/>
  <c r="AQ132" i="103" s="1"/>
  <c r="U132" i="103"/>
  <c r="V132" i="103" s="1"/>
  <c r="N132" i="103"/>
  <c r="AZ131" i="103"/>
  <c r="AY131" i="103"/>
  <c r="AP131" i="103"/>
  <c r="AQ131" i="103" s="1"/>
  <c r="U131" i="103"/>
  <c r="V131" i="103" s="1"/>
  <c r="N131" i="103"/>
  <c r="AZ130" i="103"/>
  <c r="AY130" i="103"/>
  <c r="AP130" i="103"/>
  <c r="AQ130" i="103" s="1"/>
  <c r="U130" i="103"/>
  <c r="V130" i="103" s="1"/>
  <c r="N130" i="103"/>
  <c r="AZ129" i="103"/>
  <c r="AY129" i="103"/>
  <c r="AP129" i="103"/>
  <c r="AQ129" i="103" s="1"/>
  <c r="U129" i="103"/>
  <c r="V129" i="103" s="1"/>
  <c r="N129" i="103"/>
  <c r="AZ128" i="103"/>
  <c r="AY128" i="103"/>
  <c r="AP128" i="103"/>
  <c r="AQ128" i="103" s="1"/>
  <c r="U128" i="103"/>
  <c r="V128" i="103" s="1"/>
  <c r="N128" i="103"/>
  <c r="AZ127" i="103"/>
  <c r="AY127" i="103"/>
  <c r="AP127" i="103"/>
  <c r="AQ127" i="103" s="1"/>
  <c r="U127" i="103"/>
  <c r="V127" i="103" s="1"/>
  <c r="N127" i="103"/>
  <c r="AZ126" i="103"/>
  <c r="AY126" i="103"/>
  <c r="AP126" i="103"/>
  <c r="AQ126" i="103" s="1"/>
  <c r="U126" i="103"/>
  <c r="V126" i="103" s="1"/>
  <c r="N126" i="103"/>
  <c r="AZ125" i="103"/>
  <c r="AY125" i="103"/>
  <c r="AP125" i="103"/>
  <c r="AQ125" i="103" s="1"/>
  <c r="U125" i="103"/>
  <c r="V125" i="103" s="1"/>
  <c r="N125" i="103"/>
  <c r="AZ124" i="103"/>
  <c r="AY124" i="103"/>
  <c r="AP124" i="103"/>
  <c r="AQ124" i="103" s="1"/>
  <c r="U124" i="103"/>
  <c r="V124" i="103" s="1"/>
  <c r="N124" i="103"/>
  <c r="AZ123" i="103"/>
  <c r="AY123" i="103"/>
  <c r="AP123" i="103"/>
  <c r="AQ123" i="103" s="1"/>
  <c r="U123" i="103"/>
  <c r="V123" i="103" s="1"/>
  <c r="N123" i="103"/>
  <c r="AZ122" i="103"/>
  <c r="AY122" i="103"/>
  <c r="AP122" i="103"/>
  <c r="AQ122" i="103" s="1"/>
  <c r="U122" i="103"/>
  <c r="V122" i="103" s="1"/>
  <c r="N122" i="103"/>
  <c r="AZ121" i="103"/>
  <c r="AY121" i="103"/>
  <c r="AP121" i="103"/>
  <c r="AQ121" i="103" s="1"/>
  <c r="U121" i="103"/>
  <c r="V121" i="103" s="1"/>
  <c r="N121" i="103"/>
  <c r="AZ120" i="103"/>
  <c r="AY120" i="103"/>
  <c r="AP120" i="103"/>
  <c r="AQ120" i="103" s="1"/>
  <c r="U120" i="103"/>
  <c r="V120" i="103" s="1"/>
  <c r="N120" i="103"/>
  <c r="AZ119" i="103"/>
  <c r="AY119" i="103"/>
  <c r="AP119" i="103"/>
  <c r="AQ119" i="103" s="1"/>
  <c r="U119" i="103"/>
  <c r="V119" i="103" s="1"/>
  <c r="N119" i="103"/>
  <c r="AZ118" i="103"/>
  <c r="AY118" i="103"/>
  <c r="AP118" i="103"/>
  <c r="AQ118" i="103" s="1"/>
  <c r="U118" i="103"/>
  <c r="V118" i="103" s="1"/>
  <c r="N118" i="103"/>
  <c r="AZ117" i="103"/>
  <c r="AY117" i="103"/>
  <c r="AP117" i="103"/>
  <c r="AQ117" i="103" s="1"/>
  <c r="U117" i="103"/>
  <c r="V117" i="103" s="1"/>
  <c r="N117" i="103"/>
  <c r="AZ116" i="103"/>
  <c r="AY116" i="103"/>
  <c r="AP116" i="103"/>
  <c r="AQ116" i="103" s="1"/>
  <c r="U116" i="103"/>
  <c r="V116" i="103" s="1"/>
  <c r="N116" i="103"/>
  <c r="AZ115" i="103"/>
  <c r="AY115" i="103"/>
  <c r="AP115" i="103"/>
  <c r="AQ115" i="103" s="1"/>
  <c r="U115" i="103"/>
  <c r="V115" i="103" s="1"/>
  <c r="N115" i="103"/>
  <c r="AZ114" i="103"/>
  <c r="AY114" i="103"/>
  <c r="AP114" i="103"/>
  <c r="AQ114" i="103" s="1"/>
  <c r="U114" i="103"/>
  <c r="V114" i="103" s="1"/>
  <c r="N114" i="103"/>
  <c r="AZ113" i="103"/>
  <c r="AY113" i="103"/>
  <c r="AP113" i="103"/>
  <c r="AQ113" i="103" s="1"/>
  <c r="U113" i="103"/>
  <c r="V113" i="103" s="1"/>
  <c r="N113" i="103"/>
  <c r="AZ112" i="103"/>
  <c r="AY112" i="103"/>
  <c r="AP112" i="103"/>
  <c r="AQ112" i="103" s="1"/>
  <c r="U112" i="103"/>
  <c r="V112" i="103" s="1"/>
  <c r="N112" i="103"/>
  <c r="AZ111" i="103"/>
  <c r="AY111" i="103"/>
  <c r="AP111" i="103"/>
  <c r="AQ111" i="103" s="1"/>
  <c r="U111" i="103"/>
  <c r="V111" i="103" s="1"/>
  <c r="N111" i="103"/>
  <c r="AZ110" i="103"/>
  <c r="AY110" i="103"/>
  <c r="AP110" i="103"/>
  <c r="AQ110" i="103" s="1"/>
  <c r="U110" i="103"/>
  <c r="V110" i="103" s="1"/>
  <c r="N110" i="103"/>
  <c r="AZ109" i="103"/>
  <c r="AY109" i="103"/>
  <c r="AP109" i="103"/>
  <c r="AQ109" i="103" s="1"/>
  <c r="U109" i="103"/>
  <c r="V109" i="103" s="1"/>
  <c r="N109" i="103"/>
  <c r="AZ108" i="103"/>
  <c r="AY108" i="103"/>
  <c r="AP108" i="103"/>
  <c r="AQ108" i="103" s="1"/>
  <c r="U108" i="103"/>
  <c r="V108" i="103" s="1"/>
  <c r="N108" i="103"/>
  <c r="AZ107" i="103"/>
  <c r="AY107" i="103"/>
  <c r="AP107" i="103"/>
  <c r="AQ107" i="103" s="1"/>
  <c r="U107" i="103"/>
  <c r="V107" i="103" s="1"/>
  <c r="N107" i="103"/>
  <c r="AZ106" i="103"/>
  <c r="AY106" i="103"/>
  <c r="AP106" i="103"/>
  <c r="AQ106" i="103" s="1"/>
  <c r="U106" i="103"/>
  <c r="V106" i="103" s="1"/>
  <c r="N106" i="103"/>
  <c r="AZ105" i="103"/>
  <c r="AY105" i="103"/>
  <c r="AP105" i="103"/>
  <c r="AQ105" i="103" s="1"/>
  <c r="U105" i="103"/>
  <c r="V105" i="103" s="1"/>
  <c r="N105" i="103"/>
  <c r="AZ104" i="103"/>
  <c r="AY104" i="103"/>
  <c r="AP104" i="103"/>
  <c r="AQ104" i="103" s="1"/>
  <c r="U104" i="103"/>
  <c r="V104" i="103" s="1"/>
  <c r="N104" i="103"/>
  <c r="AZ103" i="103"/>
  <c r="AY103" i="103"/>
  <c r="AP103" i="103"/>
  <c r="AQ103" i="103" s="1"/>
  <c r="U103" i="103"/>
  <c r="V103" i="103" s="1"/>
  <c r="N103" i="103"/>
  <c r="AZ102" i="103"/>
  <c r="AY102" i="103"/>
  <c r="AP102" i="103"/>
  <c r="AQ102" i="103" s="1"/>
  <c r="U102" i="103"/>
  <c r="V102" i="103" s="1"/>
  <c r="N102" i="103"/>
  <c r="AZ101" i="103"/>
  <c r="AY101" i="103"/>
  <c r="AP101" i="103"/>
  <c r="AQ101" i="103" s="1"/>
  <c r="U101" i="103"/>
  <c r="V101" i="103" s="1"/>
  <c r="N101" i="103"/>
  <c r="AZ100" i="103"/>
  <c r="AY100" i="103"/>
  <c r="AP100" i="103"/>
  <c r="AQ100" i="103" s="1"/>
  <c r="U100" i="103"/>
  <c r="V100" i="103" s="1"/>
  <c r="N100" i="103"/>
  <c r="AZ99" i="103"/>
  <c r="AY99" i="103"/>
  <c r="AP99" i="103"/>
  <c r="AQ99" i="103" s="1"/>
  <c r="U99" i="103"/>
  <c r="V99" i="103" s="1"/>
  <c r="N99" i="103"/>
  <c r="AZ98" i="103"/>
  <c r="AY98" i="103"/>
  <c r="AP98" i="103"/>
  <c r="AQ98" i="103" s="1"/>
  <c r="U98" i="103"/>
  <c r="V98" i="103" s="1"/>
  <c r="N98" i="103"/>
  <c r="AZ97" i="103"/>
  <c r="AY97" i="103"/>
  <c r="AP97" i="103"/>
  <c r="AQ97" i="103" s="1"/>
  <c r="U97" i="103"/>
  <c r="V97" i="103" s="1"/>
  <c r="N97" i="103"/>
  <c r="AZ96" i="103"/>
  <c r="AY96" i="103"/>
  <c r="AP96" i="103"/>
  <c r="AQ96" i="103" s="1"/>
  <c r="U96" i="103"/>
  <c r="V96" i="103" s="1"/>
  <c r="N96" i="103"/>
  <c r="AZ95" i="103"/>
  <c r="AY95" i="103"/>
  <c r="AP95" i="103"/>
  <c r="AQ95" i="103" s="1"/>
  <c r="U95" i="103"/>
  <c r="V95" i="103" s="1"/>
  <c r="N95" i="103"/>
  <c r="AZ94" i="103"/>
  <c r="AY94" i="103"/>
  <c r="AP94" i="103"/>
  <c r="AQ94" i="103" s="1"/>
  <c r="U94" i="103"/>
  <c r="V94" i="103" s="1"/>
  <c r="N94" i="103"/>
  <c r="AZ93" i="103"/>
  <c r="AY93" i="103"/>
  <c r="AP93" i="103"/>
  <c r="AQ93" i="103" s="1"/>
  <c r="U93" i="103"/>
  <c r="V93" i="103" s="1"/>
  <c r="N93" i="103"/>
  <c r="AZ92" i="103"/>
  <c r="AY92" i="103"/>
  <c r="AP92" i="103"/>
  <c r="AQ92" i="103" s="1"/>
  <c r="U92" i="103"/>
  <c r="V92" i="103" s="1"/>
  <c r="N92" i="103"/>
  <c r="AZ91" i="103"/>
  <c r="AY91" i="103"/>
  <c r="AP91" i="103"/>
  <c r="AQ91" i="103" s="1"/>
  <c r="U91" i="103"/>
  <c r="V91" i="103" s="1"/>
  <c r="N91" i="103"/>
  <c r="AZ90" i="103"/>
  <c r="AY90" i="103"/>
  <c r="AP90" i="103"/>
  <c r="AQ90" i="103" s="1"/>
  <c r="U90" i="103"/>
  <c r="V90" i="103" s="1"/>
  <c r="N90" i="103"/>
  <c r="AZ89" i="103"/>
  <c r="AY89" i="103"/>
  <c r="AP89" i="103"/>
  <c r="AQ89" i="103" s="1"/>
  <c r="U89" i="103"/>
  <c r="V89" i="103" s="1"/>
  <c r="N89" i="103"/>
  <c r="AZ88" i="103"/>
  <c r="AY88" i="103"/>
  <c r="AP88" i="103"/>
  <c r="AQ88" i="103" s="1"/>
  <c r="U88" i="103"/>
  <c r="V88" i="103" s="1"/>
  <c r="N88" i="103"/>
  <c r="AZ87" i="103"/>
  <c r="AY87" i="103"/>
  <c r="AP87" i="103"/>
  <c r="AQ87" i="103" s="1"/>
  <c r="U87" i="103"/>
  <c r="V87" i="103" s="1"/>
  <c r="N87" i="103"/>
  <c r="AZ86" i="103"/>
  <c r="AY86" i="103"/>
  <c r="AP86" i="103"/>
  <c r="AQ86" i="103" s="1"/>
  <c r="U86" i="103"/>
  <c r="V86" i="103" s="1"/>
  <c r="N86" i="103"/>
  <c r="AZ85" i="103"/>
  <c r="AY85" i="103"/>
  <c r="AP85" i="103"/>
  <c r="AQ85" i="103" s="1"/>
  <c r="U85" i="103"/>
  <c r="V85" i="103" s="1"/>
  <c r="N85" i="103"/>
  <c r="AZ84" i="103"/>
  <c r="AY84" i="103"/>
  <c r="AP84" i="103"/>
  <c r="AQ84" i="103" s="1"/>
  <c r="U84" i="103"/>
  <c r="V84" i="103" s="1"/>
  <c r="N84" i="103"/>
  <c r="AZ83" i="103"/>
  <c r="AY83" i="103"/>
  <c r="AP83" i="103"/>
  <c r="AQ83" i="103" s="1"/>
  <c r="U83" i="103"/>
  <c r="V83" i="103" s="1"/>
  <c r="N83" i="103"/>
  <c r="AZ82" i="103"/>
  <c r="AY82" i="103"/>
  <c r="AP82" i="103"/>
  <c r="AQ82" i="103" s="1"/>
  <c r="U82" i="103"/>
  <c r="V82" i="103" s="1"/>
  <c r="N82" i="103"/>
  <c r="AZ81" i="103"/>
  <c r="AY81" i="103"/>
  <c r="AP81" i="103"/>
  <c r="AQ81" i="103" s="1"/>
  <c r="U81" i="103"/>
  <c r="V81" i="103" s="1"/>
  <c r="N81" i="103"/>
  <c r="AZ80" i="103"/>
  <c r="AY80" i="103"/>
  <c r="AP80" i="103"/>
  <c r="AQ80" i="103" s="1"/>
  <c r="U80" i="103"/>
  <c r="V80" i="103" s="1"/>
  <c r="N80" i="103"/>
  <c r="AZ79" i="103"/>
  <c r="AY79" i="103"/>
  <c r="AP79" i="103"/>
  <c r="AQ79" i="103" s="1"/>
  <c r="U79" i="103"/>
  <c r="V79" i="103" s="1"/>
  <c r="N79" i="103"/>
  <c r="AZ78" i="103"/>
  <c r="AY78" i="103"/>
  <c r="AP78" i="103"/>
  <c r="AQ78" i="103" s="1"/>
  <c r="U78" i="103"/>
  <c r="V78" i="103" s="1"/>
  <c r="N78" i="103"/>
  <c r="AZ77" i="103"/>
  <c r="AY77" i="103"/>
  <c r="AP77" i="103"/>
  <c r="AQ77" i="103" s="1"/>
  <c r="U77" i="103"/>
  <c r="V77" i="103" s="1"/>
  <c r="N77" i="103"/>
  <c r="AZ76" i="103"/>
  <c r="AY76" i="103"/>
  <c r="AP76" i="103"/>
  <c r="AQ76" i="103" s="1"/>
  <c r="U76" i="103"/>
  <c r="V76" i="103" s="1"/>
  <c r="N76" i="103"/>
  <c r="AZ75" i="103"/>
  <c r="AY75" i="103"/>
  <c r="AP75" i="103"/>
  <c r="AQ75" i="103" s="1"/>
  <c r="U75" i="103"/>
  <c r="V75" i="103" s="1"/>
  <c r="N75" i="103"/>
  <c r="AZ74" i="103"/>
  <c r="AY74" i="103"/>
  <c r="AP74" i="103"/>
  <c r="AQ74" i="103" s="1"/>
  <c r="U74" i="103"/>
  <c r="V74" i="103" s="1"/>
  <c r="N74" i="103"/>
  <c r="AZ73" i="103"/>
  <c r="AY73" i="103"/>
  <c r="AP73" i="103"/>
  <c r="AQ73" i="103" s="1"/>
  <c r="U73" i="103"/>
  <c r="V73" i="103" s="1"/>
  <c r="N73" i="103"/>
  <c r="AZ72" i="103"/>
  <c r="AY72" i="103"/>
  <c r="AP72" i="103"/>
  <c r="AQ72" i="103" s="1"/>
  <c r="U72" i="103"/>
  <c r="V72" i="103" s="1"/>
  <c r="N72" i="103"/>
  <c r="AZ71" i="103"/>
  <c r="AY71" i="103"/>
  <c r="AP71" i="103"/>
  <c r="AQ71" i="103" s="1"/>
  <c r="U71" i="103"/>
  <c r="V71" i="103" s="1"/>
  <c r="N71" i="103"/>
  <c r="AZ70" i="103"/>
  <c r="AY70" i="103"/>
  <c r="AP70" i="103"/>
  <c r="AQ70" i="103" s="1"/>
  <c r="U70" i="103"/>
  <c r="V70" i="103" s="1"/>
  <c r="N70" i="103"/>
  <c r="AZ69" i="103"/>
  <c r="AY69" i="103"/>
  <c r="AP69" i="103"/>
  <c r="AQ69" i="103" s="1"/>
  <c r="U69" i="103"/>
  <c r="V69" i="103" s="1"/>
  <c r="N69" i="103"/>
  <c r="AZ68" i="103"/>
  <c r="AY68" i="103"/>
  <c r="AP68" i="103"/>
  <c r="AQ68" i="103" s="1"/>
  <c r="U68" i="103"/>
  <c r="V68" i="103" s="1"/>
  <c r="N68" i="103"/>
  <c r="AZ67" i="103"/>
  <c r="AY67" i="103"/>
  <c r="AP67" i="103"/>
  <c r="AQ67" i="103" s="1"/>
  <c r="U67" i="103"/>
  <c r="V67" i="103" s="1"/>
  <c r="N67" i="103"/>
  <c r="AZ66" i="103"/>
  <c r="AY66" i="103"/>
  <c r="AP66" i="103"/>
  <c r="AQ66" i="103" s="1"/>
  <c r="U66" i="103"/>
  <c r="V66" i="103" s="1"/>
  <c r="N66" i="103"/>
  <c r="AZ65" i="103"/>
  <c r="AY65" i="103"/>
  <c r="AP65" i="103"/>
  <c r="AQ65" i="103" s="1"/>
  <c r="U65" i="103"/>
  <c r="V65" i="103" s="1"/>
  <c r="N65" i="103"/>
  <c r="AZ64" i="103"/>
  <c r="AY64" i="103"/>
  <c r="AP64" i="103"/>
  <c r="AQ64" i="103" s="1"/>
  <c r="U64" i="103"/>
  <c r="V64" i="103" s="1"/>
  <c r="N64" i="103"/>
  <c r="AZ63" i="103"/>
  <c r="AY63" i="103"/>
  <c r="AP63" i="103"/>
  <c r="AQ63" i="103" s="1"/>
  <c r="U63" i="103"/>
  <c r="V63" i="103" s="1"/>
  <c r="N63" i="103"/>
  <c r="AZ62" i="103"/>
  <c r="AY62" i="103"/>
  <c r="AP62" i="103"/>
  <c r="AQ62" i="103" s="1"/>
  <c r="U62" i="103"/>
  <c r="V62" i="103" s="1"/>
  <c r="N62" i="103"/>
  <c r="AZ61" i="103"/>
  <c r="AY61" i="103"/>
  <c r="AP61" i="103"/>
  <c r="AQ61" i="103" s="1"/>
  <c r="U61" i="103"/>
  <c r="V61" i="103" s="1"/>
  <c r="N61" i="103"/>
  <c r="AZ60" i="103"/>
  <c r="AY60" i="103"/>
  <c r="AP60" i="103"/>
  <c r="AQ60" i="103" s="1"/>
  <c r="U60" i="103"/>
  <c r="V60" i="103" s="1"/>
  <c r="N60" i="103"/>
  <c r="AZ59" i="103"/>
  <c r="AY59" i="103"/>
  <c r="AP59" i="103"/>
  <c r="AQ59" i="103" s="1"/>
  <c r="U59" i="103"/>
  <c r="V59" i="103" s="1"/>
  <c r="N59" i="103"/>
  <c r="AZ58" i="103"/>
  <c r="AY58" i="103"/>
  <c r="AP58" i="103"/>
  <c r="AQ58" i="103" s="1"/>
  <c r="U58" i="103"/>
  <c r="V58" i="103" s="1"/>
  <c r="N58" i="103"/>
  <c r="AZ57" i="103"/>
  <c r="AY57" i="103"/>
  <c r="AP57" i="103"/>
  <c r="AQ57" i="103" s="1"/>
  <c r="U57" i="103"/>
  <c r="V57" i="103" s="1"/>
  <c r="N57" i="103"/>
  <c r="AZ56" i="103"/>
  <c r="AY56" i="103"/>
  <c r="AP56" i="103"/>
  <c r="AQ56" i="103" s="1"/>
  <c r="U56" i="103"/>
  <c r="V56" i="103" s="1"/>
  <c r="N56" i="103"/>
  <c r="AZ55" i="103"/>
  <c r="AY55" i="103"/>
  <c r="AP55" i="103"/>
  <c r="AQ55" i="103" s="1"/>
  <c r="U55" i="103"/>
  <c r="V55" i="103" s="1"/>
  <c r="N55" i="103"/>
  <c r="AZ54" i="103"/>
  <c r="AY54" i="103"/>
  <c r="AP54" i="103"/>
  <c r="AQ54" i="103" s="1"/>
  <c r="U54" i="103"/>
  <c r="V54" i="103" s="1"/>
  <c r="N54" i="103"/>
  <c r="AZ53" i="103"/>
  <c r="AY53" i="103"/>
  <c r="AP53" i="103"/>
  <c r="AQ53" i="103" s="1"/>
  <c r="U53" i="103"/>
  <c r="V53" i="103" s="1"/>
  <c r="N53" i="103"/>
  <c r="AZ52" i="103"/>
  <c r="AY52" i="103"/>
  <c r="AP52" i="103"/>
  <c r="AQ52" i="103" s="1"/>
  <c r="U52" i="103"/>
  <c r="V52" i="103" s="1"/>
  <c r="N52" i="103"/>
  <c r="AZ51" i="103"/>
  <c r="AY51" i="103"/>
  <c r="AP51" i="103"/>
  <c r="AQ51" i="103" s="1"/>
  <c r="U51" i="103"/>
  <c r="V51" i="103" s="1"/>
  <c r="N51" i="103"/>
  <c r="AZ50" i="103"/>
  <c r="AY50" i="103"/>
  <c r="AP50" i="103"/>
  <c r="AQ50" i="103" s="1"/>
  <c r="U50" i="103"/>
  <c r="V50" i="103" s="1"/>
  <c r="N50" i="103"/>
  <c r="AZ49" i="103"/>
  <c r="AY49" i="103"/>
  <c r="AP49" i="103"/>
  <c r="AQ49" i="103" s="1"/>
  <c r="U49" i="103"/>
  <c r="V49" i="103" s="1"/>
  <c r="N49" i="103"/>
  <c r="AZ48" i="103"/>
  <c r="AY48" i="103"/>
  <c r="AP48" i="103"/>
  <c r="AQ48" i="103" s="1"/>
  <c r="U48" i="103"/>
  <c r="V48" i="103" s="1"/>
  <c r="N48" i="103"/>
  <c r="AZ47" i="103"/>
  <c r="AY47" i="103"/>
  <c r="AP47" i="103"/>
  <c r="AQ47" i="103" s="1"/>
  <c r="U47" i="103"/>
  <c r="V47" i="103" s="1"/>
  <c r="N47" i="103"/>
  <c r="AZ46" i="103"/>
  <c r="AY46" i="103"/>
  <c r="AP46" i="103"/>
  <c r="AQ46" i="103" s="1"/>
  <c r="U46" i="103"/>
  <c r="V46" i="103" s="1"/>
  <c r="N46" i="103"/>
  <c r="AZ45" i="103"/>
  <c r="AY45" i="103"/>
  <c r="AP45" i="103"/>
  <c r="AQ45" i="103" s="1"/>
  <c r="U45" i="103"/>
  <c r="V45" i="103" s="1"/>
  <c r="N45" i="103"/>
  <c r="AZ44" i="103"/>
  <c r="AY44" i="103"/>
  <c r="AP44" i="103"/>
  <c r="AQ44" i="103" s="1"/>
  <c r="U44" i="103"/>
  <c r="V44" i="103" s="1"/>
  <c r="N44" i="103"/>
  <c r="AZ43" i="103"/>
  <c r="AY43" i="103"/>
  <c r="AP43" i="103"/>
  <c r="AQ43" i="103" s="1"/>
  <c r="U43" i="103"/>
  <c r="V43" i="103" s="1"/>
  <c r="N43" i="103"/>
  <c r="AZ42" i="103"/>
  <c r="AY42" i="103"/>
  <c r="AP42" i="103"/>
  <c r="AQ42" i="103" s="1"/>
  <c r="U42" i="103"/>
  <c r="V42" i="103" s="1"/>
  <c r="N42" i="103"/>
  <c r="AZ41" i="103"/>
  <c r="AY41" i="103"/>
  <c r="AP41" i="103"/>
  <c r="AQ41" i="103" s="1"/>
  <c r="U41" i="103"/>
  <c r="V41" i="103" s="1"/>
  <c r="N41" i="103"/>
  <c r="AZ40" i="103"/>
  <c r="AY40" i="103"/>
  <c r="AP40" i="103"/>
  <c r="AQ40" i="103" s="1"/>
  <c r="U40" i="103"/>
  <c r="V40" i="103" s="1"/>
  <c r="N40" i="103"/>
  <c r="AZ39" i="103"/>
  <c r="AY39" i="103"/>
  <c r="AP39" i="103"/>
  <c r="AQ39" i="103" s="1"/>
  <c r="U39" i="103"/>
  <c r="V39" i="103" s="1"/>
  <c r="N39" i="103"/>
  <c r="AZ38" i="103"/>
  <c r="AY38" i="103"/>
  <c r="AP38" i="103"/>
  <c r="AQ38" i="103" s="1"/>
  <c r="U38" i="103"/>
  <c r="V38" i="103" s="1"/>
  <c r="N38" i="103"/>
  <c r="AZ37" i="103"/>
  <c r="AY37" i="103"/>
  <c r="AP37" i="103"/>
  <c r="AQ37" i="103" s="1"/>
  <c r="U37" i="103"/>
  <c r="V37" i="103" s="1"/>
  <c r="N37" i="103"/>
  <c r="AZ36" i="103"/>
  <c r="AY36" i="103"/>
  <c r="AP36" i="103"/>
  <c r="AQ36" i="103" s="1"/>
  <c r="U36" i="103"/>
  <c r="V36" i="103" s="1"/>
  <c r="N36" i="103"/>
  <c r="AZ35" i="103"/>
  <c r="AY35" i="103"/>
  <c r="AP35" i="103"/>
  <c r="AQ35" i="103" s="1"/>
  <c r="U35" i="103"/>
  <c r="V35" i="103" s="1"/>
  <c r="N35" i="103"/>
  <c r="AZ34" i="103"/>
  <c r="AY34" i="103"/>
  <c r="AP34" i="103"/>
  <c r="AQ34" i="103" s="1"/>
  <c r="U34" i="103"/>
  <c r="V34" i="103" s="1"/>
  <c r="N34" i="103"/>
  <c r="AZ33" i="103"/>
  <c r="AY33" i="103"/>
  <c r="AP33" i="103"/>
  <c r="AQ33" i="103" s="1"/>
  <c r="U33" i="103"/>
  <c r="V33" i="103" s="1"/>
  <c r="N33" i="103"/>
  <c r="AZ32" i="103"/>
  <c r="AY32" i="103"/>
  <c r="AP32" i="103"/>
  <c r="AQ32" i="103" s="1"/>
  <c r="U32" i="103"/>
  <c r="V32" i="103" s="1"/>
  <c r="N32" i="103"/>
  <c r="AZ31" i="103"/>
  <c r="AY31" i="103"/>
  <c r="AP31" i="103"/>
  <c r="AQ31" i="103" s="1"/>
  <c r="U31" i="103"/>
  <c r="V31" i="103" s="1"/>
  <c r="N31" i="103"/>
  <c r="AZ30" i="103"/>
  <c r="AY30" i="103"/>
  <c r="AP30" i="103"/>
  <c r="AQ30" i="103" s="1"/>
  <c r="U30" i="103"/>
  <c r="V30" i="103" s="1"/>
  <c r="N30" i="103"/>
  <c r="AZ29" i="103"/>
  <c r="AY29" i="103"/>
  <c r="AP29" i="103"/>
  <c r="AQ29" i="103" s="1"/>
  <c r="U29" i="103"/>
  <c r="V29" i="103" s="1"/>
  <c r="N29" i="103"/>
  <c r="AZ28" i="103"/>
  <c r="N28" i="103"/>
  <c r="AZ27" i="103"/>
  <c r="AY27" i="103"/>
  <c r="AP27" i="103"/>
  <c r="AQ27" i="103" s="1"/>
  <c r="U27" i="103"/>
  <c r="V27" i="103" s="1"/>
  <c r="N27" i="103"/>
  <c r="AZ26" i="103"/>
  <c r="N26" i="103"/>
  <c r="AZ25" i="103"/>
  <c r="AY25" i="103"/>
  <c r="AP25" i="103"/>
  <c r="AQ25" i="103" s="1"/>
  <c r="U25" i="103"/>
  <c r="V25" i="103" s="1"/>
  <c r="N25" i="103"/>
  <c r="AZ24" i="103"/>
  <c r="N24" i="103"/>
  <c r="AZ23" i="103"/>
  <c r="AY23" i="103"/>
  <c r="AP23" i="103"/>
  <c r="AQ23" i="103" s="1"/>
  <c r="U23" i="103"/>
  <c r="V23" i="103" s="1"/>
  <c r="N23" i="103"/>
  <c r="AZ22" i="103"/>
  <c r="N22" i="103"/>
  <c r="AZ21" i="103"/>
  <c r="AY21" i="103"/>
  <c r="AP21" i="103"/>
  <c r="AQ21" i="103" s="1"/>
  <c r="U21" i="103"/>
  <c r="V21" i="103" s="1"/>
  <c r="N21" i="103"/>
  <c r="AZ20" i="103"/>
  <c r="N20" i="103"/>
  <c r="AZ19" i="103"/>
  <c r="AY19" i="103"/>
  <c r="AP19" i="103"/>
  <c r="AQ19" i="103" s="1"/>
  <c r="U19" i="103"/>
  <c r="V19" i="103" s="1"/>
  <c r="N19" i="103"/>
  <c r="AZ17" i="103"/>
  <c r="AY17" i="103"/>
  <c r="AP17" i="103"/>
  <c r="AQ17" i="103" s="1"/>
  <c r="U17" i="103"/>
  <c r="V17" i="103" s="1"/>
  <c r="N17" i="103"/>
  <c r="AZ15" i="103"/>
  <c r="AY15" i="103"/>
  <c r="AP15" i="103"/>
  <c r="AQ15" i="103" s="1"/>
  <c r="U15" i="103"/>
  <c r="V15" i="103" s="1"/>
  <c r="N15" i="103"/>
  <c r="AZ14" i="103"/>
  <c r="AY14" i="103"/>
  <c r="AP14" i="103"/>
  <c r="AQ14" i="103" s="1"/>
  <c r="U14" i="103"/>
  <c r="V14" i="103" s="1"/>
  <c r="N14" i="103"/>
  <c r="AZ12" i="103"/>
  <c r="AY12" i="103"/>
  <c r="AP12" i="103"/>
  <c r="AQ12" i="103" s="1"/>
  <c r="U12" i="103"/>
  <c r="V12" i="103" s="1"/>
  <c r="N12" i="103"/>
  <c r="AZ11" i="103"/>
  <c r="AY11" i="103"/>
  <c r="AP11" i="103"/>
  <c r="AQ11" i="103" s="1"/>
  <c r="U11" i="103"/>
  <c r="V11" i="103" s="1"/>
  <c r="N11" i="103"/>
  <c r="AZ9" i="103"/>
  <c r="AY9" i="103"/>
  <c r="AP9" i="103"/>
  <c r="AQ9" i="103" s="1"/>
  <c r="U9" i="103"/>
  <c r="V9" i="103" s="1"/>
  <c r="N9" i="103"/>
  <c r="AZ7" i="103"/>
  <c r="AY7" i="103"/>
  <c r="AP7" i="103"/>
  <c r="AQ7" i="103" s="1"/>
  <c r="U7" i="103"/>
  <c r="V7" i="103" s="1"/>
  <c r="N7" i="103"/>
  <c r="AU2" i="103"/>
  <c r="Y2" i="103"/>
  <c r="AA2" i="103" s="1"/>
  <c r="I2" i="103"/>
  <c r="AB140" i="103" s="1"/>
  <c r="AC140" i="103" s="1"/>
  <c r="AE140" i="103" s="1"/>
  <c r="AB25" i="103" l="1"/>
  <c r="AC25" i="103" s="1"/>
  <c r="AE25" i="103" s="1"/>
  <c r="AH25" i="103" s="1"/>
  <c r="AB5" i="103"/>
  <c r="AC5" i="103" s="1"/>
  <c r="AE5" i="103" s="1"/>
  <c r="AB110" i="103"/>
  <c r="AC110" i="103" s="1"/>
  <c r="AE110" i="103" s="1"/>
  <c r="AB42" i="103"/>
  <c r="AC42" i="103" s="1"/>
  <c r="AE42" i="103" s="1"/>
  <c r="AB95" i="103"/>
  <c r="AC95" i="103" s="1"/>
  <c r="AE95" i="103" s="1"/>
  <c r="AB48" i="103"/>
  <c r="AC48" i="103" s="1"/>
  <c r="AE48" i="103" s="1"/>
  <c r="AB9" i="103"/>
  <c r="AC9" i="103" s="1"/>
  <c r="AE9" i="103" s="1"/>
  <c r="AH9" i="103" s="1"/>
  <c r="AB33" i="103"/>
  <c r="AC33" i="103" s="1"/>
  <c r="AE33" i="103" s="1"/>
  <c r="AL33" i="103" s="1"/>
  <c r="AH110" i="103"/>
  <c r="AN110" i="103" s="1"/>
  <c r="AB68" i="103"/>
  <c r="AC68" i="103" s="1"/>
  <c r="AE68" i="103" s="1"/>
  <c r="AL68" i="103" s="1"/>
  <c r="AB23" i="103"/>
  <c r="AC23" i="103" s="1"/>
  <c r="AE23" i="103" s="1"/>
  <c r="AH23" i="103" s="1"/>
  <c r="AB39" i="103"/>
  <c r="AC39" i="103" s="1"/>
  <c r="AE39" i="103" s="1"/>
  <c r="AH39" i="103" s="1"/>
  <c r="AB58" i="103"/>
  <c r="AC58" i="103" s="1"/>
  <c r="AE58" i="103" s="1"/>
  <c r="AL58" i="103" s="1"/>
  <c r="AB15" i="103"/>
  <c r="AC15" i="103" s="1"/>
  <c r="AE15" i="103" s="1"/>
  <c r="AL15" i="103" s="1"/>
  <c r="AB62" i="103"/>
  <c r="AC62" i="103" s="1"/>
  <c r="AE62" i="103" s="1"/>
  <c r="AH62" i="103" s="1"/>
  <c r="AB108" i="103"/>
  <c r="AC108" i="103" s="1"/>
  <c r="AE108" i="103" s="1"/>
  <c r="AH108" i="103" s="1"/>
  <c r="AB46" i="103"/>
  <c r="AC46" i="103" s="1"/>
  <c r="AE46" i="103" s="1"/>
  <c r="AH46" i="103" s="1"/>
  <c r="AN46" i="103" s="1"/>
  <c r="AB59" i="103"/>
  <c r="AC59" i="103" s="1"/>
  <c r="AE59" i="103" s="1"/>
  <c r="AH59" i="103" s="1"/>
  <c r="AB105" i="103"/>
  <c r="AC105" i="103" s="1"/>
  <c r="AE105" i="103" s="1"/>
  <c r="AL105" i="103" s="1"/>
  <c r="AB56" i="103"/>
  <c r="AC56" i="103" s="1"/>
  <c r="AE56" i="103" s="1"/>
  <c r="AL56" i="103" s="1"/>
  <c r="AB72" i="103"/>
  <c r="AC72" i="103" s="1"/>
  <c r="AE72" i="103" s="1"/>
  <c r="AL72" i="103" s="1"/>
  <c r="AB102" i="103"/>
  <c r="AC102" i="103" s="1"/>
  <c r="AE102" i="103" s="1"/>
  <c r="AL102" i="103" s="1"/>
  <c r="AB82" i="103"/>
  <c r="AC82" i="103" s="1"/>
  <c r="AE82" i="103" s="1"/>
  <c r="AL82" i="103" s="1"/>
  <c r="AB27" i="103"/>
  <c r="AC27" i="103" s="1"/>
  <c r="AE27" i="103" s="1"/>
  <c r="AL27" i="103" s="1"/>
  <c r="AB43" i="103"/>
  <c r="AC43" i="103" s="1"/>
  <c r="AE43" i="103" s="1"/>
  <c r="AL43" i="103" s="1"/>
  <c r="AB66" i="103"/>
  <c r="AC66" i="103" s="1"/>
  <c r="AE66" i="103" s="1"/>
  <c r="AL66" i="103" s="1"/>
  <c r="AB53" i="103"/>
  <c r="AC53" i="103" s="1"/>
  <c r="AE53" i="103" s="1"/>
  <c r="AL53" i="103" s="1"/>
  <c r="AB50" i="103"/>
  <c r="AC50" i="103" s="1"/>
  <c r="AE50" i="103" s="1"/>
  <c r="AH50" i="103" s="1"/>
  <c r="AB86" i="103"/>
  <c r="AC86" i="103" s="1"/>
  <c r="AE86" i="103" s="1"/>
  <c r="AH86" i="103" s="1"/>
  <c r="AB115" i="103"/>
  <c r="AC115" i="103" s="1"/>
  <c r="AE115" i="103" s="1"/>
  <c r="AL115" i="103" s="1"/>
  <c r="AB11" i="103"/>
  <c r="AC11" i="103" s="1"/>
  <c r="AE11" i="103" s="1"/>
  <c r="AH11" i="103" s="1"/>
  <c r="AB112" i="103"/>
  <c r="AC112" i="103" s="1"/>
  <c r="AE112" i="103" s="1"/>
  <c r="AL112" i="103" s="1"/>
  <c r="AB103" i="103"/>
  <c r="AC103" i="103" s="1"/>
  <c r="AE103" i="103" s="1"/>
  <c r="AH103" i="103" s="1"/>
  <c r="AB93" i="103"/>
  <c r="AC93" i="103" s="1"/>
  <c r="AE93" i="103" s="1"/>
  <c r="AL93" i="103" s="1"/>
  <c r="AB31" i="103"/>
  <c r="AC31" i="103" s="1"/>
  <c r="AE31" i="103" s="1"/>
  <c r="AL31" i="103" s="1"/>
  <c r="AB21" i="103"/>
  <c r="AC21" i="103" s="1"/>
  <c r="AE21" i="103" s="1"/>
  <c r="AH21" i="103" s="1"/>
  <c r="AB76" i="103"/>
  <c r="AC76" i="103" s="1"/>
  <c r="AE76" i="103" s="1"/>
  <c r="AH76" i="103" s="1"/>
  <c r="AB138" i="103"/>
  <c r="AC138" i="103" s="1"/>
  <c r="AE138" i="103" s="1"/>
  <c r="AH138" i="103" s="1"/>
  <c r="AB129" i="103"/>
  <c r="AC129" i="103" s="1"/>
  <c r="AE129" i="103" s="1"/>
  <c r="AH129" i="103" s="1"/>
  <c r="AB70" i="103"/>
  <c r="AC70" i="103" s="1"/>
  <c r="AE70" i="103" s="1"/>
  <c r="AL70" i="103" s="1"/>
  <c r="AB119" i="103"/>
  <c r="AC119" i="103" s="1"/>
  <c r="AE119" i="103" s="1"/>
  <c r="AH119" i="103" s="1"/>
  <c r="AB126" i="103"/>
  <c r="AC126" i="103" s="1"/>
  <c r="AE126" i="103" s="1"/>
  <c r="AH126" i="103" s="1"/>
  <c r="AB136" i="103"/>
  <c r="AC136" i="103" s="1"/>
  <c r="AE136" i="103" s="1"/>
  <c r="AH136" i="103" s="1"/>
  <c r="AB29" i="103"/>
  <c r="AC29" i="103" s="1"/>
  <c r="AE29" i="103" s="1"/>
  <c r="AH29" i="103" s="1"/>
  <c r="AL95" i="103"/>
  <c r="AH95" i="103"/>
  <c r="AL42" i="103"/>
  <c r="AH42" i="103"/>
  <c r="AL48" i="103"/>
  <c r="AH48" i="103"/>
  <c r="AL140" i="103"/>
  <c r="AH140" i="103"/>
  <c r="AL110" i="103"/>
  <c r="AB45" i="103"/>
  <c r="AC45" i="103" s="1"/>
  <c r="AE45" i="103" s="1"/>
  <c r="AL45" i="103" s="1"/>
  <c r="AB51" i="103"/>
  <c r="AC51" i="103" s="1"/>
  <c r="AE51" i="103" s="1"/>
  <c r="AH51" i="103" s="1"/>
  <c r="AB89" i="103"/>
  <c r="AC89" i="103" s="1"/>
  <c r="AE89" i="103" s="1"/>
  <c r="AB137" i="103"/>
  <c r="AC137" i="103" s="1"/>
  <c r="AE137" i="103" s="1"/>
  <c r="AB127" i="103"/>
  <c r="AC127" i="103" s="1"/>
  <c r="AE127" i="103" s="1"/>
  <c r="AB117" i="103"/>
  <c r="AC117" i="103" s="1"/>
  <c r="AE117" i="103" s="1"/>
  <c r="AB107" i="103"/>
  <c r="AC107" i="103" s="1"/>
  <c r="AE107" i="103" s="1"/>
  <c r="AB97" i="103"/>
  <c r="AC97" i="103" s="1"/>
  <c r="AE97" i="103" s="1"/>
  <c r="AB87" i="103"/>
  <c r="AC87" i="103" s="1"/>
  <c r="AE87" i="103" s="1"/>
  <c r="AB77" i="103"/>
  <c r="AC77" i="103" s="1"/>
  <c r="AE77" i="103" s="1"/>
  <c r="AB67" i="103"/>
  <c r="AC67" i="103" s="1"/>
  <c r="AE67" i="103" s="1"/>
  <c r="AL67" i="103" s="1"/>
  <c r="AB57" i="103"/>
  <c r="AC57" i="103" s="1"/>
  <c r="AE57" i="103" s="1"/>
  <c r="AL57" i="103" s="1"/>
  <c r="AB47" i="103"/>
  <c r="AC47" i="103" s="1"/>
  <c r="AE47" i="103" s="1"/>
  <c r="AH47" i="103" s="1"/>
  <c r="AB37" i="103"/>
  <c r="AC37" i="103" s="1"/>
  <c r="AE37" i="103" s="1"/>
  <c r="AH37" i="103" s="1"/>
  <c r="AB17" i="103"/>
  <c r="AC17" i="103" s="1"/>
  <c r="AE17" i="103" s="1"/>
  <c r="AH17" i="103" s="1"/>
  <c r="AB134" i="103"/>
  <c r="AC134" i="103" s="1"/>
  <c r="AE134" i="103" s="1"/>
  <c r="AL134" i="103" s="1"/>
  <c r="AB124" i="103"/>
  <c r="AC124" i="103" s="1"/>
  <c r="AE124" i="103" s="1"/>
  <c r="AH124" i="103" s="1"/>
  <c r="AB114" i="103"/>
  <c r="AC114" i="103" s="1"/>
  <c r="AE114" i="103" s="1"/>
  <c r="AL114" i="103" s="1"/>
  <c r="AB104" i="103"/>
  <c r="AC104" i="103" s="1"/>
  <c r="AE104" i="103" s="1"/>
  <c r="AL104" i="103" s="1"/>
  <c r="AB94" i="103"/>
  <c r="AC94" i="103" s="1"/>
  <c r="AE94" i="103" s="1"/>
  <c r="AB84" i="103"/>
  <c r="AC84" i="103" s="1"/>
  <c r="AE84" i="103" s="1"/>
  <c r="AL84" i="103" s="1"/>
  <c r="AB74" i="103"/>
  <c r="AC74" i="103" s="1"/>
  <c r="AE74" i="103" s="1"/>
  <c r="AL74" i="103" s="1"/>
  <c r="AB64" i="103"/>
  <c r="AC64" i="103" s="1"/>
  <c r="AE64" i="103" s="1"/>
  <c r="AH64" i="103" s="1"/>
  <c r="AB54" i="103"/>
  <c r="AC54" i="103" s="1"/>
  <c r="AE54" i="103" s="1"/>
  <c r="AB44" i="103"/>
  <c r="AC44" i="103" s="1"/>
  <c r="AE44" i="103" s="1"/>
  <c r="AH44" i="103" s="1"/>
  <c r="AB30" i="103"/>
  <c r="AC30" i="103" s="1"/>
  <c r="AE30" i="103" s="1"/>
  <c r="AH30" i="103" s="1"/>
  <c r="AB131" i="103"/>
  <c r="AC131" i="103" s="1"/>
  <c r="AE131" i="103" s="1"/>
  <c r="AH131" i="103" s="1"/>
  <c r="AB111" i="103"/>
  <c r="AC111" i="103" s="1"/>
  <c r="AE111" i="103" s="1"/>
  <c r="AL111" i="103" s="1"/>
  <c r="AB101" i="103"/>
  <c r="AC101" i="103" s="1"/>
  <c r="AE101" i="103" s="1"/>
  <c r="AL101" i="103" s="1"/>
  <c r="AB81" i="103"/>
  <c r="AC81" i="103" s="1"/>
  <c r="AE81" i="103" s="1"/>
  <c r="AL81" i="103" s="1"/>
  <c r="AB141" i="103"/>
  <c r="AC141" i="103" s="1"/>
  <c r="AE141" i="103" s="1"/>
  <c r="AL141" i="103" s="1"/>
  <c r="AB121" i="103"/>
  <c r="AC121" i="103" s="1"/>
  <c r="AE121" i="103" s="1"/>
  <c r="AL121" i="103" s="1"/>
  <c r="AB91" i="103"/>
  <c r="AC91" i="103" s="1"/>
  <c r="AE91" i="103" s="1"/>
  <c r="AH91" i="103" s="1"/>
  <c r="AB80" i="103"/>
  <c r="AC80" i="103" s="1"/>
  <c r="AE80" i="103" s="1"/>
  <c r="AB65" i="103"/>
  <c r="AC65" i="103" s="1"/>
  <c r="AE65" i="103" s="1"/>
  <c r="AL65" i="103" s="1"/>
  <c r="AB118" i="103"/>
  <c r="AC118" i="103" s="1"/>
  <c r="AE118" i="103" s="1"/>
  <c r="AL118" i="103" s="1"/>
  <c r="AB113" i="103"/>
  <c r="AC113" i="103" s="1"/>
  <c r="AE113" i="103" s="1"/>
  <c r="AH113" i="103" s="1"/>
  <c r="AB19" i="103"/>
  <c r="AC19" i="103" s="1"/>
  <c r="AE19" i="103" s="1"/>
  <c r="AL19" i="103" s="1"/>
  <c r="AB12" i="103"/>
  <c r="AC12" i="103" s="1"/>
  <c r="AE12" i="103" s="1"/>
  <c r="AL12" i="103" s="1"/>
  <c r="AB132" i="103"/>
  <c r="AC132" i="103" s="1"/>
  <c r="AE132" i="103" s="1"/>
  <c r="AB78" i="103"/>
  <c r="AC78" i="103" s="1"/>
  <c r="AE78" i="103" s="1"/>
  <c r="AL78" i="103" s="1"/>
  <c r="AB92" i="103"/>
  <c r="AC92" i="103" s="1"/>
  <c r="AE92" i="103" s="1"/>
  <c r="AL92" i="103" s="1"/>
  <c r="AB85" i="103"/>
  <c r="AC85" i="103" s="1"/>
  <c r="AE85" i="103" s="1"/>
  <c r="AH85" i="103" s="1"/>
  <c r="AB73" i="103"/>
  <c r="AC73" i="103" s="1"/>
  <c r="AE73" i="103" s="1"/>
  <c r="AL73" i="103" s="1"/>
  <c r="AB125" i="103"/>
  <c r="AC125" i="103" s="1"/>
  <c r="AE125" i="103" s="1"/>
  <c r="AL125" i="103" s="1"/>
  <c r="AB139" i="103"/>
  <c r="AC139" i="103" s="1"/>
  <c r="AE139" i="103" s="1"/>
  <c r="AL139" i="103" s="1"/>
  <c r="AB130" i="103"/>
  <c r="AC130" i="103" s="1"/>
  <c r="AE130" i="103" s="1"/>
  <c r="AL130" i="103" s="1"/>
  <c r="AB106" i="103"/>
  <c r="AC106" i="103" s="1"/>
  <c r="AE106" i="103" s="1"/>
  <c r="AH106" i="103" s="1"/>
  <c r="AB99" i="103"/>
  <c r="AC99" i="103" s="1"/>
  <c r="AE99" i="103" s="1"/>
  <c r="AL99" i="103" s="1"/>
  <c r="AB60" i="103"/>
  <c r="AC60" i="103" s="1"/>
  <c r="AE60" i="103" s="1"/>
  <c r="AL60" i="103" s="1"/>
  <c r="AB41" i="103"/>
  <c r="AC41" i="103" s="1"/>
  <c r="AE41" i="103" s="1"/>
  <c r="AH41" i="103" s="1"/>
  <c r="AB63" i="103"/>
  <c r="AC63" i="103" s="1"/>
  <c r="AE63" i="103" s="1"/>
  <c r="AL63" i="103" s="1"/>
  <c r="AB49" i="103"/>
  <c r="AC49" i="103" s="1"/>
  <c r="AE49" i="103" s="1"/>
  <c r="AH49" i="103" s="1"/>
  <c r="AB32" i="103"/>
  <c r="AC32" i="103" s="1"/>
  <c r="AE32" i="103" s="1"/>
  <c r="AL32" i="103" s="1"/>
  <c r="AB116" i="103"/>
  <c r="AC116" i="103" s="1"/>
  <c r="AE116" i="103" s="1"/>
  <c r="AL116" i="103" s="1"/>
  <c r="AB90" i="103"/>
  <c r="AC90" i="103" s="1"/>
  <c r="AE90" i="103" s="1"/>
  <c r="AH90" i="103" s="1"/>
  <c r="AB128" i="103"/>
  <c r="AC128" i="103" s="1"/>
  <c r="AE128" i="103" s="1"/>
  <c r="AL128" i="103" s="1"/>
  <c r="AB123" i="103"/>
  <c r="AC123" i="103" s="1"/>
  <c r="AE123" i="103" s="1"/>
  <c r="AH123" i="103" s="1"/>
  <c r="AB71" i="103"/>
  <c r="AC71" i="103" s="1"/>
  <c r="AE71" i="103" s="1"/>
  <c r="AL71" i="103" s="1"/>
  <c r="AB52" i="103"/>
  <c r="AC52" i="103" s="1"/>
  <c r="AE52" i="103" s="1"/>
  <c r="AL52" i="103" s="1"/>
  <c r="AB35" i="103"/>
  <c r="AC35" i="103" s="1"/>
  <c r="AE35" i="103" s="1"/>
  <c r="AH35" i="103" s="1"/>
  <c r="AB142" i="103"/>
  <c r="AC142" i="103" s="1"/>
  <c r="AE142" i="103" s="1"/>
  <c r="AH142" i="103" s="1"/>
  <c r="AB135" i="103"/>
  <c r="AC135" i="103" s="1"/>
  <c r="AE135" i="103" s="1"/>
  <c r="AL135" i="103" s="1"/>
  <c r="AB88" i="103"/>
  <c r="AC88" i="103" s="1"/>
  <c r="AE88" i="103" s="1"/>
  <c r="AL88" i="103" s="1"/>
  <c r="AB83" i="103"/>
  <c r="AC83" i="103" s="1"/>
  <c r="AE83" i="103" s="1"/>
  <c r="AL83" i="103" s="1"/>
  <c r="AB55" i="103"/>
  <c r="AC55" i="103" s="1"/>
  <c r="AE55" i="103" s="1"/>
  <c r="AH55" i="103" s="1"/>
  <c r="AB14" i="103"/>
  <c r="AC14" i="103" s="1"/>
  <c r="AE14" i="103" s="1"/>
  <c r="AL14" i="103" s="1"/>
  <c r="AB7" i="103"/>
  <c r="AC7" i="103" s="1"/>
  <c r="AE7" i="103" s="1"/>
  <c r="AH7" i="103" s="1"/>
  <c r="AB69" i="103"/>
  <c r="AC69" i="103" s="1"/>
  <c r="AE69" i="103" s="1"/>
  <c r="AH69" i="103" s="1"/>
  <c r="AB100" i="103"/>
  <c r="AC100" i="103" s="1"/>
  <c r="AE100" i="103" s="1"/>
  <c r="AL100" i="103" s="1"/>
  <c r="AB109" i="103"/>
  <c r="AC109" i="103" s="1"/>
  <c r="AE109" i="103" s="1"/>
  <c r="AL109" i="103" s="1"/>
  <c r="AB61" i="103"/>
  <c r="AC61" i="103" s="1"/>
  <c r="AE61" i="103" s="1"/>
  <c r="AL61" i="103" s="1"/>
  <c r="AB79" i="103"/>
  <c r="AC79" i="103" s="1"/>
  <c r="AE79" i="103" s="1"/>
  <c r="AL79" i="103" s="1"/>
  <c r="AB34" i="103"/>
  <c r="AC34" i="103" s="1"/>
  <c r="AE34" i="103" s="1"/>
  <c r="AH34" i="103" s="1"/>
  <c r="AB36" i="103"/>
  <c r="AC36" i="103" s="1"/>
  <c r="AE36" i="103" s="1"/>
  <c r="AL36" i="103" s="1"/>
  <c r="AB40" i="103"/>
  <c r="AC40" i="103" s="1"/>
  <c r="AE40" i="103" s="1"/>
  <c r="AB96" i="103"/>
  <c r="AC96" i="103" s="1"/>
  <c r="AE96" i="103" s="1"/>
  <c r="AB38" i="103"/>
  <c r="AC38" i="103" s="1"/>
  <c r="AE38" i="103" s="1"/>
  <c r="AL38" i="103" s="1"/>
  <c r="AB75" i="103"/>
  <c r="AC75" i="103" s="1"/>
  <c r="AE75" i="103" s="1"/>
  <c r="AL75" i="103" s="1"/>
  <c r="AB98" i="103"/>
  <c r="AC98" i="103" s="1"/>
  <c r="AE98" i="103" s="1"/>
  <c r="AH98" i="103" s="1"/>
  <c r="AB120" i="103"/>
  <c r="AC120" i="103" s="1"/>
  <c r="AE120" i="103" s="1"/>
  <c r="AB122" i="103"/>
  <c r="AC122" i="103" s="1"/>
  <c r="AE122" i="103" s="1"/>
  <c r="AL122" i="103" s="1"/>
  <c r="AB133" i="103"/>
  <c r="AC133" i="103" s="1"/>
  <c r="AE133" i="103" s="1"/>
  <c r="AL133" i="103" s="1"/>
  <c r="AL69" i="103" l="1"/>
  <c r="AL25" i="103"/>
  <c r="AL23" i="103"/>
  <c r="AL21" i="103"/>
  <c r="AH33" i="103"/>
  <c r="AH15" i="103"/>
  <c r="AH68" i="103"/>
  <c r="AH58" i="103"/>
  <c r="AN58" i="103" s="1"/>
  <c r="AH57" i="103"/>
  <c r="AL91" i="103"/>
  <c r="AH5" i="103"/>
  <c r="AL5" i="103"/>
  <c r="AL49" i="103"/>
  <c r="AH99" i="103"/>
  <c r="AM99" i="103" s="1"/>
  <c r="AL39" i="103"/>
  <c r="AL46" i="103"/>
  <c r="AL9" i="103"/>
  <c r="AM110" i="103"/>
  <c r="AH31" i="103"/>
  <c r="AN31" i="103" s="1"/>
  <c r="AL103" i="103"/>
  <c r="AL30" i="103"/>
  <c r="AH92" i="103"/>
  <c r="AM92" i="103" s="1"/>
  <c r="AH93" i="103"/>
  <c r="AM93" i="103" s="1"/>
  <c r="AH105" i="103"/>
  <c r="AN105" i="103" s="1"/>
  <c r="AH61" i="103"/>
  <c r="AM61" i="103" s="1"/>
  <c r="AH114" i="103"/>
  <c r="AH100" i="103"/>
  <c r="AN100" i="103" s="1"/>
  <c r="AH27" i="103"/>
  <c r="AN27" i="103" s="1"/>
  <c r="AH67" i="103"/>
  <c r="AN67" i="103" s="1"/>
  <c r="AL108" i="103"/>
  <c r="AH112" i="103"/>
  <c r="AM112" i="103" s="1"/>
  <c r="AL11" i="103"/>
  <c r="AH78" i="103"/>
  <c r="AN78" i="103" s="1"/>
  <c r="AH52" i="103"/>
  <c r="AN52" i="103" s="1"/>
  <c r="AH74" i="103"/>
  <c r="AM74" i="103" s="1"/>
  <c r="AH125" i="103"/>
  <c r="AN125" i="103" s="1"/>
  <c r="AH82" i="103"/>
  <c r="AM82" i="103" s="1"/>
  <c r="AH115" i="103"/>
  <c r="AN115" i="103" s="1"/>
  <c r="AH118" i="103"/>
  <c r="AM118" i="103" s="1"/>
  <c r="AL76" i="103"/>
  <c r="AH56" i="103"/>
  <c r="AN56" i="103" s="1"/>
  <c r="AH102" i="103"/>
  <c r="AM102" i="103" s="1"/>
  <c r="AH53" i="103"/>
  <c r="AN53" i="103" s="1"/>
  <c r="AM29" i="103"/>
  <c r="AN29" i="103"/>
  <c r="AL51" i="103"/>
  <c r="AL126" i="103"/>
  <c r="AL129" i="103"/>
  <c r="AL106" i="103"/>
  <c r="AH36" i="103"/>
  <c r="AM36" i="103" s="1"/>
  <c r="AH45" i="103"/>
  <c r="AN45" i="103" s="1"/>
  <c r="AL64" i="103"/>
  <c r="AL119" i="103"/>
  <c r="AH83" i="103"/>
  <c r="AM83" i="103" s="1"/>
  <c r="AL29" i="103"/>
  <c r="AL50" i="103"/>
  <c r="AH72" i="103"/>
  <c r="AN72" i="103" s="1"/>
  <c r="AL59" i="103"/>
  <c r="AH135" i="103"/>
  <c r="AN135" i="103" s="1"/>
  <c r="AL136" i="103"/>
  <c r="AL44" i="103"/>
  <c r="AH73" i="103"/>
  <c r="AN73" i="103" s="1"/>
  <c r="AL85" i="103"/>
  <c r="AL35" i="103"/>
  <c r="AL142" i="103"/>
  <c r="AM46" i="103"/>
  <c r="AH88" i="103"/>
  <c r="AM88" i="103" s="1"/>
  <c r="AH109" i="103"/>
  <c r="AM109" i="103" s="1"/>
  <c r="AL138" i="103"/>
  <c r="AH43" i="103"/>
  <c r="AN43" i="103" s="1"/>
  <c r="AL62" i="103"/>
  <c r="AH66" i="103"/>
  <c r="AM66" i="103" s="1"/>
  <c r="AL86" i="103"/>
  <c r="AH75" i="103"/>
  <c r="AN75" i="103" s="1"/>
  <c r="AH130" i="103"/>
  <c r="AN130" i="103" s="1"/>
  <c r="AH70" i="103"/>
  <c r="AN70" i="103" s="1"/>
  <c r="AH128" i="103"/>
  <c r="AM128" i="103" s="1"/>
  <c r="AH84" i="103"/>
  <c r="AN84" i="103" s="1"/>
  <c r="AH111" i="103"/>
  <c r="AN111" i="103" s="1"/>
  <c r="AH38" i="103"/>
  <c r="AN38" i="103" s="1"/>
  <c r="AN55" i="103"/>
  <c r="AM55" i="103"/>
  <c r="AN35" i="103"/>
  <c r="AM35" i="103"/>
  <c r="AN113" i="103"/>
  <c r="AM113" i="103"/>
  <c r="AN47" i="103"/>
  <c r="AM47" i="103"/>
  <c r="AM64" i="103"/>
  <c r="AN64" i="103"/>
  <c r="AN123" i="103"/>
  <c r="AM123" i="103"/>
  <c r="AM131" i="103"/>
  <c r="AN131" i="103"/>
  <c r="AN17" i="103"/>
  <c r="AM17" i="103"/>
  <c r="AM34" i="103"/>
  <c r="AN34" i="103"/>
  <c r="AN30" i="103"/>
  <c r="AM30" i="103"/>
  <c r="AN98" i="103"/>
  <c r="AM98" i="103"/>
  <c r="AN124" i="103"/>
  <c r="AM124" i="103"/>
  <c r="AM37" i="103"/>
  <c r="AN37" i="103"/>
  <c r="AH96" i="103"/>
  <c r="AL96" i="103"/>
  <c r="AN114" i="103"/>
  <c r="AM114" i="103"/>
  <c r="AN51" i="103"/>
  <c r="AM51" i="103"/>
  <c r="AN91" i="103"/>
  <c r="AM91" i="103"/>
  <c r="AN21" i="103"/>
  <c r="AM21" i="103"/>
  <c r="AL89" i="103"/>
  <c r="AH89" i="103"/>
  <c r="AN136" i="103"/>
  <c r="AM136" i="103"/>
  <c r="AN9" i="103"/>
  <c r="AM9" i="103"/>
  <c r="AN62" i="103"/>
  <c r="AM62" i="103"/>
  <c r="AM23" i="103"/>
  <c r="AN23" i="103"/>
  <c r="AN95" i="103"/>
  <c r="AM95" i="103"/>
  <c r="AL123" i="103"/>
  <c r="AN39" i="103"/>
  <c r="AM39" i="103"/>
  <c r="AM49" i="103"/>
  <c r="AN49" i="103"/>
  <c r="AN69" i="103"/>
  <c r="AM69" i="103"/>
  <c r="AH63" i="103"/>
  <c r="AL47" i="103"/>
  <c r="AL34" i="103"/>
  <c r="AN126" i="103"/>
  <c r="AM126" i="103"/>
  <c r="AL124" i="103"/>
  <c r="AL55" i="103"/>
  <c r="AH117" i="103"/>
  <c r="AL117" i="103"/>
  <c r="AL41" i="103"/>
  <c r="AH139" i="103"/>
  <c r="AH134" i="103"/>
  <c r="AL137" i="103"/>
  <c r="AH137" i="103"/>
  <c r="AM86" i="103"/>
  <c r="AN86" i="103"/>
  <c r="AL90" i="103"/>
  <c r="AH81" i="103"/>
  <c r="AM11" i="103"/>
  <c r="AN11" i="103"/>
  <c r="AL98" i="103"/>
  <c r="AH14" i="103"/>
  <c r="AH133" i="103"/>
  <c r="AH40" i="103"/>
  <c r="AL40" i="103"/>
  <c r="AN48" i="103"/>
  <c r="AM48" i="103"/>
  <c r="AH80" i="103"/>
  <c r="AL80" i="103"/>
  <c r="AN106" i="103"/>
  <c r="AM106" i="103"/>
  <c r="AH12" i="103"/>
  <c r="AN42" i="103"/>
  <c r="AM42" i="103"/>
  <c r="AM119" i="103"/>
  <c r="AN119" i="103"/>
  <c r="AN25" i="103"/>
  <c r="AM25" i="103"/>
  <c r="AH19" i="103"/>
  <c r="AL17" i="103"/>
  <c r="AN76" i="103"/>
  <c r="AM76" i="103"/>
  <c r="AL37" i="103"/>
  <c r="AH65" i="103"/>
  <c r="AH101" i="103"/>
  <c r="AH79" i="103"/>
  <c r="AH32" i="103"/>
  <c r="AL113" i="103"/>
  <c r="AH104" i="103"/>
  <c r="AH77" i="103"/>
  <c r="AL77" i="103"/>
  <c r="AN129" i="103"/>
  <c r="AM129" i="103"/>
  <c r="AN50" i="103"/>
  <c r="AM50" i="103"/>
  <c r="AL87" i="103"/>
  <c r="AH87" i="103"/>
  <c r="AN140" i="103"/>
  <c r="AM140" i="103"/>
  <c r="AH141" i="103"/>
  <c r="AN15" i="103"/>
  <c r="AM15" i="103"/>
  <c r="AN44" i="103"/>
  <c r="AM44" i="103"/>
  <c r="AL131" i="103"/>
  <c r="AH54" i="103"/>
  <c r="AL54" i="103"/>
  <c r="AH71" i="103"/>
  <c r="AH116" i="103"/>
  <c r="AH122" i="103"/>
  <c r="AN108" i="103"/>
  <c r="AM108" i="103"/>
  <c r="AL120" i="103"/>
  <c r="AH120" i="103"/>
  <c r="AM90" i="103"/>
  <c r="AN90" i="103"/>
  <c r="AN142" i="103"/>
  <c r="AM142" i="103"/>
  <c r="AM100" i="103"/>
  <c r="AN57" i="103"/>
  <c r="AM57" i="103"/>
  <c r="AM103" i="103"/>
  <c r="AN103" i="103"/>
  <c r="AN85" i="103"/>
  <c r="AM85" i="103"/>
  <c r="AN41" i="103"/>
  <c r="AM41" i="103"/>
  <c r="AN138" i="103"/>
  <c r="AM138" i="103"/>
  <c r="AN59" i="103"/>
  <c r="AM59" i="103"/>
  <c r="AN7" i="103"/>
  <c r="AM7" i="103"/>
  <c r="AN33" i="103"/>
  <c r="AM33" i="103"/>
  <c r="AL97" i="103"/>
  <c r="AH97" i="103"/>
  <c r="AL107" i="103"/>
  <c r="AH107" i="103"/>
  <c r="AL7" i="103"/>
  <c r="AL127" i="103"/>
  <c r="AH127" i="103"/>
  <c r="AH121" i="103"/>
  <c r="AN68" i="103"/>
  <c r="AM68" i="103"/>
  <c r="AH60" i="103"/>
  <c r="AH132" i="103"/>
  <c r="AL132" i="103"/>
  <c r="AL94" i="103"/>
  <c r="AH94" i="103"/>
  <c r="AM58" i="103" l="1"/>
  <c r="AM31" i="103"/>
  <c r="AM5" i="103"/>
  <c r="AN5" i="103"/>
  <c r="AM105" i="103"/>
  <c r="AN99" i="103"/>
  <c r="AN93" i="103"/>
  <c r="AN61" i="103"/>
  <c r="AN92" i="103"/>
  <c r="AN66" i="103"/>
  <c r="AN74" i="103"/>
  <c r="AM67" i="103"/>
  <c r="AM72" i="103"/>
  <c r="AM45" i="103"/>
  <c r="AM27" i="103"/>
  <c r="AN128" i="103"/>
  <c r="AN112" i="103"/>
  <c r="AM78" i="103"/>
  <c r="AN118" i="103"/>
  <c r="AM111" i="103"/>
  <c r="AM125" i="103"/>
  <c r="AM52" i="103"/>
  <c r="AN82" i="103"/>
  <c r="AM56" i="103"/>
  <c r="AN36" i="103"/>
  <c r="AN109" i="103"/>
  <c r="AN102" i="103"/>
  <c r="AN88" i="103"/>
  <c r="AM115" i="103"/>
  <c r="AM53" i="103"/>
  <c r="AM73" i="103"/>
  <c r="AM38" i="103"/>
  <c r="AM70" i="103"/>
  <c r="AM84" i="103"/>
  <c r="AM135" i="103"/>
  <c r="AN83" i="103"/>
  <c r="AM43" i="103"/>
  <c r="AM75" i="103"/>
  <c r="AM130" i="103"/>
  <c r="AN132" i="103"/>
  <c r="AM132" i="103"/>
  <c r="AN121" i="103"/>
  <c r="AM121" i="103"/>
  <c r="AN139" i="103"/>
  <c r="AM139" i="103"/>
  <c r="AN80" i="103"/>
  <c r="AM80" i="103"/>
  <c r="AN19" i="103"/>
  <c r="AM19" i="103"/>
  <c r="AN14" i="103"/>
  <c r="AM14" i="103"/>
  <c r="AN60" i="103"/>
  <c r="AM60" i="103"/>
  <c r="AM12" i="103"/>
  <c r="AN12" i="103"/>
  <c r="AN116" i="103"/>
  <c r="AM116" i="103"/>
  <c r="AN71" i="103"/>
  <c r="AM71" i="103"/>
  <c r="AM137" i="103"/>
  <c r="AN137" i="103"/>
  <c r="AN117" i="103"/>
  <c r="AM117" i="103"/>
  <c r="AN104" i="103"/>
  <c r="AM104" i="103"/>
  <c r="AN133" i="103"/>
  <c r="AM133" i="103"/>
  <c r="AM32" i="103"/>
  <c r="AN32" i="103"/>
  <c r="AM63" i="103"/>
  <c r="AN63" i="103"/>
  <c r="AN79" i="103"/>
  <c r="AM79" i="103"/>
  <c r="AM127" i="103"/>
  <c r="AN127" i="103"/>
  <c r="AN101" i="103"/>
  <c r="AM101" i="103"/>
  <c r="AN65" i="103"/>
  <c r="AM65" i="103"/>
  <c r="AM96" i="103"/>
  <c r="AN96" i="103"/>
  <c r="AN120" i="103"/>
  <c r="AM120" i="103"/>
  <c r="AN94" i="103"/>
  <c r="AM94" i="103"/>
  <c r="AM89" i="103"/>
  <c r="AN89" i="103"/>
  <c r="AM141" i="103"/>
  <c r="AN141" i="103"/>
  <c r="AN87" i="103"/>
  <c r="AM87" i="103"/>
  <c r="AN122" i="103"/>
  <c r="AM122" i="103"/>
  <c r="AN81" i="103"/>
  <c r="AM81" i="103"/>
  <c r="AM134" i="103"/>
  <c r="AN134" i="103"/>
  <c r="AN107" i="103"/>
  <c r="AM107" i="103"/>
  <c r="AN54" i="103"/>
  <c r="AM54" i="103"/>
  <c r="AM77" i="103"/>
  <c r="AN77" i="103"/>
  <c r="AN97" i="103"/>
  <c r="AM97" i="103"/>
  <c r="AN40" i="103"/>
  <c r="AM40" i="103"/>
  <c r="AF10" i="101" l="1"/>
  <c r="AF34" i="101" l="1"/>
  <c r="AZ35" i="101" l="1"/>
  <c r="N35" i="101"/>
  <c r="AZ16" i="101" l="1"/>
  <c r="N16" i="101"/>
  <c r="N18" i="101" l="1"/>
  <c r="AZ33" i="101"/>
  <c r="N33" i="101"/>
  <c r="AZ32" i="101"/>
  <c r="AY32" i="101"/>
  <c r="AP32" i="101"/>
  <c r="AQ32" i="101" s="1"/>
  <c r="U32" i="101"/>
  <c r="V32" i="101" s="1"/>
  <c r="N32" i="101"/>
  <c r="AZ31" i="101" l="1"/>
  <c r="N31" i="101"/>
  <c r="N7" i="101"/>
  <c r="AZ138" i="101"/>
  <c r="AY138" i="101"/>
  <c r="AP138" i="101"/>
  <c r="AQ138" i="101" s="1"/>
  <c r="U138" i="101"/>
  <c r="V138" i="101" s="1"/>
  <c r="N138" i="101"/>
  <c r="AZ137" i="101"/>
  <c r="AY137" i="101"/>
  <c r="AP137" i="101"/>
  <c r="AQ137" i="101" s="1"/>
  <c r="U137" i="101"/>
  <c r="V137" i="101" s="1"/>
  <c r="N137" i="101"/>
  <c r="AZ136" i="101"/>
  <c r="AY136" i="101"/>
  <c r="AP136" i="101"/>
  <c r="AQ136" i="101" s="1"/>
  <c r="U136" i="101"/>
  <c r="V136" i="101" s="1"/>
  <c r="N136" i="101"/>
  <c r="AZ135" i="101"/>
  <c r="AY135" i="101"/>
  <c r="AP135" i="101"/>
  <c r="AQ135" i="101" s="1"/>
  <c r="U135" i="101"/>
  <c r="V135" i="101" s="1"/>
  <c r="N135" i="101"/>
  <c r="AZ134" i="101"/>
  <c r="AY134" i="101"/>
  <c r="AP134" i="101"/>
  <c r="AQ134" i="101" s="1"/>
  <c r="U134" i="101"/>
  <c r="V134" i="101" s="1"/>
  <c r="N134" i="101"/>
  <c r="AZ133" i="101"/>
  <c r="AY133" i="101"/>
  <c r="AP133" i="101"/>
  <c r="AQ133" i="101" s="1"/>
  <c r="U133" i="101"/>
  <c r="V133" i="101" s="1"/>
  <c r="N133" i="101"/>
  <c r="AZ132" i="101"/>
  <c r="AY132" i="101"/>
  <c r="AP132" i="101"/>
  <c r="AQ132" i="101" s="1"/>
  <c r="U132" i="101"/>
  <c r="V132" i="101" s="1"/>
  <c r="N132" i="101"/>
  <c r="AZ131" i="101"/>
  <c r="AY131" i="101"/>
  <c r="AP131" i="101"/>
  <c r="AQ131" i="101" s="1"/>
  <c r="U131" i="101"/>
  <c r="V131" i="101" s="1"/>
  <c r="N131" i="101"/>
  <c r="AZ130" i="101"/>
  <c r="AY130" i="101"/>
  <c r="AP130" i="101"/>
  <c r="AQ130" i="101" s="1"/>
  <c r="U130" i="101"/>
  <c r="V130" i="101" s="1"/>
  <c r="N130" i="101"/>
  <c r="AZ129" i="101"/>
  <c r="AY129" i="101"/>
  <c r="AP129" i="101"/>
  <c r="AQ129" i="101" s="1"/>
  <c r="U129" i="101"/>
  <c r="V129" i="101" s="1"/>
  <c r="N129" i="101"/>
  <c r="AZ128" i="101"/>
  <c r="AY128" i="101"/>
  <c r="AP128" i="101"/>
  <c r="AQ128" i="101" s="1"/>
  <c r="U128" i="101"/>
  <c r="V128" i="101" s="1"/>
  <c r="N128" i="101"/>
  <c r="AZ127" i="101"/>
  <c r="AY127" i="101"/>
  <c r="AP127" i="101"/>
  <c r="AQ127" i="101" s="1"/>
  <c r="U127" i="101"/>
  <c r="V127" i="101" s="1"/>
  <c r="N127" i="101"/>
  <c r="AZ126" i="101"/>
  <c r="AY126" i="101"/>
  <c r="AP126" i="101"/>
  <c r="AQ126" i="101" s="1"/>
  <c r="U126" i="101"/>
  <c r="V126" i="101" s="1"/>
  <c r="N126" i="101"/>
  <c r="AZ125" i="101"/>
  <c r="AY125" i="101"/>
  <c r="AP125" i="101"/>
  <c r="AQ125" i="101" s="1"/>
  <c r="U125" i="101"/>
  <c r="V125" i="101" s="1"/>
  <c r="N125" i="101"/>
  <c r="AZ124" i="101"/>
  <c r="AY124" i="101"/>
  <c r="AP124" i="101"/>
  <c r="AQ124" i="101" s="1"/>
  <c r="U124" i="101"/>
  <c r="V124" i="101" s="1"/>
  <c r="N124" i="101"/>
  <c r="AZ123" i="101"/>
  <c r="AY123" i="101"/>
  <c r="AP123" i="101"/>
  <c r="AQ123" i="101" s="1"/>
  <c r="U123" i="101"/>
  <c r="V123" i="101" s="1"/>
  <c r="N123" i="101"/>
  <c r="AZ122" i="101"/>
  <c r="AY122" i="101"/>
  <c r="AP122" i="101"/>
  <c r="AQ122" i="101" s="1"/>
  <c r="U122" i="101"/>
  <c r="V122" i="101" s="1"/>
  <c r="N122" i="101"/>
  <c r="AZ121" i="101"/>
  <c r="AY121" i="101"/>
  <c r="AP121" i="101"/>
  <c r="AQ121" i="101" s="1"/>
  <c r="U121" i="101"/>
  <c r="V121" i="101" s="1"/>
  <c r="N121" i="101"/>
  <c r="AZ120" i="101"/>
  <c r="AY120" i="101"/>
  <c r="AP120" i="101"/>
  <c r="AQ120" i="101" s="1"/>
  <c r="U120" i="101"/>
  <c r="V120" i="101" s="1"/>
  <c r="N120" i="101"/>
  <c r="AZ119" i="101"/>
  <c r="AY119" i="101"/>
  <c r="AP119" i="101"/>
  <c r="AQ119" i="101" s="1"/>
  <c r="U119" i="101"/>
  <c r="V119" i="101" s="1"/>
  <c r="N119" i="101"/>
  <c r="AZ118" i="101"/>
  <c r="AY118" i="101"/>
  <c r="AP118" i="101"/>
  <c r="AQ118" i="101" s="1"/>
  <c r="U118" i="101"/>
  <c r="V118" i="101" s="1"/>
  <c r="N118" i="101"/>
  <c r="AZ117" i="101"/>
  <c r="AY117" i="101"/>
  <c r="AP117" i="101"/>
  <c r="AQ117" i="101" s="1"/>
  <c r="U117" i="101"/>
  <c r="V117" i="101" s="1"/>
  <c r="N117" i="101"/>
  <c r="AZ116" i="101"/>
  <c r="AY116" i="101"/>
  <c r="AP116" i="101"/>
  <c r="AQ116" i="101" s="1"/>
  <c r="U116" i="101"/>
  <c r="V116" i="101" s="1"/>
  <c r="N116" i="101"/>
  <c r="AZ115" i="101"/>
  <c r="AY115" i="101"/>
  <c r="AP115" i="101"/>
  <c r="AQ115" i="101" s="1"/>
  <c r="U115" i="101"/>
  <c r="V115" i="101" s="1"/>
  <c r="N115" i="101"/>
  <c r="AZ114" i="101"/>
  <c r="AY114" i="101"/>
  <c r="AP114" i="101"/>
  <c r="AQ114" i="101" s="1"/>
  <c r="U114" i="101"/>
  <c r="V114" i="101" s="1"/>
  <c r="N114" i="101"/>
  <c r="AZ113" i="101"/>
  <c r="AY113" i="101"/>
  <c r="AP113" i="101"/>
  <c r="AQ113" i="101" s="1"/>
  <c r="U113" i="101"/>
  <c r="V113" i="101" s="1"/>
  <c r="N113" i="101"/>
  <c r="AZ112" i="101"/>
  <c r="AY112" i="101"/>
  <c r="AP112" i="101"/>
  <c r="AQ112" i="101" s="1"/>
  <c r="U112" i="101"/>
  <c r="V112" i="101" s="1"/>
  <c r="N112" i="101"/>
  <c r="AZ111" i="101"/>
  <c r="AY111" i="101"/>
  <c r="AP111" i="101"/>
  <c r="AQ111" i="101" s="1"/>
  <c r="U111" i="101"/>
  <c r="V111" i="101" s="1"/>
  <c r="N111" i="101"/>
  <c r="AZ110" i="101"/>
  <c r="AY110" i="101"/>
  <c r="AP110" i="101"/>
  <c r="AQ110" i="101" s="1"/>
  <c r="U110" i="101"/>
  <c r="V110" i="101" s="1"/>
  <c r="N110" i="101"/>
  <c r="AZ109" i="101"/>
  <c r="AY109" i="101"/>
  <c r="AP109" i="101"/>
  <c r="AQ109" i="101" s="1"/>
  <c r="U109" i="101"/>
  <c r="V109" i="101" s="1"/>
  <c r="N109" i="101"/>
  <c r="AZ108" i="101"/>
  <c r="AY108" i="101"/>
  <c r="AP108" i="101"/>
  <c r="AQ108" i="101" s="1"/>
  <c r="U108" i="101"/>
  <c r="V108" i="101" s="1"/>
  <c r="N108" i="101"/>
  <c r="AZ107" i="101"/>
  <c r="AY107" i="101"/>
  <c r="AP107" i="101"/>
  <c r="AQ107" i="101" s="1"/>
  <c r="U107" i="101"/>
  <c r="V107" i="101" s="1"/>
  <c r="N107" i="101"/>
  <c r="AZ106" i="101"/>
  <c r="AY106" i="101"/>
  <c r="AP106" i="101"/>
  <c r="AQ106" i="101" s="1"/>
  <c r="U106" i="101"/>
  <c r="V106" i="101" s="1"/>
  <c r="N106" i="101"/>
  <c r="AZ105" i="101"/>
  <c r="AY105" i="101"/>
  <c r="AP105" i="101"/>
  <c r="AQ105" i="101" s="1"/>
  <c r="U105" i="101"/>
  <c r="V105" i="101" s="1"/>
  <c r="N105" i="101"/>
  <c r="AZ104" i="101"/>
  <c r="AY104" i="101"/>
  <c r="AP104" i="101"/>
  <c r="AQ104" i="101" s="1"/>
  <c r="U104" i="101"/>
  <c r="V104" i="101" s="1"/>
  <c r="N104" i="101"/>
  <c r="AZ103" i="101"/>
  <c r="AY103" i="101"/>
  <c r="AP103" i="101"/>
  <c r="AQ103" i="101" s="1"/>
  <c r="U103" i="101"/>
  <c r="V103" i="101" s="1"/>
  <c r="N103" i="101"/>
  <c r="AZ102" i="101"/>
  <c r="AY102" i="101"/>
  <c r="AP102" i="101"/>
  <c r="AQ102" i="101" s="1"/>
  <c r="U102" i="101"/>
  <c r="V102" i="101" s="1"/>
  <c r="N102" i="101"/>
  <c r="AZ101" i="101"/>
  <c r="AY101" i="101"/>
  <c r="AP101" i="101"/>
  <c r="AQ101" i="101" s="1"/>
  <c r="U101" i="101"/>
  <c r="V101" i="101" s="1"/>
  <c r="N101" i="101"/>
  <c r="AZ100" i="101"/>
  <c r="AY100" i="101"/>
  <c r="AP100" i="101"/>
  <c r="AQ100" i="101" s="1"/>
  <c r="U100" i="101"/>
  <c r="V100" i="101" s="1"/>
  <c r="N100" i="101"/>
  <c r="AZ99" i="101"/>
  <c r="AY99" i="101"/>
  <c r="AP99" i="101"/>
  <c r="AQ99" i="101" s="1"/>
  <c r="U99" i="101"/>
  <c r="V99" i="101" s="1"/>
  <c r="N99" i="101"/>
  <c r="AZ98" i="101"/>
  <c r="AY98" i="101"/>
  <c r="AP98" i="101"/>
  <c r="AQ98" i="101" s="1"/>
  <c r="U98" i="101"/>
  <c r="V98" i="101" s="1"/>
  <c r="N98" i="101"/>
  <c r="AZ97" i="101"/>
  <c r="AY97" i="101"/>
  <c r="AP97" i="101"/>
  <c r="AQ97" i="101" s="1"/>
  <c r="U97" i="101"/>
  <c r="V97" i="101" s="1"/>
  <c r="N97" i="101"/>
  <c r="AZ96" i="101"/>
  <c r="AY96" i="101"/>
  <c r="AP96" i="101"/>
  <c r="AQ96" i="101" s="1"/>
  <c r="U96" i="101"/>
  <c r="V96" i="101" s="1"/>
  <c r="N96" i="101"/>
  <c r="AZ95" i="101"/>
  <c r="AY95" i="101"/>
  <c r="AP95" i="101"/>
  <c r="AQ95" i="101" s="1"/>
  <c r="U95" i="101"/>
  <c r="V95" i="101" s="1"/>
  <c r="N95" i="101"/>
  <c r="AZ94" i="101"/>
  <c r="AY94" i="101"/>
  <c r="AP94" i="101"/>
  <c r="AQ94" i="101" s="1"/>
  <c r="U94" i="101"/>
  <c r="V94" i="101" s="1"/>
  <c r="N94" i="101"/>
  <c r="AZ93" i="101"/>
  <c r="AY93" i="101"/>
  <c r="AP93" i="101"/>
  <c r="AQ93" i="101" s="1"/>
  <c r="U93" i="101"/>
  <c r="V93" i="101" s="1"/>
  <c r="N93" i="101"/>
  <c r="AZ92" i="101"/>
  <c r="AY92" i="101"/>
  <c r="AP92" i="101"/>
  <c r="AQ92" i="101" s="1"/>
  <c r="U92" i="101"/>
  <c r="V92" i="101" s="1"/>
  <c r="N92" i="101"/>
  <c r="AZ91" i="101"/>
  <c r="AY91" i="101"/>
  <c r="AP91" i="101"/>
  <c r="AQ91" i="101" s="1"/>
  <c r="U91" i="101"/>
  <c r="V91" i="101" s="1"/>
  <c r="N91" i="101"/>
  <c r="AZ90" i="101"/>
  <c r="AY90" i="101"/>
  <c r="AP90" i="101"/>
  <c r="AQ90" i="101" s="1"/>
  <c r="U90" i="101"/>
  <c r="V90" i="101" s="1"/>
  <c r="N90" i="101"/>
  <c r="AZ89" i="101"/>
  <c r="AY89" i="101"/>
  <c r="AP89" i="101"/>
  <c r="AQ89" i="101" s="1"/>
  <c r="U89" i="101"/>
  <c r="V89" i="101" s="1"/>
  <c r="N89" i="101"/>
  <c r="AZ88" i="101"/>
  <c r="AY88" i="101"/>
  <c r="AP88" i="101"/>
  <c r="AQ88" i="101" s="1"/>
  <c r="U88" i="101"/>
  <c r="V88" i="101" s="1"/>
  <c r="N88" i="101"/>
  <c r="AZ87" i="101"/>
  <c r="AY87" i="101"/>
  <c r="AP87" i="101"/>
  <c r="AQ87" i="101" s="1"/>
  <c r="U87" i="101"/>
  <c r="V87" i="101" s="1"/>
  <c r="N87" i="101"/>
  <c r="AZ86" i="101"/>
  <c r="AY86" i="101"/>
  <c r="AP86" i="101"/>
  <c r="AQ86" i="101" s="1"/>
  <c r="U86" i="101"/>
  <c r="V86" i="101" s="1"/>
  <c r="N86" i="101"/>
  <c r="AZ85" i="101"/>
  <c r="AY85" i="101"/>
  <c r="AP85" i="101"/>
  <c r="AQ85" i="101" s="1"/>
  <c r="U85" i="101"/>
  <c r="V85" i="101" s="1"/>
  <c r="N85" i="101"/>
  <c r="AZ84" i="101"/>
  <c r="AY84" i="101"/>
  <c r="AP84" i="101"/>
  <c r="AQ84" i="101" s="1"/>
  <c r="U84" i="101"/>
  <c r="V84" i="101" s="1"/>
  <c r="N84" i="101"/>
  <c r="AZ83" i="101"/>
  <c r="AY83" i="101"/>
  <c r="AP83" i="101"/>
  <c r="AQ83" i="101" s="1"/>
  <c r="U83" i="101"/>
  <c r="V83" i="101" s="1"/>
  <c r="N83" i="101"/>
  <c r="AZ82" i="101"/>
  <c r="AY82" i="101"/>
  <c r="AP82" i="101"/>
  <c r="AQ82" i="101" s="1"/>
  <c r="U82" i="101"/>
  <c r="V82" i="101" s="1"/>
  <c r="N82" i="101"/>
  <c r="AZ81" i="101"/>
  <c r="AY81" i="101"/>
  <c r="AP81" i="101"/>
  <c r="AQ81" i="101" s="1"/>
  <c r="U81" i="101"/>
  <c r="V81" i="101" s="1"/>
  <c r="N81" i="101"/>
  <c r="AZ80" i="101"/>
  <c r="AY80" i="101"/>
  <c r="AP80" i="101"/>
  <c r="AQ80" i="101" s="1"/>
  <c r="U80" i="101"/>
  <c r="V80" i="101" s="1"/>
  <c r="N80" i="101"/>
  <c r="AZ79" i="101"/>
  <c r="AY79" i="101"/>
  <c r="AP79" i="101"/>
  <c r="AQ79" i="101" s="1"/>
  <c r="U79" i="101"/>
  <c r="V79" i="101" s="1"/>
  <c r="N79" i="101"/>
  <c r="AZ78" i="101"/>
  <c r="AY78" i="101"/>
  <c r="AP78" i="101"/>
  <c r="AQ78" i="101" s="1"/>
  <c r="U78" i="101"/>
  <c r="V78" i="101" s="1"/>
  <c r="N78" i="101"/>
  <c r="AZ77" i="101"/>
  <c r="AY77" i="101"/>
  <c r="AP77" i="101"/>
  <c r="AQ77" i="101" s="1"/>
  <c r="U77" i="101"/>
  <c r="V77" i="101" s="1"/>
  <c r="N77" i="101"/>
  <c r="AZ76" i="101"/>
  <c r="AY76" i="101"/>
  <c r="AP76" i="101"/>
  <c r="AQ76" i="101" s="1"/>
  <c r="U76" i="101"/>
  <c r="V76" i="101" s="1"/>
  <c r="N76" i="101"/>
  <c r="AZ75" i="101"/>
  <c r="AY75" i="101"/>
  <c r="AP75" i="101"/>
  <c r="AQ75" i="101" s="1"/>
  <c r="U75" i="101"/>
  <c r="V75" i="101" s="1"/>
  <c r="N75" i="101"/>
  <c r="AZ74" i="101"/>
  <c r="AY74" i="101"/>
  <c r="AP74" i="101"/>
  <c r="AQ74" i="101" s="1"/>
  <c r="U74" i="101"/>
  <c r="V74" i="101" s="1"/>
  <c r="N74" i="101"/>
  <c r="AZ73" i="101"/>
  <c r="AY73" i="101"/>
  <c r="AP73" i="101"/>
  <c r="AQ73" i="101" s="1"/>
  <c r="U73" i="101"/>
  <c r="V73" i="101" s="1"/>
  <c r="N73" i="101"/>
  <c r="AZ72" i="101"/>
  <c r="AY72" i="101"/>
  <c r="AP72" i="101"/>
  <c r="AQ72" i="101" s="1"/>
  <c r="U72" i="101"/>
  <c r="V72" i="101" s="1"/>
  <c r="N72" i="101"/>
  <c r="AZ71" i="101"/>
  <c r="AY71" i="101"/>
  <c r="AP71" i="101"/>
  <c r="AQ71" i="101" s="1"/>
  <c r="U71" i="101"/>
  <c r="V71" i="101" s="1"/>
  <c r="N71" i="101"/>
  <c r="AZ70" i="101"/>
  <c r="AY70" i="101"/>
  <c r="AP70" i="101"/>
  <c r="AQ70" i="101" s="1"/>
  <c r="U70" i="101"/>
  <c r="V70" i="101" s="1"/>
  <c r="N70" i="101"/>
  <c r="AZ69" i="101"/>
  <c r="AY69" i="101"/>
  <c r="AP69" i="101"/>
  <c r="AQ69" i="101" s="1"/>
  <c r="U69" i="101"/>
  <c r="V69" i="101" s="1"/>
  <c r="N69" i="101"/>
  <c r="AZ68" i="101"/>
  <c r="AY68" i="101"/>
  <c r="AP68" i="101"/>
  <c r="AQ68" i="101" s="1"/>
  <c r="U68" i="101"/>
  <c r="V68" i="101" s="1"/>
  <c r="N68" i="101"/>
  <c r="AZ67" i="101"/>
  <c r="AY67" i="101"/>
  <c r="AP67" i="101"/>
  <c r="AQ67" i="101" s="1"/>
  <c r="U67" i="101"/>
  <c r="V67" i="101" s="1"/>
  <c r="N67" i="101"/>
  <c r="AZ66" i="101"/>
  <c r="AY66" i="101"/>
  <c r="AP66" i="101"/>
  <c r="AQ66" i="101" s="1"/>
  <c r="U66" i="101"/>
  <c r="V66" i="101" s="1"/>
  <c r="N66" i="101"/>
  <c r="AZ65" i="101"/>
  <c r="AY65" i="101"/>
  <c r="AP65" i="101"/>
  <c r="AQ65" i="101" s="1"/>
  <c r="U65" i="101"/>
  <c r="V65" i="101" s="1"/>
  <c r="N65" i="101"/>
  <c r="AZ64" i="101"/>
  <c r="AY64" i="101"/>
  <c r="AP64" i="101"/>
  <c r="AQ64" i="101" s="1"/>
  <c r="U64" i="101"/>
  <c r="V64" i="101" s="1"/>
  <c r="N64" i="101"/>
  <c r="AZ63" i="101"/>
  <c r="AY63" i="101"/>
  <c r="AP63" i="101"/>
  <c r="AQ63" i="101" s="1"/>
  <c r="U63" i="101"/>
  <c r="V63" i="101" s="1"/>
  <c r="N63" i="101"/>
  <c r="AZ62" i="101"/>
  <c r="AY62" i="101"/>
  <c r="AP62" i="101"/>
  <c r="AQ62" i="101" s="1"/>
  <c r="U62" i="101"/>
  <c r="V62" i="101" s="1"/>
  <c r="N62" i="101"/>
  <c r="AZ61" i="101"/>
  <c r="AY61" i="101"/>
  <c r="AP61" i="101"/>
  <c r="AQ61" i="101" s="1"/>
  <c r="U61" i="101"/>
  <c r="V61" i="101" s="1"/>
  <c r="N61" i="101"/>
  <c r="AZ60" i="101"/>
  <c r="AY60" i="101"/>
  <c r="AP60" i="101"/>
  <c r="AQ60" i="101" s="1"/>
  <c r="U60" i="101"/>
  <c r="V60" i="101" s="1"/>
  <c r="N60" i="101"/>
  <c r="AZ59" i="101"/>
  <c r="AY59" i="101"/>
  <c r="AP59" i="101"/>
  <c r="AQ59" i="101" s="1"/>
  <c r="U59" i="101"/>
  <c r="V59" i="101" s="1"/>
  <c r="N59" i="101"/>
  <c r="AZ58" i="101"/>
  <c r="AY58" i="101"/>
  <c r="AP58" i="101"/>
  <c r="AQ58" i="101" s="1"/>
  <c r="U58" i="101"/>
  <c r="V58" i="101" s="1"/>
  <c r="N58" i="101"/>
  <c r="AZ57" i="101"/>
  <c r="AY57" i="101"/>
  <c r="AP57" i="101"/>
  <c r="AQ57" i="101" s="1"/>
  <c r="U57" i="101"/>
  <c r="V57" i="101" s="1"/>
  <c r="N57" i="101"/>
  <c r="AZ56" i="101"/>
  <c r="AY56" i="101"/>
  <c r="AP56" i="101"/>
  <c r="AQ56" i="101" s="1"/>
  <c r="U56" i="101"/>
  <c r="V56" i="101" s="1"/>
  <c r="N56" i="101"/>
  <c r="AZ55" i="101"/>
  <c r="AY55" i="101"/>
  <c r="AP55" i="101"/>
  <c r="AQ55" i="101" s="1"/>
  <c r="U55" i="101"/>
  <c r="V55" i="101" s="1"/>
  <c r="N55" i="101"/>
  <c r="AZ54" i="101"/>
  <c r="AY54" i="101"/>
  <c r="AP54" i="101"/>
  <c r="AQ54" i="101" s="1"/>
  <c r="U54" i="101"/>
  <c r="V54" i="101" s="1"/>
  <c r="N54" i="101"/>
  <c r="AZ53" i="101"/>
  <c r="AY53" i="101"/>
  <c r="AP53" i="101"/>
  <c r="AQ53" i="101" s="1"/>
  <c r="U53" i="101"/>
  <c r="V53" i="101" s="1"/>
  <c r="N53" i="101"/>
  <c r="AZ52" i="101"/>
  <c r="AY52" i="101"/>
  <c r="AP52" i="101"/>
  <c r="AQ52" i="101" s="1"/>
  <c r="U52" i="101"/>
  <c r="V52" i="101" s="1"/>
  <c r="N52" i="101"/>
  <c r="AZ51" i="101"/>
  <c r="AY51" i="101"/>
  <c r="AP51" i="101"/>
  <c r="AQ51" i="101" s="1"/>
  <c r="U51" i="101"/>
  <c r="V51" i="101" s="1"/>
  <c r="N51" i="101"/>
  <c r="AZ50" i="101"/>
  <c r="AY50" i="101"/>
  <c r="AP50" i="101"/>
  <c r="AQ50" i="101" s="1"/>
  <c r="U50" i="101"/>
  <c r="V50" i="101" s="1"/>
  <c r="N50" i="101"/>
  <c r="AZ49" i="101"/>
  <c r="AY49" i="101"/>
  <c r="AP49" i="101"/>
  <c r="AQ49" i="101" s="1"/>
  <c r="U49" i="101"/>
  <c r="V49" i="101" s="1"/>
  <c r="N49" i="101"/>
  <c r="AZ48" i="101"/>
  <c r="AY48" i="101"/>
  <c r="AP48" i="101"/>
  <c r="AQ48" i="101" s="1"/>
  <c r="U48" i="101"/>
  <c r="V48" i="101" s="1"/>
  <c r="N48" i="101"/>
  <c r="AZ47" i="101"/>
  <c r="AY47" i="101"/>
  <c r="AP47" i="101"/>
  <c r="AQ47" i="101" s="1"/>
  <c r="U47" i="101"/>
  <c r="V47" i="101" s="1"/>
  <c r="N47" i="101"/>
  <c r="AZ46" i="101"/>
  <c r="AY46" i="101"/>
  <c r="AP46" i="101"/>
  <c r="AQ46" i="101" s="1"/>
  <c r="U46" i="101"/>
  <c r="V46" i="101" s="1"/>
  <c r="N46" i="101"/>
  <c r="AZ45" i="101"/>
  <c r="AY45" i="101"/>
  <c r="AP45" i="101"/>
  <c r="AQ45" i="101" s="1"/>
  <c r="U45" i="101"/>
  <c r="V45" i="101" s="1"/>
  <c r="N45" i="101"/>
  <c r="AZ44" i="101"/>
  <c r="AY44" i="101"/>
  <c r="AP44" i="101"/>
  <c r="AQ44" i="101" s="1"/>
  <c r="U44" i="101"/>
  <c r="V44" i="101" s="1"/>
  <c r="N44" i="101"/>
  <c r="AZ43" i="101"/>
  <c r="AY43" i="101"/>
  <c r="AP43" i="101"/>
  <c r="AQ43" i="101" s="1"/>
  <c r="U43" i="101"/>
  <c r="V43" i="101" s="1"/>
  <c r="N43" i="101"/>
  <c r="AZ42" i="101"/>
  <c r="AY42" i="101"/>
  <c r="AP42" i="101"/>
  <c r="AQ42" i="101" s="1"/>
  <c r="U42" i="101"/>
  <c r="V42" i="101" s="1"/>
  <c r="N42" i="101"/>
  <c r="AZ41" i="101"/>
  <c r="AY41" i="101"/>
  <c r="AP41" i="101"/>
  <c r="AQ41" i="101" s="1"/>
  <c r="U41" i="101"/>
  <c r="V41" i="101" s="1"/>
  <c r="N41" i="101"/>
  <c r="AZ40" i="101"/>
  <c r="AY40" i="101"/>
  <c r="AP40" i="101"/>
  <c r="AQ40" i="101" s="1"/>
  <c r="U40" i="101"/>
  <c r="V40" i="101" s="1"/>
  <c r="N40" i="101"/>
  <c r="AZ39" i="101"/>
  <c r="AY39" i="101"/>
  <c r="AP39" i="101"/>
  <c r="AQ39" i="101" s="1"/>
  <c r="U39" i="101"/>
  <c r="V39" i="101" s="1"/>
  <c r="N39" i="101"/>
  <c r="AZ38" i="101"/>
  <c r="AY38" i="101"/>
  <c r="AP38" i="101"/>
  <c r="AQ38" i="101" s="1"/>
  <c r="U38" i="101"/>
  <c r="V38" i="101" s="1"/>
  <c r="N38" i="101"/>
  <c r="AZ37" i="101"/>
  <c r="AY37" i="101"/>
  <c r="AP37" i="101"/>
  <c r="AQ37" i="101" s="1"/>
  <c r="U37" i="101"/>
  <c r="V37" i="101" s="1"/>
  <c r="N37" i="101"/>
  <c r="AZ36" i="101"/>
  <c r="AY36" i="101"/>
  <c r="AP36" i="101"/>
  <c r="AQ36" i="101" s="1"/>
  <c r="U36" i="101"/>
  <c r="V36" i="101" s="1"/>
  <c r="N36" i="101"/>
  <c r="AZ34" i="101"/>
  <c r="AY34" i="101"/>
  <c r="AP34" i="101"/>
  <c r="AQ34" i="101" s="1"/>
  <c r="U34" i="101"/>
  <c r="V34" i="101" s="1"/>
  <c r="N34" i="101"/>
  <c r="AZ30" i="101"/>
  <c r="AY30" i="101"/>
  <c r="AP30" i="101"/>
  <c r="AQ30" i="101" s="1"/>
  <c r="U30" i="101"/>
  <c r="V30" i="101" s="1"/>
  <c r="N30" i="101"/>
  <c r="AZ29" i="101"/>
  <c r="AY29" i="101"/>
  <c r="AP29" i="101"/>
  <c r="AQ29" i="101" s="1"/>
  <c r="U29" i="101"/>
  <c r="V29" i="101" s="1"/>
  <c r="N29" i="101"/>
  <c r="AZ28" i="101"/>
  <c r="AY28" i="101"/>
  <c r="AP28" i="101"/>
  <c r="AQ28" i="101" s="1"/>
  <c r="U28" i="101"/>
  <c r="V28" i="101" s="1"/>
  <c r="N28" i="101"/>
  <c r="AZ27" i="101"/>
  <c r="AY27" i="101"/>
  <c r="AP27" i="101"/>
  <c r="AQ27" i="101" s="1"/>
  <c r="U27" i="101"/>
  <c r="V27" i="101" s="1"/>
  <c r="N27" i="101"/>
  <c r="AZ26" i="101"/>
  <c r="AY26" i="101"/>
  <c r="AP26" i="101"/>
  <c r="AQ26" i="101" s="1"/>
  <c r="U26" i="101"/>
  <c r="V26" i="101" s="1"/>
  <c r="N26" i="101"/>
  <c r="AZ25" i="101"/>
  <c r="AY25" i="101"/>
  <c r="AP25" i="101"/>
  <c r="AQ25" i="101" s="1"/>
  <c r="U25" i="101"/>
  <c r="V25" i="101" s="1"/>
  <c r="N25" i="101"/>
  <c r="AZ24" i="101"/>
  <c r="AY24" i="101"/>
  <c r="AP24" i="101"/>
  <c r="AQ24" i="101" s="1"/>
  <c r="U24" i="101"/>
  <c r="V24" i="101" s="1"/>
  <c r="N24" i="101"/>
  <c r="AZ23" i="101"/>
  <c r="AY23" i="101"/>
  <c r="AP23" i="101"/>
  <c r="AQ23" i="101" s="1"/>
  <c r="U23" i="101"/>
  <c r="V23" i="101" s="1"/>
  <c r="N23" i="101"/>
  <c r="AZ22" i="101"/>
  <c r="AY22" i="101"/>
  <c r="AP22" i="101"/>
  <c r="AQ22" i="101" s="1"/>
  <c r="U22" i="101"/>
  <c r="V22" i="101" s="1"/>
  <c r="N22" i="101"/>
  <c r="AZ21" i="101"/>
  <c r="AY21" i="101"/>
  <c r="AP21" i="101"/>
  <c r="AQ21" i="101" s="1"/>
  <c r="U21" i="101"/>
  <c r="V21" i="101" s="1"/>
  <c r="N21" i="101"/>
  <c r="AZ20" i="101"/>
  <c r="AY20" i="101"/>
  <c r="AP20" i="101"/>
  <c r="AQ20" i="101" s="1"/>
  <c r="U20" i="101"/>
  <c r="V20" i="101" s="1"/>
  <c r="N20" i="101"/>
  <c r="AZ19" i="101"/>
  <c r="AY19" i="101"/>
  <c r="AP19" i="101"/>
  <c r="AQ19" i="101" s="1"/>
  <c r="U19" i="101"/>
  <c r="V19" i="101" s="1"/>
  <c r="N19" i="101"/>
  <c r="AZ18" i="101"/>
  <c r="AZ17" i="101"/>
  <c r="AY17" i="101"/>
  <c r="AP17" i="101"/>
  <c r="AQ17" i="101" s="1"/>
  <c r="U17" i="101"/>
  <c r="V17" i="101" s="1"/>
  <c r="N17" i="101"/>
  <c r="AZ15" i="101"/>
  <c r="AY15" i="101"/>
  <c r="AP15" i="101"/>
  <c r="AQ15" i="101" s="1"/>
  <c r="U15" i="101"/>
  <c r="V15" i="101" s="1"/>
  <c r="N15" i="101"/>
  <c r="AZ14" i="101"/>
  <c r="AY14" i="101"/>
  <c r="AP14" i="101"/>
  <c r="AQ14" i="101" s="1"/>
  <c r="U14" i="101"/>
  <c r="V14" i="101" s="1"/>
  <c r="N14" i="101"/>
  <c r="AZ13" i="101"/>
  <c r="AY13" i="101"/>
  <c r="AP13" i="101"/>
  <c r="AQ13" i="101" s="1"/>
  <c r="U13" i="101"/>
  <c r="V13" i="101" s="1"/>
  <c r="N13" i="101"/>
  <c r="AZ12" i="101"/>
  <c r="AY12" i="101"/>
  <c r="AP12" i="101"/>
  <c r="AQ12" i="101" s="1"/>
  <c r="U12" i="101"/>
  <c r="V12" i="101" s="1"/>
  <c r="N12" i="101"/>
  <c r="AZ11" i="101"/>
  <c r="N11" i="101"/>
  <c r="AZ10" i="101"/>
  <c r="AY10" i="101"/>
  <c r="AP10" i="101"/>
  <c r="AQ10" i="101" s="1"/>
  <c r="U10" i="101"/>
  <c r="V10" i="101" s="1"/>
  <c r="N10" i="101"/>
  <c r="AZ9" i="101"/>
  <c r="AY9" i="101"/>
  <c r="AP9" i="101"/>
  <c r="AQ9" i="101" s="1"/>
  <c r="U9" i="101"/>
  <c r="V9" i="101" s="1"/>
  <c r="N9" i="101"/>
  <c r="AZ8" i="101"/>
  <c r="AY8" i="101"/>
  <c r="AP8" i="101"/>
  <c r="AQ8" i="101" s="1"/>
  <c r="U8" i="101"/>
  <c r="V8" i="101" s="1"/>
  <c r="N8" i="101"/>
  <c r="AZ7" i="101"/>
  <c r="AY7" i="101"/>
  <c r="AP7" i="101"/>
  <c r="AQ7" i="101" s="1"/>
  <c r="U7" i="101"/>
  <c r="V7" i="101" s="1"/>
  <c r="AZ6" i="101"/>
  <c r="AY6" i="101"/>
  <c r="AP6" i="101"/>
  <c r="AQ6" i="101" s="1"/>
  <c r="U6" i="101"/>
  <c r="V6" i="101" s="1"/>
  <c r="N6" i="101"/>
  <c r="AZ5" i="101"/>
  <c r="AY5" i="101"/>
  <c r="AP5" i="101"/>
  <c r="AQ5" i="101" s="1"/>
  <c r="U5" i="101"/>
  <c r="V5" i="101" s="1"/>
  <c r="N5" i="101"/>
  <c r="AU2" i="101"/>
  <c r="Y2" i="101"/>
  <c r="AA2" i="101" s="1"/>
  <c r="I2" i="101"/>
  <c r="AB74" i="101" l="1"/>
  <c r="AC74" i="101" s="1"/>
  <c r="AE74" i="101" s="1"/>
  <c r="AB32" i="101"/>
  <c r="AC32" i="101" s="1"/>
  <c r="AE32" i="101" s="1"/>
  <c r="AB104" i="101"/>
  <c r="AC104" i="101" s="1"/>
  <c r="AE104" i="101" s="1"/>
  <c r="AL104" i="101" s="1"/>
  <c r="AB54" i="101"/>
  <c r="AC54" i="101" s="1"/>
  <c r="AE54" i="101" s="1"/>
  <c r="AH54" i="101" s="1"/>
  <c r="AB14" i="101"/>
  <c r="AC14" i="101" s="1"/>
  <c r="AE14" i="101" s="1"/>
  <c r="AH14" i="101" s="1"/>
  <c r="AB118" i="101"/>
  <c r="AC118" i="101" s="1"/>
  <c r="AE118" i="101" s="1"/>
  <c r="AH118" i="101" s="1"/>
  <c r="AN118" i="101" s="1"/>
  <c r="AB102" i="101"/>
  <c r="AC102" i="101" s="1"/>
  <c r="AE102" i="101" s="1"/>
  <c r="AL102" i="101" s="1"/>
  <c r="AB44" i="101"/>
  <c r="AC44" i="101" s="1"/>
  <c r="AE44" i="101" s="1"/>
  <c r="AH44" i="101" s="1"/>
  <c r="AB52" i="101"/>
  <c r="AC52" i="101" s="1"/>
  <c r="AE52" i="101" s="1"/>
  <c r="AL52" i="101" s="1"/>
  <c r="AB126" i="101"/>
  <c r="AC126" i="101" s="1"/>
  <c r="AE126" i="101" s="1"/>
  <c r="AL126" i="101" s="1"/>
  <c r="AB24" i="101"/>
  <c r="AC24" i="101" s="1"/>
  <c r="AE24" i="101" s="1"/>
  <c r="AL24" i="101" s="1"/>
  <c r="AB112" i="101"/>
  <c r="AC112" i="101" s="1"/>
  <c r="AE112" i="101" s="1"/>
  <c r="AH112" i="101" s="1"/>
  <c r="AB62" i="101"/>
  <c r="AC62" i="101" s="1"/>
  <c r="AE62" i="101" s="1"/>
  <c r="AL62" i="101" s="1"/>
  <c r="AB42" i="101"/>
  <c r="AC42" i="101" s="1"/>
  <c r="AE42" i="101" s="1"/>
  <c r="AL42" i="101" s="1"/>
  <c r="AB131" i="101"/>
  <c r="AC131" i="101" s="1"/>
  <c r="AE131" i="101" s="1"/>
  <c r="AH131" i="101" s="1"/>
  <c r="AB17" i="101"/>
  <c r="AC17" i="101" s="1"/>
  <c r="AE17" i="101" s="1"/>
  <c r="AH17" i="101" s="1"/>
  <c r="AB137" i="101"/>
  <c r="AC137" i="101" s="1"/>
  <c r="AE137" i="101" s="1"/>
  <c r="AH137" i="101" s="1"/>
  <c r="AB67" i="101"/>
  <c r="AC67" i="101" s="1"/>
  <c r="AE67" i="101" s="1"/>
  <c r="AH67" i="101" s="1"/>
  <c r="AB22" i="101"/>
  <c r="AC22" i="101" s="1"/>
  <c r="AE22" i="101" s="1"/>
  <c r="AL22" i="101" s="1"/>
  <c r="AB36" i="101"/>
  <c r="AC36" i="101" s="1"/>
  <c r="AE36" i="101" s="1"/>
  <c r="AL36" i="101" s="1"/>
  <c r="AB88" i="101"/>
  <c r="AC88" i="101" s="1"/>
  <c r="AE88" i="101" s="1"/>
  <c r="AL88" i="101" s="1"/>
  <c r="AB57" i="101"/>
  <c r="AC57" i="101" s="1"/>
  <c r="AE57" i="101" s="1"/>
  <c r="AL57" i="101" s="1"/>
  <c r="AB129" i="101"/>
  <c r="AC129" i="101" s="1"/>
  <c r="AE129" i="101" s="1"/>
  <c r="AL129" i="101" s="1"/>
  <c r="AB92" i="101"/>
  <c r="AC92" i="101" s="1"/>
  <c r="AE92" i="101" s="1"/>
  <c r="AL92" i="101" s="1"/>
  <c r="AB76" i="101"/>
  <c r="AC76" i="101" s="1"/>
  <c r="AE76" i="101" s="1"/>
  <c r="AH76" i="101" s="1"/>
  <c r="AB84" i="101"/>
  <c r="AC84" i="101" s="1"/>
  <c r="AE84" i="101" s="1"/>
  <c r="AL84" i="101" s="1"/>
  <c r="AB122" i="101"/>
  <c r="AC122" i="101" s="1"/>
  <c r="AE122" i="101" s="1"/>
  <c r="AL122" i="101" s="1"/>
  <c r="AH74" i="101"/>
  <c r="AL74" i="101"/>
  <c r="AB82" i="101"/>
  <c r="AC82" i="101" s="1"/>
  <c r="AE82" i="101" s="1"/>
  <c r="AL82" i="101" s="1"/>
  <c r="AB94" i="101"/>
  <c r="AC94" i="101" s="1"/>
  <c r="AE94" i="101" s="1"/>
  <c r="AH94" i="101" s="1"/>
  <c r="AB124" i="101"/>
  <c r="AC124" i="101" s="1"/>
  <c r="AE124" i="101" s="1"/>
  <c r="AH124" i="101" s="1"/>
  <c r="AB133" i="101"/>
  <c r="AC133" i="101" s="1"/>
  <c r="AE133" i="101" s="1"/>
  <c r="AL133" i="101" s="1"/>
  <c r="AB123" i="101"/>
  <c r="AC123" i="101" s="1"/>
  <c r="AE123" i="101" s="1"/>
  <c r="AL123" i="101" s="1"/>
  <c r="AB113" i="101"/>
  <c r="AC113" i="101" s="1"/>
  <c r="AE113" i="101" s="1"/>
  <c r="AH113" i="101" s="1"/>
  <c r="AB103" i="101"/>
  <c r="AC103" i="101" s="1"/>
  <c r="AE103" i="101" s="1"/>
  <c r="AL103" i="101" s="1"/>
  <c r="AB93" i="101"/>
  <c r="AC93" i="101" s="1"/>
  <c r="AE93" i="101" s="1"/>
  <c r="AL93" i="101" s="1"/>
  <c r="AB83" i="101"/>
  <c r="AC83" i="101" s="1"/>
  <c r="AE83" i="101" s="1"/>
  <c r="AL83" i="101" s="1"/>
  <c r="AB73" i="101"/>
  <c r="AC73" i="101" s="1"/>
  <c r="AE73" i="101" s="1"/>
  <c r="AB63" i="101"/>
  <c r="AC63" i="101" s="1"/>
  <c r="AE63" i="101" s="1"/>
  <c r="AB53" i="101"/>
  <c r="AC53" i="101" s="1"/>
  <c r="AE53" i="101" s="1"/>
  <c r="AL53" i="101" s="1"/>
  <c r="AB43" i="101"/>
  <c r="AC43" i="101" s="1"/>
  <c r="AE43" i="101" s="1"/>
  <c r="AL43" i="101" s="1"/>
  <c r="AB30" i="101"/>
  <c r="AC30" i="101" s="1"/>
  <c r="AE30" i="101" s="1"/>
  <c r="AL30" i="101" s="1"/>
  <c r="AB19" i="101"/>
  <c r="AC19" i="101" s="1"/>
  <c r="AE19" i="101" s="1"/>
  <c r="AH19" i="101" s="1"/>
  <c r="AB13" i="101"/>
  <c r="AC13" i="101" s="1"/>
  <c r="AE13" i="101" s="1"/>
  <c r="AL13" i="101" s="1"/>
  <c r="AB6" i="101"/>
  <c r="AC6" i="101" s="1"/>
  <c r="AE6" i="101" s="1"/>
  <c r="AH6" i="101" s="1"/>
  <c r="AB130" i="101"/>
  <c r="AC130" i="101" s="1"/>
  <c r="AE130" i="101" s="1"/>
  <c r="AL130" i="101" s="1"/>
  <c r="AB120" i="101"/>
  <c r="AC120" i="101" s="1"/>
  <c r="AE120" i="101" s="1"/>
  <c r="AL120" i="101" s="1"/>
  <c r="AB110" i="101"/>
  <c r="AC110" i="101" s="1"/>
  <c r="AE110" i="101" s="1"/>
  <c r="AB100" i="101"/>
  <c r="AC100" i="101" s="1"/>
  <c r="AE100" i="101" s="1"/>
  <c r="AL100" i="101" s="1"/>
  <c r="AB90" i="101"/>
  <c r="AC90" i="101" s="1"/>
  <c r="AE90" i="101" s="1"/>
  <c r="AL90" i="101" s="1"/>
  <c r="AB80" i="101"/>
  <c r="AC80" i="101" s="1"/>
  <c r="AE80" i="101" s="1"/>
  <c r="AL80" i="101" s="1"/>
  <c r="AB70" i="101"/>
  <c r="AC70" i="101" s="1"/>
  <c r="AE70" i="101" s="1"/>
  <c r="AH70" i="101" s="1"/>
  <c r="AB60" i="101"/>
  <c r="AC60" i="101" s="1"/>
  <c r="AE60" i="101" s="1"/>
  <c r="AL60" i="101" s="1"/>
  <c r="AB50" i="101"/>
  <c r="AC50" i="101" s="1"/>
  <c r="AE50" i="101" s="1"/>
  <c r="AH50" i="101" s="1"/>
  <c r="AB40" i="101"/>
  <c r="AC40" i="101" s="1"/>
  <c r="AE40" i="101" s="1"/>
  <c r="AL40" i="101" s="1"/>
  <c r="AB23" i="101"/>
  <c r="AC23" i="101" s="1"/>
  <c r="AE23" i="101" s="1"/>
  <c r="AB95" i="101"/>
  <c r="AC95" i="101" s="1"/>
  <c r="AE95" i="101" s="1"/>
  <c r="AH95" i="101" s="1"/>
  <c r="AB68" i="101"/>
  <c r="AC68" i="101" s="1"/>
  <c r="AE68" i="101" s="1"/>
  <c r="AH68" i="101" s="1"/>
  <c r="AB26" i="101"/>
  <c r="AC26" i="101" s="1"/>
  <c r="AE26" i="101" s="1"/>
  <c r="AB105" i="101"/>
  <c r="AC105" i="101" s="1"/>
  <c r="AE105" i="101" s="1"/>
  <c r="AH105" i="101" s="1"/>
  <c r="AB78" i="101"/>
  <c r="AC78" i="101" s="1"/>
  <c r="AE78" i="101" s="1"/>
  <c r="AH78" i="101" s="1"/>
  <c r="AB58" i="101"/>
  <c r="AC58" i="101" s="1"/>
  <c r="AE58" i="101" s="1"/>
  <c r="AL58" i="101" s="1"/>
  <c r="AB29" i="101"/>
  <c r="AC29" i="101" s="1"/>
  <c r="AE29" i="101" s="1"/>
  <c r="AL29" i="101" s="1"/>
  <c r="AB125" i="101"/>
  <c r="AC125" i="101" s="1"/>
  <c r="AE125" i="101" s="1"/>
  <c r="AH125" i="101" s="1"/>
  <c r="AB98" i="101"/>
  <c r="AC98" i="101" s="1"/>
  <c r="AE98" i="101" s="1"/>
  <c r="AH98" i="101" s="1"/>
  <c r="AB108" i="101"/>
  <c r="AC108" i="101" s="1"/>
  <c r="AE108" i="101" s="1"/>
  <c r="AH108" i="101" s="1"/>
  <c r="AB71" i="101"/>
  <c r="AC71" i="101" s="1"/>
  <c r="AE71" i="101" s="1"/>
  <c r="AH71" i="101" s="1"/>
  <c r="AB66" i="101"/>
  <c r="AC66" i="101" s="1"/>
  <c r="AE66" i="101" s="1"/>
  <c r="AL66" i="101" s="1"/>
  <c r="AB61" i="101"/>
  <c r="AC61" i="101" s="1"/>
  <c r="AE61" i="101" s="1"/>
  <c r="AL61" i="101" s="1"/>
  <c r="AB8" i="101"/>
  <c r="AC8" i="101" s="1"/>
  <c r="AE8" i="101" s="1"/>
  <c r="AH8" i="101" s="1"/>
  <c r="AB135" i="101"/>
  <c r="AC135" i="101" s="1"/>
  <c r="AE135" i="101" s="1"/>
  <c r="AL135" i="101" s="1"/>
  <c r="AB48" i="101"/>
  <c r="AC48" i="101" s="1"/>
  <c r="AE48" i="101" s="1"/>
  <c r="AL48" i="101" s="1"/>
  <c r="AB128" i="101"/>
  <c r="AC128" i="101" s="1"/>
  <c r="AE128" i="101" s="1"/>
  <c r="AL128" i="101" s="1"/>
  <c r="AB91" i="101"/>
  <c r="AC91" i="101" s="1"/>
  <c r="AE91" i="101" s="1"/>
  <c r="AL91" i="101" s="1"/>
  <c r="AB86" i="101"/>
  <c r="AC86" i="101" s="1"/>
  <c r="AE86" i="101" s="1"/>
  <c r="AL86" i="101" s="1"/>
  <c r="AB27" i="101"/>
  <c r="AC27" i="101" s="1"/>
  <c r="AE27" i="101" s="1"/>
  <c r="AL27" i="101" s="1"/>
  <c r="AB101" i="101"/>
  <c r="AC101" i="101" s="1"/>
  <c r="AE101" i="101" s="1"/>
  <c r="AL101" i="101" s="1"/>
  <c r="AB96" i="101"/>
  <c r="AC96" i="101" s="1"/>
  <c r="AE96" i="101" s="1"/>
  <c r="AL96" i="101" s="1"/>
  <c r="AB64" i="101"/>
  <c r="AC64" i="101" s="1"/>
  <c r="AE64" i="101" s="1"/>
  <c r="AL64" i="101" s="1"/>
  <c r="AB51" i="101"/>
  <c r="AC51" i="101" s="1"/>
  <c r="AE51" i="101" s="1"/>
  <c r="AL51" i="101" s="1"/>
  <c r="AB38" i="101"/>
  <c r="AC38" i="101" s="1"/>
  <c r="AE38" i="101" s="1"/>
  <c r="AH38" i="101" s="1"/>
  <c r="AB77" i="101"/>
  <c r="AC77" i="101" s="1"/>
  <c r="AE77" i="101" s="1"/>
  <c r="AL77" i="101" s="1"/>
  <c r="AB69" i="101"/>
  <c r="AC69" i="101" s="1"/>
  <c r="AE69" i="101" s="1"/>
  <c r="AL69" i="101" s="1"/>
  <c r="AB7" i="101"/>
  <c r="AC7" i="101" s="1"/>
  <c r="AE7" i="101" s="1"/>
  <c r="AL7" i="101" s="1"/>
  <c r="AB111" i="101"/>
  <c r="AC111" i="101" s="1"/>
  <c r="AE111" i="101" s="1"/>
  <c r="AH111" i="101" s="1"/>
  <c r="AB117" i="101"/>
  <c r="AC117" i="101" s="1"/>
  <c r="AE117" i="101" s="1"/>
  <c r="AL117" i="101" s="1"/>
  <c r="AB56" i="101"/>
  <c r="AC56" i="101" s="1"/>
  <c r="AE56" i="101" s="1"/>
  <c r="AH56" i="101" s="1"/>
  <c r="AB87" i="101"/>
  <c r="AC87" i="101" s="1"/>
  <c r="AE87" i="101" s="1"/>
  <c r="AL87" i="101" s="1"/>
  <c r="AB79" i="101"/>
  <c r="AC79" i="101" s="1"/>
  <c r="AE79" i="101" s="1"/>
  <c r="AL79" i="101" s="1"/>
  <c r="AB10" i="101"/>
  <c r="AC10" i="101" s="1"/>
  <c r="AE10" i="101" s="1"/>
  <c r="AB12" i="101"/>
  <c r="AC12" i="101" s="1"/>
  <c r="AE12" i="101" s="1"/>
  <c r="AL12" i="101" s="1"/>
  <c r="AB121" i="101"/>
  <c r="AC121" i="101" s="1"/>
  <c r="AE121" i="101" s="1"/>
  <c r="AH121" i="101" s="1"/>
  <c r="AB127" i="101"/>
  <c r="AC127" i="101" s="1"/>
  <c r="AE127" i="101" s="1"/>
  <c r="AL127" i="101" s="1"/>
  <c r="AB134" i="101"/>
  <c r="AC134" i="101" s="1"/>
  <c r="AE134" i="101" s="1"/>
  <c r="AL134" i="101" s="1"/>
  <c r="AB132" i="101"/>
  <c r="AC132" i="101" s="1"/>
  <c r="AE132" i="101" s="1"/>
  <c r="AB97" i="101"/>
  <c r="AC97" i="101" s="1"/>
  <c r="AE97" i="101" s="1"/>
  <c r="AL97" i="101" s="1"/>
  <c r="AB89" i="101"/>
  <c r="AC89" i="101" s="1"/>
  <c r="AE89" i="101" s="1"/>
  <c r="AL89" i="101" s="1"/>
  <c r="AB65" i="101"/>
  <c r="AC65" i="101" s="1"/>
  <c r="AE65" i="101" s="1"/>
  <c r="AL65" i="101" s="1"/>
  <c r="AB47" i="101"/>
  <c r="AC47" i="101" s="1"/>
  <c r="AE47" i="101" s="1"/>
  <c r="AL47" i="101" s="1"/>
  <c r="AB41" i="101"/>
  <c r="AC41" i="101" s="1"/>
  <c r="AE41" i="101" s="1"/>
  <c r="AH41" i="101" s="1"/>
  <c r="AB136" i="101"/>
  <c r="AC136" i="101" s="1"/>
  <c r="AE136" i="101" s="1"/>
  <c r="AL136" i="101" s="1"/>
  <c r="AB39" i="101"/>
  <c r="AC39" i="101" s="1"/>
  <c r="AE39" i="101" s="1"/>
  <c r="AH39" i="101" s="1"/>
  <c r="AB115" i="101"/>
  <c r="AC115" i="101" s="1"/>
  <c r="AE115" i="101" s="1"/>
  <c r="AL115" i="101" s="1"/>
  <c r="AB15" i="101"/>
  <c r="AC15" i="101" s="1"/>
  <c r="AE15" i="101" s="1"/>
  <c r="AL15" i="101" s="1"/>
  <c r="AB119" i="101"/>
  <c r="AC119" i="101" s="1"/>
  <c r="AE119" i="101" s="1"/>
  <c r="AL119" i="101" s="1"/>
  <c r="AB28" i="101"/>
  <c r="AC28" i="101" s="1"/>
  <c r="AE28" i="101" s="1"/>
  <c r="AL28" i="101" s="1"/>
  <c r="AB5" i="101"/>
  <c r="AC5" i="101" s="1"/>
  <c r="AE5" i="101" s="1"/>
  <c r="AH5" i="101" s="1"/>
  <c r="AB85" i="101"/>
  <c r="AC85" i="101" s="1"/>
  <c r="AE85" i="101" s="1"/>
  <c r="AL85" i="101" s="1"/>
  <c r="AB81" i="101"/>
  <c r="AC81" i="101" s="1"/>
  <c r="AE81" i="101" s="1"/>
  <c r="AL81" i="101" s="1"/>
  <c r="AB75" i="101"/>
  <c r="AC75" i="101" s="1"/>
  <c r="AE75" i="101" s="1"/>
  <c r="AL75" i="101" s="1"/>
  <c r="AB55" i="101"/>
  <c r="AC55" i="101" s="1"/>
  <c r="AE55" i="101" s="1"/>
  <c r="AL55" i="101" s="1"/>
  <c r="AB49" i="101"/>
  <c r="AC49" i="101" s="1"/>
  <c r="AE49" i="101" s="1"/>
  <c r="AL49" i="101" s="1"/>
  <c r="AB45" i="101"/>
  <c r="AC45" i="101" s="1"/>
  <c r="AE45" i="101" s="1"/>
  <c r="AH45" i="101" s="1"/>
  <c r="AB37" i="101"/>
  <c r="AC37" i="101" s="1"/>
  <c r="AE37" i="101" s="1"/>
  <c r="AH37" i="101" s="1"/>
  <c r="AB25" i="101"/>
  <c r="AC25" i="101" s="1"/>
  <c r="AE25" i="101" s="1"/>
  <c r="AL25" i="101" s="1"/>
  <c r="AB138" i="101"/>
  <c r="AC138" i="101" s="1"/>
  <c r="AE138" i="101" s="1"/>
  <c r="AL138" i="101" s="1"/>
  <c r="AB107" i="101"/>
  <c r="AC107" i="101" s="1"/>
  <c r="AE107" i="101" s="1"/>
  <c r="AL107" i="101" s="1"/>
  <c r="AB99" i="101"/>
  <c r="AC99" i="101" s="1"/>
  <c r="AE99" i="101" s="1"/>
  <c r="AH99" i="101" s="1"/>
  <c r="AB34" i="101"/>
  <c r="AC34" i="101" s="1"/>
  <c r="AE34" i="101" s="1"/>
  <c r="AH34" i="101" s="1"/>
  <c r="AB109" i="101"/>
  <c r="AC109" i="101" s="1"/>
  <c r="AE109" i="101" s="1"/>
  <c r="AL109" i="101" s="1"/>
  <c r="AB21" i="101"/>
  <c r="AC21" i="101" s="1"/>
  <c r="AE21" i="101" s="1"/>
  <c r="AL21" i="101" s="1"/>
  <c r="AB20" i="101"/>
  <c r="AC20" i="101" s="1"/>
  <c r="AE20" i="101" s="1"/>
  <c r="AH20" i="101" s="1"/>
  <c r="AB116" i="101"/>
  <c r="AC116" i="101" s="1"/>
  <c r="AE116" i="101" s="1"/>
  <c r="AL116" i="101" s="1"/>
  <c r="AB9" i="101"/>
  <c r="AC9" i="101" s="1"/>
  <c r="AE9" i="101" s="1"/>
  <c r="AL9" i="101" s="1"/>
  <c r="AB46" i="101"/>
  <c r="AC46" i="101" s="1"/>
  <c r="AE46" i="101" s="1"/>
  <c r="AH46" i="101" s="1"/>
  <c r="AB59" i="101"/>
  <c r="AC59" i="101" s="1"/>
  <c r="AE59" i="101" s="1"/>
  <c r="AH59" i="101" s="1"/>
  <c r="AB72" i="101"/>
  <c r="AC72" i="101" s="1"/>
  <c r="AE72" i="101" s="1"/>
  <c r="AH72" i="101" s="1"/>
  <c r="AB106" i="101"/>
  <c r="AC106" i="101" s="1"/>
  <c r="AE106" i="101" s="1"/>
  <c r="AH106" i="101" s="1"/>
  <c r="AB114" i="101"/>
  <c r="AC114" i="101" s="1"/>
  <c r="AE114" i="101" s="1"/>
  <c r="AL114" i="101" s="1"/>
  <c r="AL32" i="101" l="1"/>
  <c r="AH32" i="101"/>
  <c r="AH12" i="101"/>
  <c r="AN12" i="101" s="1"/>
  <c r="AL54" i="101"/>
  <c r="AL14" i="101"/>
  <c r="AL118" i="101"/>
  <c r="AH83" i="101"/>
  <c r="AN83" i="101" s="1"/>
  <c r="AH58" i="101"/>
  <c r="AM58" i="101" s="1"/>
  <c r="AL5" i="101"/>
  <c r="AL124" i="101"/>
  <c r="AH52" i="101"/>
  <c r="AM52" i="101" s="1"/>
  <c r="AH104" i="101"/>
  <c r="AN104" i="101" s="1"/>
  <c r="AH102" i="101"/>
  <c r="AN102" i="101" s="1"/>
  <c r="AH28" i="101"/>
  <c r="AN28" i="101" s="1"/>
  <c r="AL46" i="101"/>
  <c r="AL72" i="101"/>
  <c r="AH114" i="101"/>
  <c r="AN114" i="101" s="1"/>
  <c r="AH92" i="101"/>
  <c r="AL44" i="101"/>
  <c r="AH127" i="101"/>
  <c r="AM127" i="101" s="1"/>
  <c r="AH126" i="101"/>
  <c r="AN126" i="101" s="1"/>
  <c r="AH84" i="101"/>
  <c r="AM84" i="101" s="1"/>
  <c r="AL59" i="101"/>
  <c r="AH133" i="101"/>
  <c r="AN133" i="101" s="1"/>
  <c r="AH42" i="101"/>
  <c r="AM42" i="101" s="1"/>
  <c r="AL131" i="101"/>
  <c r="AH24" i="101"/>
  <c r="AN24" i="101" s="1"/>
  <c r="AH85" i="101"/>
  <c r="AM85" i="101" s="1"/>
  <c r="AL108" i="101"/>
  <c r="AH61" i="101"/>
  <c r="AN61" i="101" s="1"/>
  <c r="AL71" i="101"/>
  <c r="AH81" i="101"/>
  <c r="AM81" i="101" s="1"/>
  <c r="AH100" i="101"/>
  <c r="AM100" i="101" s="1"/>
  <c r="AM118" i="101"/>
  <c r="AL56" i="101"/>
  <c r="AL39" i="101"/>
  <c r="AH120" i="101"/>
  <c r="AN120" i="101" s="1"/>
  <c r="AH57" i="101"/>
  <c r="AM57" i="101" s="1"/>
  <c r="AL8" i="101"/>
  <c r="AH62" i="101"/>
  <c r="AN62" i="101" s="1"/>
  <c r="AL67" i="101"/>
  <c r="AL137" i="101"/>
  <c r="AL112" i="101"/>
  <c r="AH80" i="101"/>
  <c r="AN80" i="101" s="1"/>
  <c r="AH117" i="101"/>
  <c r="AM117" i="101" s="1"/>
  <c r="AH22" i="101"/>
  <c r="AM22" i="101" s="1"/>
  <c r="AH90" i="101"/>
  <c r="AN90" i="101" s="1"/>
  <c r="AL17" i="101"/>
  <c r="AM17" i="101"/>
  <c r="AN17" i="101"/>
  <c r="AH109" i="101"/>
  <c r="AN109" i="101" s="1"/>
  <c r="AL98" i="101"/>
  <c r="AH136" i="101"/>
  <c r="AN136" i="101" s="1"/>
  <c r="AL38" i="101"/>
  <c r="AH30" i="101"/>
  <c r="AN30" i="101" s="1"/>
  <c r="AH97" i="101"/>
  <c r="AM97" i="101" s="1"/>
  <c r="AH135" i="101"/>
  <c r="AN135" i="101" s="1"/>
  <c r="AL78" i="101"/>
  <c r="AH119" i="101"/>
  <c r="AN119" i="101" s="1"/>
  <c r="AH69" i="101"/>
  <c r="AM69" i="101" s="1"/>
  <c r="AL106" i="101"/>
  <c r="AH115" i="101"/>
  <c r="AM115" i="101" s="1"/>
  <c r="AH7" i="101"/>
  <c r="AM7" i="101" s="1"/>
  <c r="AL41" i="101"/>
  <c r="AH21" i="101"/>
  <c r="AM21" i="101" s="1"/>
  <c r="AH51" i="101"/>
  <c r="AN51" i="101" s="1"/>
  <c r="AH91" i="101"/>
  <c r="AM91" i="101" s="1"/>
  <c r="AH60" i="101"/>
  <c r="AN60" i="101" s="1"/>
  <c r="AL20" i="101"/>
  <c r="AL125" i="101"/>
  <c r="AH77" i="101"/>
  <c r="AM77" i="101" s="1"/>
  <c r="AL19" i="101"/>
  <c r="AH88" i="101"/>
  <c r="AH13" i="101"/>
  <c r="AN13" i="101" s="1"/>
  <c r="AH9" i="101"/>
  <c r="AN9" i="101" s="1"/>
  <c r="AH29" i="101"/>
  <c r="AM29" i="101" s="1"/>
  <c r="AH15" i="101"/>
  <c r="AN15" i="101" s="1"/>
  <c r="AH103" i="101"/>
  <c r="AN103" i="101" s="1"/>
  <c r="AH36" i="101"/>
  <c r="AM36" i="101" s="1"/>
  <c r="AH43" i="101"/>
  <c r="AM43" i="101" s="1"/>
  <c r="AH130" i="101"/>
  <c r="AN130" i="101" s="1"/>
  <c r="AL113" i="101"/>
  <c r="AL70" i="101"/>
  <c r="AH79" i="101"/>
  <c r="AM79" i="101" s="1"/>
  <c r="AM37" i="101"/>
  <c r="AN37" i="101"/>
  <c r="AN50" i="101"/>
  <c r="AM50" i="101"/>
  <c r="AN70" i="101"/>
  <c r="AM70" i="101"/>
  <c r="AN94" i="101"/>
  <c r="AM94" i="101"/>
  <c r="AN6" i="101"/>
  <c r="AM6" i="101"/>
  <c r="AM34" i="101"/>
  <c r="AN34" i="101"/>
  <c r="AM105" i="101"/>
  <c r="AN105" i="101"/>
  <c r="AN121" i="101"/>
  <c r="AM121" i="101"/>
  <c r="AM68" i="101"/>
  <c r="AN68" i="101"/>
  <c r="AM45" i="101"/>
  <c r="AN45" i="101"/>
  <c r="AM99" i="101"/>
  <c r="AN99" i="101"/>
  <c r="AM95" i="101"/>
  <c r="AN95" i="101"/>
  <c r="AM113" i="101"/>
  <c r="AN113" i="101"/>
  <c r="AM111" i="101"/>
  <c r="AN111" i="101"/>
  <c r="AN20" i="101"/>
  <c r="AM20" i="101"/>
  <c r="AM76" i="101"/>
  <c r="AN76" i="101"/>
  <c r="AH63" i="101"/>
  <c r="AL63" i="101"/>
  <c r="AM92" i="101"/>
  <c r="AN92" i="101"/>
  <c r="AH96" i="101"/>
  <c r="AN131" i="101"/>
  <c r="AM131" i="101"/>
  <c r="AL99" i="101"/>
  <c r="AN72" i="101"/>
  <c r="AM72" i="101"/>
  <c r="AH101" i="101"/>
  <c r="AH138" i="101"/>
  <c r="AM39" i="101"/>
  <c r="AN39" i="101"/>
  <c r="AH128" i="101"/>
  <c r="AL50" i="101"/>
  <c r="AH93" i="101"/>
  <c r="AM14" i="101"/>
  <c r="AN14" i="101"/>
  <c r="AM56" i="101"/>
  <c r="AN56" i="101"/>
  <c r="AH75" i="101"/>
  <c r="AM59" i="101"/>
  <c r="AN59" i="101"/>
  <c r="AL95" i="101"/>
  <c r="AL34" i="101"/>
  <c r="AH64" i="101"/>
  <c r="AL121" i="101"/>
  <c r="AH66" i="101"/>
  <c r="AH27" i="101"/>
  <c r="AN38" i="101"/>
  <c r="AM38" i="101"/>
  <c r="AH47" i="101"/>
  <c r="AH26" i="101"/>
  <c r="AL26" i="101"/>
  <c r="AN19" i="101"/>
  <c r="AM19" i="101"/>
  <c r="AH40" i="101"/>
  <c r="AH65" i="101"/>
  <c r="AL45" i="101"/>
  <c r="AM67" i="101"/>
  <c r="AN67" i="101"/>
  <c r="AH129" i="101"/>
  <c r="AH89" i="101"/>
  <c r="AH55" i="101"/>
  <c r="AN54" i="101"/>
  <c r="AM54" i="101"/>
  <c r="AM125" i="101"/>
  <c r="AN125" i="101"/>
  <c r="AL37" i="101"/>
  <c r="AL68" i="101"/>
  <c r="AL6" i="101"/>
  <c r="AH53" i="101"/>
  <c r="AL23" i="101"/>
  <c r="AH23" i="101"/>
  <c r="AN124" i="101"/>
  <c r="AM124" i="101"/>
  <c r="AN112" i="101"/>
  <c r="AM112" i="101"/>
  <c r="AH116" i="101"/>
  <c r="AH123" i="101"/>
  <c r="AL76" i="101"/>
  <c r="AN44" i="101"/>
  <c r="AM44" i="101"/>
  <c r="AL105" i="101"/>
  <c r="AH87" i="101"/>
  <c r="AH110" i="101"/>
  <c r="AL110" i="101"/>
  <c r="AL94" i="101"/>
  <c r="AM46" i="101"/>
  <c r="AN46" i="101"/>
  <c r="AH49" i="101"/>
  <c r="AH48" i="101"/>
  <c r="AL111" i="101"/>
  <c r="AH107" i="101"/>
  <c r="AH82" i="101"/>
  <c r="AH122" i="101"/>
  <c r="AM5" i="101"/>
  <c r="AN5" i="101"/>
  <c r="AN71" i="101"/>
  <c r="AM71" i="101"/>
  <c r="AM28" i="101"/>
  <c r="AH73" i="101"/>
  <c r="AL73" i="101"/>
  <c r="AN78" i="101"/>
  <c r="AM78" i="101"/>
  <c r="AL132" i="101"/>
  <c r="AH132" i="101"/>
  <c r="AN8" i="101"/>
  <c r="AM8" i="101"/>
  <c r="AL10" i="101"/>
  <c r="AH10" i="101"/>
  <c r="AM108" i="101"/>
  <c r="AN108" i="101"/>
  <c r="AM106" i="101"/>
  <c r="AN106" i="101"/>
  <c r="AN98" i="101"/>
  <c r="AM98" i="101"/>
  <c r="AN137" i="101"/>
  <c r="AM137" i="101"/>
  <c r="AH86" i="101"/>
  <c r="AM41" i="101"/>
  <c r="AN41" i="101"/>
  <c r="AH25" i="101"/>
  <c r="AH134" i="101"/>
  <c r="AN74" i="101"/>
  <c r="AM74" i="101"/>
  <c r="AN58" i="101" l="1"/>
  <c r="AM114" i="101"/>
  <c r="AN32" i="101"/>
  <c r="AM32" i="101"/>
  <c r="AM104" i="101"/>
  <c r="AM102" i="101"/>
  <c r="AM13" i="101"/>
  <c r="AM83" i="101"/>
  <c r="AM12" i="101"/>
  <c r="AN42" i="101"/>
  <c r="AN52" i="101"/>
  <c r="AN117" i="101"/>
  <c r="AN127" i="101"/>
  <c r="AN84" i="101"/>
  <c r="AM126" i="101"/>
  <c r="AM9" i="101"/>
  <c r="AM120" i="101"/>
  <c r="AM24" i="101"/>
  <c r="AM109" i="101"/>
  <c r="AN85" i="101"/>
  <c r="AM61" i="101"/>
  <c r="AM133" i="101"/>
  <c r="AN97" i="101"/>
  <c r="AN7" i="101"/>
  <c r="AM136" i="101"/>
  <c r="AM15" i="101"/>
  <c r="AN81" i="101"/>
  <c r="AN100" i="101"/>
  <c r="AN57" i="101"/>
  <c r="AN77" i="101"/>
  <c r="AN79" i="101"/>
  <c r="AN29" i="101"/>
  <c r="AM90" i="101"/>
  <c r="AM80" i="101"/>
  <c r="AM30" i="101"/>
  <c r="AN43" i="101"/>
  <c r="AM62" i="101"/>
  <c r="AN22" i="101"/>
  <c r="AN115" i="101"/>
  <c r="AM135" i="101"/>
  <c r="AM60" i="101"/>
  <c r="AM130" i="101"/>
  <c r="AN21" i="101"/>
  <c r="AM119" i="101"/>
  <c r="AN91" i="101"/>
  <c r="AM51" i="101"/>
  <c r="AN69" i="101"/>
  <c r="AM88" i="101"/>
  <c r="AN88" i="101"/>
  <c r="AM103" i="101"/>
  <c r="AN36" i="101"/>
  <c r="AN27" i="101"/>
  <c r="AM27" i="101"/>
  <c r="AN66" i="101"/>
  <c r="AM66" i="101"/>
  <c r="AN10" i="101"/>
  <c r="AM10" i="101"/>
  <c r="AN73" i="101"/>
  <c r="AM73" i="101"/>
  <c r="AN25" i="101"/>
  <c r="AM25" i="101"/>
  <c r="AN107" i="101"/>
  <c r="AM107" i="101"/>
  <c r="AN101" i="101"/>
  <c r="AM101" i="101"/>
  <c r="AM23" i="101"/>
  <c r="AN23" i="101"/>
  <c r="AM129" i="101"/>
  <c r="AN129" i="101"/>
  <c r="AN47" i="101"/>
  <c r="AM47" i="101"/>
  <c r="AN82" i="101"/>
  <c r="AM82" i="101"/>
  <c r="AN40" i="101"/>
  <c r="AM40" i="101"/>
  <c r="AN138" i="101"/>
  <c r="AM138" i="101"/>
  <c r="AM75" i="101"/>
  <c r="AN75" i="101"/>
  <c r="AN89" i="101"/>
  <c r="AM89" i="101"/>
  <c r="AN123" i="101"/>
  <c r="AM123" i="101"/>
  <c r="AN86" i="101"/>
  <c r="AM86" i="101"/>
  <c r="AN116" i="101"/>
  <c r="AM116" i="101"/>
  <c r="AM65" i="101"/>
  <c r="AN65" i="101"/>
  <c r="AN93" i="101"/>
  <c r="AM93" i="101"/>
  <c r="AN110" i="101"/>
  <c r="AM110" i="101"/>
  <c r="AM132" i="101"/>
  <c r="AN132" i="101"/>
  <c r="AN63" i="101"/>
  <c r="AM63" i="101"/>
  <c r="AM48" i="101"/>
  <c r="AN48" i="101"/>
  <c r="AN134" i="101"/>
  <c r="AM134" i="101"/>
  <c r="AM53" i="101"/>
  <c r="AN53" i="101"/>
  <c r="AN26" i="101"/>
  <c r="AM26" i="101"/>
  <c r="AM87" i="101"/>
  <c r="AN87" i="101"/>
  <c r="AN122" i="101"/>
  <c r="AM122" i="101"/>
  <c r="AN64" i="101"/>
  <c r="AM64" i="101"/>
  <c r="AM49" i="101"/>
  <c r="AN49" i="101"/>
  <c r="AN55" i="101"/>
  <c r="AM55" i="101"/>
  <c r="AM128" i="101"/>
  <c r="AN128" i="101"/>
  <c r="AN96" i="101"/>
  <c r="AM96" i="101"/>
  <c r="AZ41" i="98" l="1"/>
  <c r="N41" i="98"/>
  <c r="AZ36" i="98" l="1"/>
  <c r="N36" i="98"/>
  <c r="AZ32" i="98"/>
  <c r="N32" i="98"/>
  <c r="AZ28" i="98" l="1"/>
  <c r="N28" i="98"/>
  <c r="AZ26" i="98"/>
  <c r="N26" i="98"/>
  <c r="AZ24" i="98"/>
  <c r="N24" i="98"/>
  <c r="AZ22" i="98"/>
  <c r="N22" i="98"/>
  <c r="AZ20" i="98"/>
  <c r="N20" i="98"/>
  <c r="AZ18" i="98"/>
  <c r="N18" i="98"/>
  <c r="AZ16" i="98"/>
  <c r="N16" i="98"/>
  <c r="AZ14" i="98"/>
  <c r="N14" i="98"/>
  <c r="AZ12" i="98"/>
  <c r="N12" i="98"/>
  <c r="AZ10" i="98"/>
  <c r="N10" i="98"/>
  <c r="AZ8" i="98"/>
  <c r="N8" i="98"/>
  <c r="AZ6" i="98"/>
  <c r="N6" i="98"/>
  <c r="AF13" i="98"/>
  <c r="AZ148" i="98"/>
  <c r="AY148" i="98"/>
  <c r="AP148" i="98"/>
  <c r="AQ148" i="98" s="1"/>
  <c r="U148" i="98"/>
  <c r="V148" i="98" s="1"/>
  <c r="N148" i="98"/>
  <c r="AZ147" i="98"/>
  <c r="AY147" i="98"/>
  <c r="AP147" i="98"/>
  <c r="AQ147" i="98" s="1"/>
  <c r="U147" i="98"/>
  <c r="V147" i="98" s="1"/>
  <c r="N147" i="98"/>
  <c r="AZ146" i="98"/>
  <c r="AY146" i="98"/>
  <c r="AP146" i="98"/>
  <c r="AQ146" i="98" s="1"/>
  <c r="U146" i="98"/>
  <c r="V146" i="98" s="1"/>
  <c r="N146" i="98"/>
  <c r="AZ145" i="98"/>
  <c r="AY145" i="98"/>
  <c r="AP145" i="98"/>
  <c r="AQ145" i="98" s="1"/>
  <c r="U145" i="98"/>
  <c r="V145" i="98" s="1"/>
  <c r="N145" i="98"/>
  <c r="AZ144" i="98"/>
  <c r="AY144" i="98"/>
  <c r="AP144" i="98"/>
  <c r="AQ144" i="98" s="1"/>
  <c r="U144" i="98"/>
  <c r="V144" i="98" s="1"/>
  <c r="N144" i="98"/>
  <c r="AZ143" i="98"/>
  <c r="AY143" i="98"/>
  <c r="AP143" i="98"/>
  <c r="AQ143" i="98" s="1"/>
  <c r="U143" i="98"/>
  <c r="V143" i="98" s="1"/>
  <c r="N143" i="98"/>
  <c r="AZ142" i="98"/>
  <c r="AY142" i="98"/>
  <c r="AP142" i="98"/>
  <c r="AQ142" i="98" s="1"/>
  <c r="U142" i="98"/>
  <c r="V142" i="98" s="1"/>
  <c r="N142" i="98"/>
  <c r="AZ141" i="98"/>
  <c r="AY141" i="98"/>
  <c r="AP141" i="98"/>
  <c r="AQ141" i="98" s="1"/>
  <c r="U141" i="98"/>
  <c r="V141" i="98" s="1"/>
  <c r="N141" i="98"/>
  <c r="AZ140" i="98"/>
  <c r="AY140" i="98"/>
  <c r="AP140" i="98"/>
  <c r="AQ140" i="98" s="1"/>
  <c r="U140" i="98"/>
  <c r="V140" i="98" s="1"/>
  <c r="N140" i="98"/>
  <c r="AZ139" i="98"/>
  <c r="AY139" i="98"/>
  <c r="AP139" i="98"/>
  <c r="AQ139" i="98" s="1"/>
  <c r="U139" i="98"/>
  <c r="V139" i="98" s="1"/>
  <c r="N139" i="98"/>
  <c r="AZ138" i="98"/>
  <c r="AY138" i="98"/>
  <c r="AP138" i="98"/>
  <c r="AQ138" i="98" s="1"/>
  <c r="U138" i="98"/>
  <c r="V138" i="98" s="1"/>
  <c r="N138" i="98"/>
  <c r="AZ137" i="98"/>
  <c r="AY137" i="98"/>
  <c r="AP137" i="98"/>
  <c r="AQ137" i="98" s="1"/>
  <c r="U137" i="98"/>
  <c r="V137" i="98" s="1"/>
  <c r="N137" i="98"/>
  <c r="AZ136" i="98"/>
  <c r="AY136" i="98"/>
  <c r="AP136" i="98"/>
  <c r="AQ136" i="98" s="1"/>
  <c r="U136" i="98"/>
  <c r="V136" i="98" s="1"/>
  <c r="N136" i="98"/>
  <c r="AZ135" i="98"/>
  <c r="AY135" i="98"/>
  <c r="AP135" i="98"/>
  <c r="AQ135" i="98" s="1"/>
  <c r="U135" i="98"/>
  <c r="V135" i="98" s="1"/>
  <c r="N135" i="98"/>
  <c r="AZ134" i="98"/>
  <c r="AY134" i="98"/>
  <c r="AP134" i="98"/>
  <c r="AQ134" i="98" s="1"/>
  <c r="U134" i="98"/>
  <c r="V134" i="98" s="1"/>
  <c r="N134" i="98"/>
  <c r="AZ133" i="98"/>
  <c r="AY133" i="98"/>
  <c r="AP133" i="98"/>
  <c r="AQ133" i="98" s="1"/>
  <c r="U133" i="98"/>
  <c r="V133" i="98" s="1"/>
  <c r="N133" i="98"/>
  <c r="AZ132" i="98"/>
  <c r="AY132" i="98"/>
  <c r="AP132" i="98"/>
  <c r="AQ132" i="98" s="1"/>
  <c r="U132" i="98"/>
  <c r="V132" i="98" s="1"/>
  <c r="N132" i="98"/>
  <c r="AZ131" i="98"/>
  <c r="AY131" i="98"/>
  <c r="AP131" i="98"/>
  <c r="AQ131" i="98" s="1"/>
  <c r="U131" i="98"/>
  <c r="V131" i="98" s="1"/>
  <c r="N131" i="98"/>
  <c r="AZ130" i="98"/>
  <c r="AY130" i="98"/>
  <c r="AP130" i="98"/>
  <c r="AQ130" i="98" s="1"/>
  <c r="U130" i="98"/>
  <c r="V130" i="98" s="1"/>
  <c r="N130" i="98"/>
  <c r="AZ129" i="98"/>
  <c r="AY129" i="98"/>
  <c r="AP129" i="98"/>
  <c r="AQ129" i="98" s="1"/>
  <c r="U129" i="98"/>
  <c r="V129" i="98" s="1"/>
  <c r="N129" i="98"/>
  <c r="AZ128" i="98"/>
  <c r="AY128" i="98"/>
  <c r="AP128" i="98"/>
  <c r="AQ128" i="98" s="1"/>
  <c r="U128" i="98"/>
  <c r="V128" i="98" s="1"/>
  <c r="N128" i="98"/>
  <c r="AZ127" i="98"/>
  <c r="AY127" i="98"/>
  <c r="AP127" i="98"/>
  <c r="AQ127" i="98" s="1"/>
  <c r="U127" i="98"/>
  <c r="V127" i="98" s="1"/>
  <c r="N127" i="98"/>
  <c r="AZ126" i="98"/>
  <c r="AY126" i="98"/>
  <c r="AP126" i="98"/>
  <c r="AQ126" i="98" s="1"/>
  <c r="U126" i="98"/>
  <c r="V126" i="98" s="1"/>
  <c r="N126" i="98"/>
  <c r="AZ125" i="98"/>
  <c r="AY125" i="98"/>
  <c r="AP125" i="98"/>
  <c r="AQ125" i="98" s="1"/>
  <c r="U125" i="98"/>
  <c r="V125" i="98" s="1"/>
  <c r="N125" i="98"/>
  <c r="AZ124" i="98"/>
  <c r="AY124" i="98"/>
  <c r="AP124" i="98"/>
  <c r="AQ124" i="98" s="1"/>
  <c r="U124" i="98"/>
  <c r="V124" i="98" s="1"/>
  <c r="N124" i="98"/>
  <c r="AZ123" i="98"/>
  <c r="AY123" i="98"/>
  <c r="AP123" i="98"/>
  <c r="AQ123" i="98" s="1"/>
  <c r="U123" i="98"/>
  <c r="V123" i="98" s="1"/>
  <c r="N123" i="98"/>
  <c r="AZ122" i="98"/>
  <c r="AY122" i="98"/>
  <c r="AP122" i="98"/>
  <c r="AQ122" i="98" s="1"/>
  <c r="U122" i="98"/>
  <c r="V122" i="98" s="1"/>
  <c r="N122" i="98"/>
  <c r="AZ121" i="98"/>
  <c r="AY121" i="98"/>
  <c r="AP121" i="98"/>
  <c r="AQ121" i="98" s="1"/>
  <c r="U121" i="98"/>
  <c r="V121" i="98" s="1"/>
  <c r="N121" i="98"/>
  <c r="AZ120" i="98"/>
  <c r="AY120" i="98"/>
  <c r="AP120" i="98"/>
  <c r="AQ120" i="98" s="1"/>
  <c r="U120" i="98"/>
  <c r="V120" i="98" s="1"/>
  <c r="N120" i="98"/>
  <c r="AZ119" i="98"/>
  <c r="AY119" i="98"/>
  <c r="AP119" i="98"/>
  <c r="AQ119" i="98" s="1"/>
  <c r="U119" i="98"/>
  <c r="V119" i="98" s="1"/>
  <c r="N119" i="98"/>
  <c r="AZ118" i="98"/>
  <c r="AY118" i="98"/>
  <c r="AP118" i="98"/>
  <c r="AQ118" i="98" s="1"/>
  <c r="U118" i="98"/>
  <c r="V118" i="98" s="1"/>
  <c r="N118" i="98"/>
  <c r="AZ117" i="98"/>
  <c r="AY117" i="98"/>
  <c r="AP117" i="98"/>
  <c r="AQ117" i="98" s="1"/>
  <c r="U117" i="98"/>
  <c r="V117" i="98" s="1"/>
  <c r="N117" i="98"/>
  <c r="AZ116" i="98"/>
  <c r="AY116" i="98"/>
  <c r="AP116" i="98"/>
  <c r="AQ116" i="98" s="1"/>
  <c r="U116" i="98"/>
  <c r="V116" i="98" s="1"/>
  <c r="N116" i="98"/>
  <c r="AZ115" i="98"/>
  <c r="AY115" i="98"/>
  <c r="AP115" i="98"/>
  <c r="AQ115" i="98" s="1"/>
  <c r="U115" i="98"/>
  <c r="V115" i="98" s="1"/>
  <c r="N115" i="98"/>
  <c r="AZ114" i="98"/>
  <c r="AY114" i="98"/>
  <c r="AP114" i="98"/>
  <c r="AQ114" i="98" s="1"/>
  <c r="U114" i="98"/>
  <c r="V114" i="98" s="1"/>
  <c r="N114" i="98"/>
  <c r="AZ113" i="98"/>
  <c r="AY113" i="98"/>
  <c r="AP113" i="98"/>
  <c r="AQ113" i="98" s="1"/>
  <c r="U113" i="98"/>
  <c r="V113" i="98" s="1"/>
  <c r="N113" i="98"/>
  <c r="AZ112" i="98"/>
  <c r="AY112" i="98"/>
  <c r="AP112" i="98"/>
  <c r="AQ112" i="98" s="1"/>
  <c r="U112" i="98"/>
  <c r="V112" i="98" s="1"/>
  <c r="N112" i="98"/>
  <c r="AZ111" i="98"/>
  <c r="AY111" i="98"/>
  <c r="AP111" i="98"/>
  <c r="AQ111" i="98" s="1"/>
  <c r="U111" i="98"/>
  <c r="V111" i="98" s="1"/>
  <c r="N111" i="98"/>
  <c r="AZ110" i="98"/>
  <c r="AY110" i="98"/>
  <c r="AP110" i="98"/>
  <c r="AQ110" i="98" s="1"/>
  <c r="U110" i="98"/>
  <c r="V110" i="98" s="1"/>
  <c r="N110" i="98"/>
  <c r="AZ109" i="98"/>
  <c r="AY109" i="98"/>
  <c r="AP109" i="98"/>
  <c r="AQ109" i="98" s="1"/>
  <c r="U109" i="98"/>
  <c r="V109" i="98" s="1"/>
  <c r="N109" i="98"/>
  <c r="AZ108" i="98"/>
  <c r="AY108" i="98"/>
  <c r="AP108" i="98"/>
  <c r="AQ108" i="98" s="1"/>
  <c r="U108" i="98"/>
  <c r="V108" i="98" s="1"/>
  <c r="N108" i="98"/>
  <c r="AZ107" i="98"/>
  <c r="AY107" i="98"/>
  <c r="AP107" i="98"/>
  <c r="AQ107" i="98" s="1"/>
  <c r="U107" i="98"/>
  <c r="V107" i="98" s="1"/>
  <c r="N107" i="98"/>
  <c r="AZ106" i="98"/>
  <c r="AY106" i="98"/>
  <c r="AP106" i="98"/>
  <c r="AQ106" i="98" s="1"/>
  <c r="U106" i="98"/>
  <c r="V106" i="98" s="1"/>
  <c r="N106" i="98"/>
  <c r="AZ105" i="98"/>
  <c r="AY105" i="98"/>
  <c r="AP105" i="98"/>
  <c r="AQ105" i="98" s="1"/>
  <c r="U105" i="98"/>
  <c r="V105" i="98" s="1"/>
  <c r="N105" i="98"/>
  <c r="AZ104" i="98"/>
  <c r="AY104" i="98"/>
  <c r="AP104" i="98"/>
  <c r="AQ104" i="98" s="1"/>
  <c r="U104" i="98"/>
  <c r="V104" i="98" s="1"/>
  <c r="N104" i="98"/>
  <c r="AZ103" i="98"/>
  <c r="AY103" i="98"/>
  <c r="AP103" i="98"/>
  <c r="AQ103" i="98" s="1"/>
  <c r="U103" i="98"/>
  <c r="V103" i="98" s="1"/>
  <c r="N103" i="98"/>
  <c r="AZ102" i="98"/>
  <c r="AY102" i="98"/>
  <c r="AP102" i="98"/>
  <c r="AQ102" i="98" s="1"/>
  <c r="U102" i="98"/>
  <c r="V102" i="98" s="1"/>
  <c r="N102" i="98"/>
  <c r="AZ101" i="98"/>
  <c r="AY101" i="98"/>
  <c r="AP101" i="98"/>
  <c r="AQ101" i="98" s="1"/>
  <c r="U101" i="98"/>
  <c r="V101" i="98" s="1"/>
  <c r="N101" i="98"/>
  <c r="AZ100" i="98"/>
  <c r="AY100" i="98"/>
  <c r="AP100" i="98"/>
  <c r="AQ100" i="98" s="1"/>
  <c r="U100" i="98"/>
  <c r="V100" i="98" s="1"/>
  <c r="N100" i="98"/>
  <c r="AZ99" i="98"/>
  <c r="AY99" i="98"/>
  <c r="AP99" i="98"/>
  <c r="AQ99" i="98" s="1"/>
  <c r="U99" i="98"/>
  <c r="V99" i="98" s="1"/>
  <c r="N99" i="98"/>
  <c r="AZ98" i="98"/>
  <c r="AY98" i="98"/>
  <c r="AP98" i="98"/>
  <c r="AQ98" i="98" s="1"/>
  <c r="U98" i="98"/>
  <c r="V98" i="98" s="1"/>
  <c r="N98" i="98"/>
  <c r="AZ97" i="98"/>
  <c r="AY97" i="98"/>
  <c r="AP97" i="98"/>
  <c r="AQ97" i="98" s="1"/>
  <c r="U97" i="98"/>
  <c r="V97" i="98" s="1"/>
  <c r="N97" i="98"/>
  <c r="AZ96" i="98"/>
  <c r="AY96" i="98"/>
  <c r="AP96" i="98"/>
  <c r="AQ96" i="98" s="1"/>
  <c r="U96" i="98"/>
  <c r="V96" i="98" s="1"/>
  <c r="N96" i="98"/>
  <c r="AZ95" i="98"/>
  <c r="AY95" i="98"/>
  <c r="AP95" i="98"/>
  <c r="AQ95" i="98" s="1"/>
  <c r="U95" i="98"/>
  <c r="V95" i="98" s="1"/>
  <c r="N95" i="98"/>
  <c r="AZ94" i="98"/>
  <c r="AY94" i="98"/>
  <c r="AP94" i="98"/>
  <c r="AQ94" i="98" s="1"/>
  <c r="U94" i="98"/>
  <c r="V94" i="98" s="1"/>
  <c r="N94" i="98"/>
  <c r="AZ93" i="98"/>
  <c r="AY93" i="98"/>
  <c r="AP93" i="98"/>
  <c r="AQ93" i="98" s="1"/>
  <c r="U93" i="98"/>
  <c r="V93" i="98" s="1"/>
  <c r="N93" i="98"/>
  <c r="AZ92" i="98"/>
  <c r="AY92" i="98"/>
  <c r="AP92" i="98"/>
  <c r="AQ92" i="98" s="1"/>
  <c r="U92" i="98"/>
  <c r="V92" i="98" s="1"/>
  <c r="N92" i="98"/>
  <c r="AZ91" i="98"/>
  <c r="AY91" i="98"/>
  <c r="AP91" i="98"/>
  <c r="AQ91" i="98" s="1"/>
  <c r="U91" i="98"/>
  <c r="V91" i="98" s="1"/>
  <c r="N91" i="98"/>
  <c r="AZ90" i="98"/>
  <c r="AY90" i="98"/>
  <c r="AP90" i="98"/>
  <c r="AQ90" i="98" s="1"/>
  <c r="U90" i="98"/>
  <c r="V90" i="98" s="1"/>
  <c r="N90" i="98"/>
  <c r="AZ89" i="98"/>
  <c r="AY89" i="98"/>
  <c r="AP89" i="98"/>
  <c r="AQ89" i="98" s="1"/>
  <c r="U89" i="98"/>
  <c r="V89" i="98" s="1"/>
  <c r="N89" i="98"/>
  <c r="AZ88" i="98"/>
  <c r="AY88" i="98"/>
  <c r="AP88" i="98"/>
  <c r="AQ88" i="98" s="1"/>
  <c r="U88" i="98"/>
  <c r="V88" i="98" s="1"/>
  <c r="N88" i="98"/>
  <c r="AZ87" i="98"/>
  <c r="AY87" i="98"/>
  <c r="AP87" i="98"/>
  <c r="AQ87" i="98" s="1"/>
  <c r="U87" i="98"/>
  <c r="V87" i="98" s="1"/>
  <c r="N87" i="98"/>
  <c r="AZ86" i="98"/>
  <c r="AY86" i="98"/>
  <c r="AP86" i="98"/>
  <c r="AQ86" i="98" s="1"/>
  <c r="U86" i="98"/>
  <c r="V86" i="98" s="1"/>
  <c r="N86" i="98"/>
  <c r="AZ85" i="98"/>
  <c r="AY85" i="98"/>
  <c r="AP85" i="98"/>
  <c r="AQ85" i="98" s="1"/>
  <c r="U85" i="98"/>
  <c r="V85" i="98" s="1"/>
  <c r="N85" i="98"/>
  <c r="AZ84" i="98"/>
  <c r="AY84" i="98"/>
  <c r="AP84" i="98"/>
  <c r="AQ84" i="98" s="1"/>
  <c r="U84" i="98"/>
  <c r="V84" i="98" s="1"/>
  <c r="N84" i="98"/>
  <c r="AZ83" i="98"/>
  <c r="AY83" i="98"/>
  <c r="AP83" i="98"/>
  <c r="AQ83" i="98" s="1"/>
  <c r="U83" i="98"/>
  <c r="V83" i="98" s="1"/>
  <c r="N83" i="98"/>
  <c r="AZ82" i="98"/>
  <c r="AY82" i="98"/>
  <c r="AP82" i="98"/>
  <c r="AQ82" i="98" s="1"/>
  <c r="U82" i="98"/>
  <c r="V82" i="98" s="1"/>
  <c r="N82" i="98"/>
  <c r="AZ81" i="98"/>
  <c r="AY81" i="98"/>
  <c r="AP81" i="98"/>
  <c r="AQ81" i="98" s="1"/>
  <c r="U81" i="98"/>
  <c r="V81" i="98" s="1"/>
  <c r="N81" i="98"/>
  <c r="AZ80" i="98"/>
  <c r="AY80" i="98"/>
  <c r="AP80" i="98"/>
  <c r="AQ80" i="98" s="1"/>
  <c r="U80" i="98"/>
  <c r="V80" i="98" s="1"/>
  <c r="N80" i="98"/>
  <c r="AZ79" i="98"/>
  <c r="AY79" i="98"/>
  <c r="AP79" i="98"/>
  <c r="AQ79" i="98" s="1"/>
  <c r="U79" i="98"/>
  <c r="V79" i="98" s="1"/>
  <c r="N79" i="98"/>
  <c r="AZ78" i="98"/>
  <c r="AY78" i="98"/>
  <c r="AP78" i="98"/>
  <c r="AQ78" i="98" s="1"/>
  <c r="U78" i="98"/>
  <c r="V78" i="98" s="1"/>
  <c r="N78" i="98"/>
  <c r="AZ77" i="98"/>
  <c r="AY77" i="98"/>
  <c r="AP77" i="98"/>
  <c r="AQ77" i="98" s="1"/>
  <c r="U77" i="98"/>
  <c r="V77" i="98" s="1"/>
  <c r="N77" i="98"/>
  <c r="AZ76" i="98"/>
  <c r="AY76" i="98"/>
  <c r="AP76" i="98"/>
  <c r="AQ76" i="98" s="1"/>
  <c r="U76" i="98"/>
  <c r="V76" i="98" s="1"/>
  <c r="N76" i="98"/>
  <c r="AZ75" i="98"/>
  <c r="AY75" i="98"/>
  <c r="AP75" i="98"/>
  <c r="AQ75" i="98" s="1"/>
  <c r="U75" i="98"/>
  <c r="V75" i="98" s="1"/>
  <c r="N75" i="98"/>
  <c r="AZ74" i="98"/>
  <c r="AY74" i="98"/>
  <c r="AP74" i="98"/>
  <c r="AQ74" i="98" s="1"/>
  <c r="U74" i="98"/>
  <c r="V74" i="98" s="1"/>
  <c r="N74" i="98"/>
  <c r="AZ73" i="98"/>
  <c r="AY73" i="98"/>
  <c r="AP73" i="98"/>
  <c r="AQ73" i="98" s="1"/>
  <c r="U73" i="98"/>
  <c r="V73" i="98" s="1"/>
  <c r="N73" i="98"/>
  <c r="AZ72" i="98"/>
  <c r="AY72" i="98"/>
  <c r="AP72" i="98"/>
  <c r="AQ72" i="98" s="1"/>
  <c r="U72" i="98"/>
  <c r="V72" i="98" s="1"/>
  <c r="N72" i="98"/>
  <c r="AZ71" i="98"/>
  <c r="AY71" i="98"/>
  <c r="AP71" i="98"/>
  <c r="AQ71" i="98" s="1"/>
  <c r="U71" i="98"/>
  <c r="V71" i="98" s="1"/>
  <c r="N71" i="98"/>
  <c r="AZ70" i="98"/>
  <c r="AY70" i="98"/>
  <c r="AP70" i="98"/>
  <c r="AQ70" i="98" s="1"/>
  <c r="U70" i="98"/>
  <c r="V70" i="98" s="1"/>
  <c r="N70" i="98"/>
  <c r="AZ69" i="98"/>
  <c r="AY69" i="98"/>
  <c r="AP69" i="98"/>
  <c r="AQ69" i="98" s="1"/>
  <c r="U69" i="98"/>
  <c r="V69" i="98" s="1"/>
  <c r="N69" i="98"/>
  <c r="AZ68" i="98"/>
  <c r="AY68" i="98"/>
  <c r="AP68" i="98"/>
  <c r="AQ68" i="98" s="1"/>
  <c r="U68" i="98"/>
  <c r="V68" i="98" s="1"/>
  <c r="N68" i="98"/>
  <c r="AZ67" i="98"/>
  <c r="AY67" i="98"/>
  <c r="AP67" i="98"/>
  <c r="AQ67" i="98" s="1"/>
  <c r="U67" i="98"/>
  <c r="V67" i="98" s="1"/>
  <c r="N67" i="98"/>
  <c r="AZ66" i="98"/>
  <c r="AY66" i="98"/>
  <c r="AP66" i="98"/>
  <c r="AQ66" i="98" s="1"/>
  <c r="U66" i="98"/>
  <c r="V66" i="98" s="1"/>
  <c r="N66" i="98"/>
  <c r="AZ65" i="98"/>
  <c r="AY65" i="98"/>
  <c r="AP65" i="98"/>
  <c r="AQ65" i="98" s="1"/>
  <c r="U65" i="98"/>
  <c r="V65" i="98" s="1"/>
  <c r="N65" i="98"/>
  <c r="AZ64" i="98"/>
  <c r="AY64" i="98"/>
  <c r="AP64" i="98"/>
  <c r="AQ64" i="98" s="1"/>
  <c r="U64" i="98"/>
  <c r="V64" i="98" s="1"/>
  <c r="N64" i="98"/>
  <c r="AZ63" i="98"/>
  <c r="AY63" i="98"/>
  <c r="AP63" i="98"/>
  <c r="AQ63" i="98" s="1"/>
  <c r="U63" i="98"/>
  <c r="V63" i="98" s="1"/>
  <c r="N63" i="98"/>
  <c r="AZ62" i="98"/>
  <c r="AY62" i="98"/>
  <c r="AP62" i="98"/>
  <c r="AQ62" i="98" s="1"/>
  <c r="U62" i="98"/>
  <c r="V62" i="98" s="1"/>
  <c r="N62" i="98"/>
  <c r="AZ61" i="98"/>
  <c r="AY61" i="98"/>
  <c r="AP61" i="98"/>
  <c r="AQ61" i="98" s="1"/>
  <c r="U61" i="98"/>
  <c r="V61" i="98" s="1"/>
  <c r="N61" i="98"/>
  <c r="AZ60" i="98"/>
  <c r="AY60" i="98"/>
  <c r="AP60" i="98"/>
  <c r="AQ60" i="98" s="1"/>
  <c r="U60" i="98"/>
  <c r="V60" i="98" s="1"/>
  <c r="N60" i="98"/>
  <c r="AZ59" i="98"/>
  <c r="AY59" i="98"/>
  <c r="AP59" i="98"/>
  <c r="AQ59" i="98" s="1"/>
  <c r="U59" i="98"/>
  <c r="V59" i="98" s="1"/>
  <c r="N59" i="98"/>
  <c r="AZ58" i="98"/>
  <c r="AY58" i="98"/>
  <c r="AP58" i="98"/>
  <c r="AQ58" i="98" s="1"/>
  <c r="U58" i="98"/>
  <c r="V58" i="98" s="1"/>
  <c r="N58" i="98"/>
  <c r="AZ57" i="98"/>
  <c r="AY57" i="98"/>
  <c r="AP57" i="98"/>
  <c r="AQ57" i="98" s="1"/>
  <c r="U57" i="98"/>
  <c r="V57" i="98" s="1"/>
  <c r="N57" i="98"/>
  <c r="AZ56" i="98"/>
  <c r="AY56" i="98"/>
  <c r="AP56" i="98"/>
  <c r="AQ56" i="98" s="1"/>
  <c r="U56" i="98"/>
  <c r="V56" i="98" s="1"/>
  <c r="N56" i="98"/>
  <c r="AZ55" i="98"/>
  <c r="AY55" i="98"/>
  <c r="AP55" i="98"/>
  <c r="AQ55" i="98" s="1"/>
  <c r="U55" i="98"/>
  <c r="V55" i="98" s="1"/>
  <c r="N55" i="98"/>
  <c r="AZ54" i="98"/>
  <c r="AY54" i="98"/>
  <c r="AP54" i="98"/>
  <c r="AQ54" i="98" s="1"/>
  <c r="U54" i="98"/>
  <c r="V54" i="98" s="1"/>
  <c r="N54" i="98"/>
  <c r="AZ53" i="98"/>
  <c r="AY53" i="98"/>
  <c r="AP53" i="98"/>
  <c r="AQ53" i="98" s="1"/>
  <c r="U53" i="98"/>
  <c r="V53" i="98" s="1"/>
  <c r="N53" i="98"/>
  <c r="AZ52" i="98"/>
  <c r="AY52" i="98"/>
  <c r="AP52" i="98"/>
  <c r="AQ52" i="98" s="1"/>
  <c r="U52" i="98"/>
  <c r="V52" i="98" s="1"/>
  <c r="N52" i="98"/>
  <c r="AZ51" i="98"/>
  <c r="AY51" i="98"/>
  <c r="AP51" i="98"/>
  <c r="AQ51" i="98" s="1"/>
  <c r="U51" i="98"/>
  <c r="V51" i="98" s="1"/>
  <c r="N51" i="98"/>
  <c r="AZ50" i="98"/>
  <c r="AY50" i="98"/>
  <c r="AP50" i="98"/>
  <c r="AQ50" i="98" s="1"/>
  <c r="U50" i="98"/>
  <c r="V50" i="98" s="1"/>
  <c r="N50" i="98"/>
  <c r="AZ49" i="98"/>
  <c r="AY49" i="98"/>
  <c r="AP49" i="98"/>
  <c r="AQ49" i="98" s="1"/>
  <c r="U49" i="98"/>
  <c r="V49" i="98" s="1"/>
  <c r="N49" i="98"/>
  <c r="AZ48" i="98"/>
  <c r="AY48" i="98"/>
  <c r="AP48" i="98"/>
  <c r="AQ48" i="98" s="1"/>
  <c r="U48" i="98"/>
  <c r="V48" i="98" s="1"/>
  <c r="N48" i="98"/>
  <c r="AZ47" i="98"/>
  <c r="AY47" i="98"/>
  <c r="AP47" i="98"/>
  <c r="AQ47" i="98" s="1"/>
  <c r="U47" i="98"/>
  <c r="V47" i="98" s="1"/>
  <c r="N47" i="98"/>
  <c r="AZ46" i="98"/>
  <c r="AY46" i="98"/>
  <c r="AP46" i="98"/>
  <c r="AQ46" i="98" s="1"/>
  <c r="U46" i="98"/>
  <c r="V46" i="98" s="1"/>
  <c r="N46" i="98"/>
  <c r="AZ45" i="98"/>
  <c r="AY45" i="98"/>
  <c r="AP45" i="98"/>
  <c r="AQ45" i="98" s="1"/>
  <c r="U45" i="98"/>
  <c r="V45" i="98" s="1"/>
  <c r="N45" i="98"/>
  <c r="AZ44" i="98"/>
  <c r="AY44" i="98"/>
  <c r="AP44" i="98"/>
  <c r="AQ44" i="98" s="1"/>
  <c r="U44" i="98"/>
  <c r="V44" i="98" s="1"/>
  <c r="N44" i="98"/>
  <c r="AZ43" i="98"/>
  <c r="AY43" i="98"/>
  <c r="AP43" i="98"/>
  <c r="AQ43" i="98" s="1"/>
  <c r="U43" i="98"/>
  <c r="V43" i="98" s="1"/>
  <c r="N43" i="98"/>
  <c r="AZ42" i="98"/>
  <c r="AY42" i="98"/>
  <c r="AP42" i="98"/>
  <c r="AQ42" i="98" s="1"/>
  <c r="U42" i="98"/>
  <c r="V42" i="98" s="1"/>
  <c r="N42" i="98"/>
  <c r="AZ40" i="98"/>
  <c r="AY40" i="98"/>
  <c r="AP40" i="98"/>
  <c r="AQ40" i="98" s="1"/>
  <c r="U40" i="98"/>
  <c r="V40" i="98" s="1"/>
  <c r="N40" i="98"/>
  <c r="AZ39" i="98"/>
  <c r="AY39" i="98"/>
  <c r="AP39" i="98"/>
  <c r="AQ39" i="98" s="1"/>
  <c r="U39" i="98"/>
  <c r="V39" i="98" s="1"/>
  <c r="N39" i="98"/>
  <c r="AZ37" i="98"/>
  <c r="AY37" i="98"/>
  <c r="AP37" i="98"/>
  <c r="AQ37" i="98" s="1"/>
  <c r="U37" i="98"/>
  <c r="V37" i="98" s="1"/>
  <c r="N37" i="98"/>
  <c r="AZ35" i="98"/>
  <c r="AY35" i="98"/>
  <c r="AP35" i="98"/>
  <c r="AQ35" i="98" s="1"/>
  <c r="U35" i="98"/>
  <c r="V35" i="98" s="1"/>
  <c r="N35" i="98"/>
  <c r="AZ38" i="98"/>
  <c r="AY38" i="98"/>
  <c r="AP38" i="98"/>
  <c r="AQ38" i="98" s="1"/>
  <c r="U38" i="98"/>
  <c r="V38" i="98" s="1"/>
  <c r="N38" i="98"/>
  <c r="AZ33" i="98"/>
  <c r="AY33" i="98"/>
  <c r="AP33" i="98"/>
  <c r="AQ33" i="98" s="1"/>
  <c r="U33" i="98"/>
  <c r="V33" i="98" s="1"/>
  <c r="N33" i="98"/>
  <c r="AZ34" i="98"/>
  <c r="AY34" i="98"/>
  <c r="AP34" i="98"/>
  <c r="AQ34" i="98" s="1"/>
  <c r="U34" i="98"/>
  <c r="V34" i="98" s="1"/>
  <c r="N34" i="98"/>
  <c r="AZ31" i="98"/>
  <c r="AY31" i="98"/>
  <c r="AP31" i="98"/>
  <c r="AQ31" i="98" s="1"/>
  <c r="U31" i="98"/>
  <c r="V31" i="98" s="1"/>
  <c r="N31" i="98"/>
  <c r="AZ30" i="98"/>
  <c r="AY30" i="98"/>
  <c r="AP30" i="98"/>
  <c r="AQ30" i="98" s="1"/>
  <c r="U30" i="98"/>
  <c r="V30" i="98" s="1"/>
  <c r="N30" i="98"/>
  <c r="AZ29" i="98"/>
  <c r="AY29" i="98"/>
  <c r="AP29" i="98"/>
  <c r="AQ29" i="98" s="1"/>
  <c r="U29" i="98"/>
  <c r="V29" i="98" s="1"/>
  <c r="N29" i="98"/>
  <c r="AZ27" i="98"/>
  <c r="AY27" i="98"/>
  <c r="AP27" i="98"/>
  <c r="AQ27" i="98" s="1"/>
  <c r="U27" i="98"/>
  <c r="V27" i="98" s="1"/>
  <c r="N27" i="98"/>
  <c r="AZ25" i="98"/>
  <c r="AY25" i="98"/>
  <c r="AP25" i="98"/>
  <c r="AQ25" i="98" s="1"/>
  <c r="U25" i="98"/>
  <c r="V25" i="98" s="1"/>
  <c r="N25" i="98"/>
  <c r="AZ23" i="98"/>
  <c r="AY23" i="98"/>
  <c r="AP23" i="98"/>
  <c r="AQ23" i="98" s="1"/>
  <c r="U23" i="98"/>
  <c r="V23" i="98" s="1"/>
  <c r="N23" i="98"/>
  <c r="AZ21" i="98"/>
  <c r="AY21" i="98"/>
  <c r="AP21" i="98"/>
  <c r="AQ21" i="98" s="1"/>
  <c r="U21" i="98"/>
  <c r="V21" i="98" s="1"/>
  <c r="N21" i="98"/>
  <c r="AZ19" i="98"/>
  <c r="AY19" i="98"/>
  <c r="AP19" i="98"/>
  <c r="AQ19" i="98" s="1"/>
  <c r="U19" i="98"/>
  <c r="V19" i="98" s="1"/>
  <c r="N19" i="98"/>
  <c r="AZ17" i="98"/>
  <c r="AY17" i="98"/>
  <c r="AP17" i="98"/>
  <c r="AQ17" i="98" s="1"/>
  <c r="AF17" i="98"/>
  <c r="U17" i="98"/>
  <c r="V17" i="98" s="1"/>
  <c r="N17" i="98"/>
  <c r="AZ15" i="98"/>
  <c r="AY15" i="98"/>
  <c r="AP15" i="98"/>
  <c r="AQ15" i="98" s="1"/>
  <c r="AF15" i="98"/>
  <c r="U15" i="98"/>
  <c r="V15" i="98" s="1"/>
  <c r="N15" i="98"/>
  <c r="AZ13" i="98"/>
  <c r="AY13" i="98"/>
  <c r="AP13" i="98"/>
  <c r="AQ13" i="98" s="1"/>
  <c r="U13" i="98"/>
  <c r="V13" i="98" s="1"/>
  <c r="N13" i="98"/>
  <c r="AZ11" i="98"/>
  <c r="AY11" i="98"/>
  <c r="AP11" i="98"/>
  <c r="AQ11" i="98" s="1"/>
  <c r="U11" i="98"/>
  <c r="V11" i="98" s="1"/>
  <c r="N11" i="98"/>
  <c r="AZ9" i="98"/>
  <c r="AY9" i="98"/>
  <c r="AP9" i="98"/>
  <c r="AQ9" i="98" s="1"/>
  <c r="AF9" i="98"/>
  <c r="U9" i="98"/>
  <c r="V9" i="98" s="1"/>
  <c r="N9" i="98"/>
  <c r="AZ7" i="98"/>
  <c r="AY7" i="98"/>
  <c r="AP7" i="98"/>
  <c r="AQ7" i="98" s="1"/>
  <c r="AF7" i="98"/>
  <c r="U7" i="98"/>
  <c r="V7" i="98" s="1"/>
  <c r="N7" i="98"/>
  <c r="AZ5" i="98"/>
  <c r="AY5" i="98"/>
  <c r="AP5" i="98"/>
  <c r="AQ5" i="98" s="1"/>
  <c r="AF5" i="98"/>
  <c r="U5" i="98"/>
  <c r="V5" i="98" s="1"/>
  <c r="N5" i="98"/>
  <c r="AU2" i="98"/>
  <c r="Y2" i="98"/>
  <c r="AA2" i="98" s="1"/>
  <c r="I2" i="98"/>
  <c r="AB75" i="98" s="1"/>
  <c r="AC75" i="98" s="1"/>
  <c r="AE75" i="98" s="1"/>
  <c r="AB5" i="98" l="1"/>
  <c r="AC5" i="98" s="1"/>
  <c r="AE5" i="98" s="1"/>
  <c r="AB33" i="98"/>
  <c r="AC33" i="98" s="1"/>
  <c r="AE33" i="98" s="1"/>
  <c r="AL33" i="98" s="1"/>
  <c r="AB34" i="98"/>
  <c r="AC34" i="98" s="1"/>
  <c r="AE34" i="98" s="1"/>
  <c r="AH34" i="98" s="1"/>
  <c r="AB23" i="98"/>
  <c r="AC23" i="98" s="1"/>
  <c r="AE23" i="98" s="1"/>
  <c r="AH23" i="98" s="1"/>
  <c r="AM23" i="98" s="1"/>
  <c r="AB70" i="98"/>
  <c r="AC70" i="98" s="1"/>
  <c r="AE70" i="98" s="1"/>
  <c r="AH70" i="98" s="1"/>
  <c r="AH75" i="98"/>
  <c r="AM75" i="98" s="1"/>
  <c r="AB60" i="98"/>
  <c r="AC60" i="98" s="1"/>
  <c r="AE60" i="98" s="1"/>
  <c r="AL60" i="98" s="1"/>
  <c r="AB106" i="98"/>
  <c r="AC106" i="98" s="1"/>
  <c r="AE106" i="98" s="1"/>
  <c r="AL106" i="98" s="1"/>
  <c r="AB64" i="98"/>
  <c r="AC64" i="98" s="1"/>
  <c r="AE64" i="98" s="1"/>
  <c r="AB29" i="98"/>
  <c r="AC29" i="98" s="1"/>
  <c r="AE29" i="98" s="1"/>
  <c r="AH29" i="98" s="1"/>
  <c r="AB68" i="98"/>
  <c r="AC68" i="98" s="1"/>
  <c r="AE68" i="98" s="1"/>
  <c r="AL5" i="98"/>
  <c r="AB27" i="98"/>
  <c r="AC27" i="98" s="1"/>
  <c r="AE27" i="98" s="1"/>
  <c r="AH27" i="98" s="1"/>
  <c r="AL68" i="98"/>
  <c r="AB7" i="98"/>
  <c r="AC7" i="98" s="1"/>
  <c r="AE7" i="98" s="1"/>
  <c r="AH7" i="98" s="1"/>
  <c r="AB56" i="98"/>
  <c r="AC56" i="98" s="1"/>
  <c r="AE56" i="98" s="1"/>
  <c r="AL56" i="98" s="1"/>
  <c r="AL64" i="98"/>
  <c r="AB9" i="98"/>
  <c r="AC9" i="98" s="1"/>
  <c r="AE9" i="98" s="1"/>
  <c r="AH9" i="98" s="1"/>
  <c r="AB15" i="98"/>
  <c r="AC15" i="98" s="1"/>
  <c r="AE15" i="98" s="1"/>
  <c r="AL15" i="98" s="1"/>
  <c r="AB21" i="98"/>
  <c r="AC21" i="98" s="1"/>
  <c r="AE21" i="98" s="1"/>
  <c r="AH21" i="98" s="1"/>
  <c r="AB25" i="98"/>
  <c r="AC25" i="98" s="1"/>
  <c r="AE25" i="98" s="1"/>
  <c r="AH25" i="98" s="1"/>
  <c r="AB30" i="98"/>
  <c r="AC30" i="98" s="1"/>
  <c r="AE30" i="98" s="1"/>
  <c r="AL30" i="98" s="1"/>
  <c r="AB52" i="98"/>
  <c r="AC52" i="98" s="1"/>
  <c r="AE52" i="98" s="1"/>
  <c r="AH52" i="98" s="1"/>
  <c r="AL29" i="98"/>
  <c r="AB11" i="98"/>
  <c r="AC11" i="98" s="1"/>
  <c r="AE11" i="98" s="1"/>
  <c r="AH11" i="98" s="1"/>
  <c r="AB13" i="98"/>
  <c r="AC13" i="98" s="1"/>
  <c r="AE13" i="98" s="1"/>
  <c r="AL13" i="98" s="1"/>
  <c r="AB17" i="98"/>
  <c r="AC17" i="98" s="1"/>
  <c r="AE17" i="98" s="1"/>
  <c r="AL17" i="98" s="1"/>
  <c r="AB37" i="98"/>
  <c r="AC37" i="98" s="1"/>
  <c r="AE37" i="98" s="1"/>
  <c r="AH37" i="98" s="1"/>
  <c r="AB39" i="98"/>
  <c r="AC39" i="98" s="1"/>
  <c r="AE39" i="98" s="1"/>
  <c r="AL39" i="98" s="1"/>
  <c r="AB48" i="98"/>
  <c r="AC48" i="98" s="1"/>
  <c r="AE48" i="98" s="1"/>
  <c r="AH48" i="98" s="1"/>
  <c r="AL75" i="98"/>
  <c r="AH5" i="98"/>
  <c r="AB19" i="98"/>
  <c r="AC19" i="98" s="1"/>
  <c r="AE19" i="98" s="1"/>
  <c r="AL19" i="98" s="1"/>
  <c r="AB44" i="98"/>
  <c r="AC44" i="98" s="1"/>
  <c r="AE44" i="98" s="1"/>
  <c r="AL44" i="98" s="1"/>
  <c r="AB147" i="98"/>
  <c r="AC147" i="98" s="1"/>
  <c r="AE147" i="98" s="1"/>
  <c r="AH147" i="98" s="1"/>
  <c r="AB143" i="98"/>
  <c r="AC143" i="98" s="1"/>
  <c r="AE143" i="98" s="1"/>
  <c r="AH143" i="98" s="1"/>
  <c r="AB139" i="98"/>
  <c r="AC139" i="98" s="1"/>
  <c r="AE139" i="98" s="1"/>
  <c r="AL139" i="98" s="1"/>
  <c r="AB135" i="98"/>
  <c r="AC135" i="98" s="1"/>
  <c r="AE135" i="98" s="1"/>
  <c r="AL135" i="98" s="1"/>
  <c r="AB131" i="98"/>
  <c r="AC131" i="98" s="1"/>
  <c r="AE131" i="98" s="1"/>
  <c r="AL131" i="98" s="1"/>
  <c r="AB127" i="98"/>
  <c r="AC127" i="98" s="1"/>
  <c r="AE127" i="98" s="1"/>
  <c r="AL127" i="98" s="1"/>
  <c r="AB123" i="98"/>
  <c r="AC123" i="98" s="1"/>
  <c r="AE123" i="98" s="1"/>
  <c r="AL123" i="98" s="1"/>
  <c r="AB119" i="98"/>
  <c r="AC119" i="98" s="1"/>
  <c r="AE119" i="98" s="1"/>
  <c r="AH119" i="98" s="1"/>
  <c r="AB115" i="98"/>
  <c r="AC115" i="98" s="1"/>
  <c r="AE115" i="98" s="1"/>
  <c r="AH115" i="98" s="1"/>
  <c r="AB111" i="98"/>
  <c r="AC111" i="98" s="1"/>
  <c r="AE111" i="98" s="1"/>
  <c r="AH111" i="98" s="1"/>
  <c r="AB107" i="98"/>
  <c r="AC107" i="98" s="1"/>
  <c r="AE107" i="98" s="1"/>
  <c r="AH107" i="98" s="1"/>
  <c r="AB103" i="98"/>
  <c r="AC103" i="98" s="1"/>
  <c r="AE103" i="98" s="1"/>
  <c r="AL103" i="98" s="1"/>
  <c r="AB99" i="98"/>
  <c r="AC99" i="98" s="1"/>
  <c r="AE99" i="98" s="1"/>
  <c r="AL99" i="98" s="1"/>
  <c r="AB95" i="98"/>
  <c r="AC95" i="98" s="1"/>
  <c r="AE95" i="98" s="1"/>
  <c r="AH95" i="98" s="1"/>
  <c r="AB91" i="98"/>
  <c r="AC91" i="98" s="1"/>
  <c r="AE91" i="98" s="1"/>
  <c r="AL91" i="98" s="1"/>
  <c r="AB87" i="98"/>
  <c r="AC87" i="98" s="1"/>
  <c r="AE87" i="98" s="1"/>
  <c r="AL87" i="98" s="1"/>
  <c r="AB83" i="98"/>
  <c r="AC83" i="98" s="1"/>
  <c r="AE83" i="98" s="1"/>
  <c r="AH83" i="98" s="1"/>
  <c r="AB79" i="98"/>
  <c r="AC79" i="98" s="1"/>
  <c r="AE79" i="98" s="1"/>
  <c r="AL79" i="98" s="1"/>
  <c r="AB148" i="98"/>
  <c r="AC148" i="98" s="1"/>
  <c r="AE148" i="98" s="1"/>
  <c r="AH148" i="98" s="1"/>
  <c r="AB144" i="98"/>
  <c r="AC144" i="98" s="1"/>
  <c r="AE144" i="98" s="1"/>
  <c r="AH144" i="98" s="1"/>
  <c r="AB140" i="98"/>
  <c r="AC140" i="98" s="1"/>
  <c r="AE140" i="98" s="1"/>
  <c r="AH140" i="98" s="1"/>
  <c r="AB136" i="98"/>
  <c r="AC136" i="98" s="1"/>
  <c r="AE136" i="98" s="1"/>
  <c r="AH136" i="98" s="1"/>
  <c r="AB132" i="98"/>
  <c r="AC132" i="98" s="1"/>
  <c r="AE132" i="98" s="1"/>
  <c r="AH132" i="98" s="1"/>
  <c r="AB128" i="98"/>
  <c r="AC128" i="98" s="1"/>
  <c r="AE128" i="98" s="1"/>
  <c r="AH128" i="98" s="1"/>
  <c r="AB124" i="98"/>
  <c r="AC124" i="98" s="1"/>
  <c r="AE124" i="98" s="1"/>
  <c r="AH124" i="98" s="1"/>
  <c r="AB120" i="98"/>
  <c r="AC120" i="98" s="1"/>
  <c r="AE120" i="98" s="1"/>
  <c r="AH120" i="98" s="1"/>
  <c r="AB116" i="98"/>
  <c r="AC116" i="98" s="1"/>
  <c r="AE116" i="98" s="1"/>
  <c r="AH116" i="98" s="1"/>
  <c r="AB112" i="98"/>
  <c r="AC112" i="98" s="1"/>
  <c r="AE112" i="98" s="1"/>
  <c r="AL112" i="98" s="1"/>
  <c r="AB108" i="98"/>
  <c r="AC108" i="98" s="1"/>
  <c r="AE108" i="98" s="1"/>
  <c r="AL108" i="98" s="1"/>
  <c r="AB104" i="98"/>
  <c r="AC104" i="98" s="1"/>
  <c r="AE104" i="98" s="1"/>
  <c r="AL104" i="98" s="1"/>
  <c r="AB100" i="98"/>
  <c r="AC100" i="98" s="1"/>
  <c r="AE100" i="98" s="1"/>
  <c r="AL100" i="98" s="1"/>
  <c r="AB96" i="98"/>
  <c r="AC96" i="98" s="1"/>
  <c r="AE96" i="98" s="1"/>
  <c r="AB92" i="98"/>
  <c r="AC92" i="98" s="1"/>
  <c r="AE92" i="98" s="1"/>
  <c r="AH92" i="98" s="1"/>
  <c r="AB88" i="98"/>
  <c r="AC88" i="98" s="1"/>
  <c r="AE88" i="98" s="1"/>
  <c r="AH88" i="98" s="1"/>
  <c r="AB84" i="98"/>
  <c r="AC84" i="98" s="1"/>
  <c r="AE84" i="98" s="1"/>
  <c r="AL84" i="98" s="1"/>
  <c r="AB145" i="98"/>
  <c r="AC145" i="98" s="1"/>
  <c r="AE145" i="98" s="1"/>
  <c r="AL145" i="98" s="1"/>
  <c r="AB141" i="98"/>
  <c r="AC141" i="98" s="1"/>
  <c r="AE141" i="98" s="1"/>
  <c r="AH141" i="98" s="1"/>
  <c r="AB137" i="98"/>
  <c r="AC137" i="98" s="1"/>
  <c r="AE137" i="98" s="1"/>
  <c r="AL137" i="98" s="1"/>
  <c r="AB133" i="98"/>
  <c r="AC133" i="98" s="1"/>
  <c r="AE133" i="98" s="1"/>
  <c r="AL133" i="98" s="1"/>
  <c r="AB129" i="98"/>
  <c r="AC129" i="98" s="1"/>
  <c r="AE129" i="98" s="1"/>
  <c r="AL129" i="98" s="1"/>
  <c r="AB125" i="98"/>
  <c r="AC125" i="98" s="1"/>
  <c r="AE125" i="98" s="1"/>
  <c r="AH125" i="98" s="1"/>
  <c r="AB121" i="98"/>
  <c r="AC121" i="98" s="1"/>
  <c r="AE121" i="98" s="1"/>
  <c r="AH121" i="98" s="1"/>
  <c r="AB117" i="98"/>
  <c r="AC117" i="98" s="1"/>
  <c r="AE117" i="98" s="1"/>
  <c r="AL117" i="98" s="1"/>
  <c r="AB113" i="98"/>
  <c r="AC113" i="98" s="1"/>
  <c r="AE113" i="98" s="1"/>
  <c r="AL113" i="98" s="1"/>
  <c r="AB109" i="98"/>
  <c r="AC109" i="98" s="1"/>
  <c r="AE109" i="98" s="1"/>
  <c r="AL109" i="98" s="1"/>
  <c r="AB105" i="98"/>
  <c r="AC105" i="98" s="1"/>
  <c r="AE105" i="98" s="1"/>
  <c r="AH105" i="98" s="1"/>
  <c r="AB101" i="98"/>
  <c r="AC101" i="98" s="1"/>
  <c r="AE101" i="98" s="1"/>
  <c r="AL101" i="98" s="1"/>
  <c r="AB97" i="98"/>
  <c r="AC97" i="98" s="1"/>
  <c r="AE97" i="98" s="1"/>
  <c r="AL97" i="98" s="1"/>
  <c r="AB93" i="98"/>
  <c r="AC93" i="98" s="1"/>
  <c r="AE93" i="98" s="1"/>
  <c r="AL93" i="98" s="1"/>
  <c r="AB89" i="98"/>
  <c r="AC89" i="98" s="1"/>
  <c r="AE89" i="98" s="1"/>
  <c r="AL89" i="98" s="1"/>
  <c r="AB85" i="98"/>
  <c r="AC85" i="98" s="1"/>
  <c r="AE85" i="98" s="1"/>
  <c r="AL85" i="98" s="1"/>
  <c r="AB81" i="98"/>
  <c r="AC81" i="98" s="1"/>
  <c r="AE81" i="98" s="1"/>
  <c r="AL81" i="98" s="1"/>
  <c r="AB114" i="98"/>
  <c r="AC114" i="98" s="1"/>
  <c r="AE114" i="98" s="1"/>
  <c r="AL114" i="98" s="1"/>
  <c r="AB77" i="98"/>
  <c r="AC77" i="98" s="1"/>
  <c r="AE77" i="98" s="1"/>
  <c r="AL77" i="98" s="1"/>
  <c r="AB69" i="98"/>
  <c r="AC69" i="98" s="1"/>
  <c r="AE69" i="98" s="1"/>
  <c r="AL69" i="98" s="1"/>
  <c r="AB65" i="98"/>
  <c r="AC65" i="98" s="1"/>
  <c r="AE65" i="98" s="1"/>
  <c r="AH65" i="98" s="1"/>
  <c r="AB61" i="98"/>
  <c r="AC61" i="98" s="1"/>
  <c r="AE61" i="98" s="1"/>
  <c r="AH61" i="98" s="1"/>
  <c r="AB57" i="98"/>
  <c r="AC57" i="98" s="1"/>
  <c r="AE57" i="98" s="1"/>
  <c r="AL57" i="98" s="1"/>
  <c r="AB53" i="98"/>
  <c r="AC53" i="98" s="1"/>
  <c r="AE53" i="98" s="1"/>
  <c r="AL53" i="98" s="1"/>
  <c r="AB49" i="98"/>
  <c r="AC49" i="98" s="1"/>
  <c r="AE49" i="98" s="1"/>
  <c r="AL49" i="98" s="1"/>
  <c r="AB45" i="98"/>
  <c r="AC45" i="98" s="1"/>
  <c r="AE45" i="98" s="1"/>
  <c r="AL45" i="98" s="1"/>
  <c r="AB40" i="98"/>
  <c r="AC40" i="98" s="1"/>
  <c r="AE40" i="98" s="1"/>
  <c r="AL40" i="98" s="1"/>
  <c r="AB38" i="98"/>
  <c r="AC38" i="98" s="1"/>
  <c r="AE38" i="98" s="1"/>
  <c r="AL38" i="98" s="1"/>
  <c r="AB118" i="98"/>
  <c r="AC118" i="98" s="1"/>
  <c r="AE118" i="98" s="1"/>
  <c r="AL118" i="98" s="1"/>
  <c r="AB86" i="98"/>
  <c r="AC86" i="98" s="1"/>
  <c r="AE86" i="98" s="1"/>
  <c r="AL86" i="98" s="1"/>
  <c r="AB82" i="98"/>
  <c r="AC82" i="98" s="1"/>
  <c r="AE82" i="98" s="1"/>
  <c r="AL82" i="98" s="1"/>
  <c r="AB74" i="98"/>
  <c r="AC74" i="98" s="1"/>
  <c r="AE74" i="98" s="1"/>
  <c r="AL74" i="98" s="1"/>
  <c r="AB122" i="98"/>
  <c r="AC122" i="98" s="1"/>
  <c r="AE122" i="98" s="1"/>
  <c r="AL122" i="98" s="1"/>
  <c r="AB90" i="98"/>
  <c r="AC90" i="98" s="1"/>
  <c r="AE90" i="98" s="1"/>
  <c r="AL90" i="98" s="1"/>
  <c r="AB71" i="98"/>
  <c r="AC71" i="98" s="1"/>
  <c r="AE71" i="98" s="1"/>
  <c r="AL71" i="98" s="1"/>
  <c r="AB66" i="98"/>
  <c r="AC66" i="98" s="1"/>
  <c r="AE66" i="98" s="1"/>
  <c r="AH66" i="98" s="1"/>
  <c r="AB62" i="98"/>
  <c r="AC62" i="98" s="1"/>
  <c r="AE62" i="98" s="1"/>
  <c r="AL62" i="98" s="1"/>
  <c r="AB58" i="98"/>
  <c r="AC58" i="98" s="1"/>
  <c r="AE58" i="98" s="1"/>
  <c r="AL58" i="98" s="1"/>
  <c r="AB54" i="98"/>
  <c r="AC54" i="98" s="1"/>
  <c r="AE54" i="98" s="1"/>
  <c r="AH54" i="98" s="1"/>
  <c r="AB50" i="98"/>
  <c r="AC50" i="98" s="1"/>
  <c r="AE50" i="98" s="1"/>
  <c r="AH50" i="98" s="1"/>
  <c r="AB46" i="98"/>
  <c r="AC46" i="98" s="1"/>
  <c r="AE46" i="98" s="1"/>
  <c r="AL46" i="98" s="1"/>
  <c r="AB42" i="98"/>
  <c r="AC42" i="98" s="1"/>
  <c r="AE42" i="98" s="1"/>
  <c r="AH42" i="98" s="1"/>
  <c r="AB35" i="98"/>
  <c r="AC35" i="98" s="1"/>
  <c r="AE35" i="98" s="1"/>
  <c r="AL35" i="98" s="1"/>
  <c r="AB31" i="98"/>
  <c r="AC31" i="98" s="1"/>
  <c r="AE31" i="98" s="1"/>
  <c r="AL31" i="98" s="1"/>
  <c r="AB146" i="98"/>
  <c r="AC146" i="98" s="1"/>
  <c r="AE146" i="98" s="1"/>
  <c r="AL146" i="98" s="1"/>
  <c r="AB142" i="98"/>
  <c r="AC142" i="98" s="1"/>
  <c r="AE142" i="98" s="1"/>
  <c r="AH142" i="98" s="1"/>
  <c r="AB138" i="98"/>
  <c r="AC138" i="98" s="1"/>
  <c r="AE138" i="98" s="1"/>
  <c r="AL138" i="98" s="1"/>
  <c r="AB134" i="98"/>
  <c r="AC134" i="98" s="1"/>
  <c r="AE134" i="98" s="1"/>
  <c r="AL134" i="98" s="1"/>
  <c r="AB130" i="98"/>
  <c r="AC130" i="98" s="1"/>
  <c r="AE130" i="98" s="1"/>
  <c r="AL130" i="98" s="1"/>
  <c r="AB126" i="98"/>
  <c r="AC126" i="98" s="1"/>
  <c r="AE126" i="98" s="1"/>
  <c r="AH126" i="98" s="1"/>
  <c r="AB94" i="98"/>
  <c r="AC94" i="98" s="1"/>
  <c r="AE94" i="98" s="1"/>
  <c r="AH94" i="98" s="1"/>
  <c r="AB80" i="98"/>
  <c r="AC80" i="98" s="1"/>
  <c r="AE80" i="98" s="1"/>
  <c r="AH80" i="98" s="1"/>
  <c r="AB76" i="98"/>
  <c r="AC76" i="98" s="1"/>
  <c r="AE76" i="98" s="1"/>
  <c r="AL76" i="98" s="1"/>
  <c r="AB73" i="98"/>
  <c r="AC73" i="98" s="1"/>
  <c r="AE73" i="98" s="1"/>
  <c r="AH73" i="98" s="1"/>
  <c r="AB98" i="98"/>
  <c r="AC98" i="98" s="1"/>
  <c r="AE98" i="98" s="1"/>
  <c r="AL98" i="98" s="1"/>
  <c r="AB67" i="98"/>
  <c r="AC67" i="98" s="1"/>
  <c r="AE67" i="98" s="1"/>
  <c r="AL67" i="98" s="1"/>
  <c r="AB63" i="98"/>
  <c r="AC63" i="98" s="1"/>
  <c r="AE63" i="98" s="1"/>
  <c r="AL63" i="98" s="1"/>
  <c r="AB59" i="98"/>
  <c r="AC59" i="98" s="1"/>
  <c r="AE59" i="98" s="1"/>
  <c r="AL59" i="98" s="1"/>
  <c r="AB55" i="98"/>
  <c r="AC55" i="98" s="1"/>
  <c r="AE55" i="98" s="1"/>
  <c r="AH55" i="98" s="1"/>
  <c r="AB51" i="98"/>
  <c r="AC51" i="98" s="1"/>
  <c r="AE51" i="98" s="1"/>
  <c r="AH51" i="98" s="1"/>
  <c r="AB47" i="98"/>
  <c r="AC47" i="98" s="1"/>
  <c r="AE47" i="98" s="1"/>
  <c r="AL47" i="98" s="1"/>
  <c r="AB43" i="98"/>
  <c r="AC43" i="98" s="1"/>
  <c r="AE43" i="98" s="1"/>
  <c r="AH43" i="98" s="1"/>
  <c r="AB110" i="98"/>
  <c r="AC110" i="98" s="1"/>
  <c r="AE110" i="98" s="1"/>
  <c r="AH110" i="98" s="1"/>
  <c r="AB78" i="98"/>
  <c r="AC78" i="98" s="1"/>
  <c r="AE78" i="98" s="1"/>
  <c r="AL78" i="98" s="1"/>
  <c r="AB72" i="98"/>
  <c r="AC72" i="98" s="1"/>
  <c r="AE72" i="98" s="1"/>
  <c r="AL72" i="98" s="1"/>
  <c r="AB102" i="98"/>
  <c r="AC102" i="98" s="1"/>
  <c r="AE102" i="98" s="1"/>
  <c r="AH102" i="98" s="1"/>
  <c r="AH96" i="98"/>
  <c r="AH64" i="98"/>
  <c r="AH68" i="98"/>
  <c r="AL96" i="98"/>
  <c r="AL128" i="98"/>
  <c r="AL119" i="98"/>
  <c r="AL88" i="98"/>
  <c r="AH113" i="98" l="1"/>
  <c r="AH130" i="98"/>
  <c r="AH127" i="98"/>
  <c r="AL136" i="98"/>
  <c r="AL95" i="98"/>
  <c r="AL94" i="98"/>
  <c r="AL25" i="98"/>
  <c r="AH118" i="98"/>
  <c r="AN118" i="98" s="1"/>
  <c r="AH146" i="98"/>
  <c r="AM146" i="98" s="1"/>
  <c r="AL70" i="98"/>
  <c r="AH87" i="98"/>
  <c r="AH91" i="98"/>
  <c r="AH33" i="98"/>
  <c r="AN33" i="98" s="1"/>
  <c r="AL34" i="98"/>
  <c r="AN75" i="98"/>
  <c r="AL126" i="98"/>
  <c r="AL140" i="98"/>
  <c r="AH131" i="98"/>
  <c r="AN131" i="98" s="1"/>
  <c r="AH108" i="98"/>
  <c r="AH114" i="98"/>
  <c r="AN114" i="98" s="1"/>
  <c r="AH90" i="98"/>
  <c r="AN90" i="98" s="1"/>
  <c r="AL42" i="98"/>
  <c r="AH45" i="98"/>
  <c r="AN45" i="98" s="1"/>
  <c r="AH84" i="98"/>
  <c r="AN84" i="98" s="1"/>
  <c r="AH139" i="98"/>
  <c r="AN139" i="98" s="1"/>
  <c r="AL107" i="98"/>
  <c r="AL116" i="98"/>
  <c r="AH74" i="98"/>
  <c r="AN74" i="98" s="1"/>
  <c r="AH122" i="98"/>
  <c r="AM122" i="98" s="1"/>
  <c r="AL144" i="98"/>
  <c r="AH112" i="98"/>
  <c r="AM112" i="98" s="1"/>
  <c r="AH106" i="98"/>
  <c r="AN106" i="98" s="1"/>
  <c r="AH72" i="98"/>
  <c r="AM72" i="98" s="1"/>
  <c r="AH135" i="98"/>
  <c r="AM135" i="98" s="1"/>
  <c r="AL124" i="98"/>
  <c r="AH81" i="98"/>
  <c r="AM81" i="98" s="1"/>
  <c r="AH19" i="98"/>
  <c r="AN19" i="98" s="1"/>
  <c r="AL48" i="98"/>
  <c r="AH76" i="98"/>
  <c r="AN76" i="98" s="1"/>
  <c r="AL147" i="98"/>
  <c r="AL66" i="98"/>
  <c r="AL102" i="98"/>
  <c r="AH103" i="98"/>
  <c r="AN103" i="98" s="1"/>
  <c r="AH104" i="98"/>
  <c r="AL52" i="98"/>
  <c r="AH63" i="98"/>
  <c r="AM63" i="98" s="1"/>
  <c r="AH53" i="98"/>
  <c r="AN53" i="98" s="1"/>
  <c r="AH69" i="98"/>
  <c r="AN69" i="98" s="1"/>
  <c r="AH15" i="98"/>
  <c r="AM15" i="98" s="1"/>
  <c r="AL51" i="98"/>
  <c r="AH78" i="98"/>
  <c r="AN78" i="98" s="1"/>
  <c r="AH30" i="98"/>
  <c r="AL50" i="98"/>
  <c r="AH39" i="98"/>
  <c r="AN39" i="98" s="1"/>
  <c r="AH97" i="98"/>
  <c r="AM97" i="98" s="1"/>
  <c r="AH47" i="98"/>
  <c r="AM47" i="98" s="1"/>
  <c r="AH13" i="98"/>
  <c r="AN13" i="98" s="1"/>
  <c r="AH137" i="98"/>
  <c r="AM137" i="98" s="1"/>
  <c r="AH60" i="98"/>
  <c r="AN60" i="98" s="1"/>
  <c r="AH123" i="98"/>
  <c r="AL132" i="98"/>
  <c r="AH62" i="98"/>
  <c r="AN62" i="98" s="1"/>
  <c r="AL27" i="98"/>
  <c r="AN23" i="98"/>
  <c r="AH38" i="98"/>
  <c r="AN38" i="98" s="1"/>
  <c r="AH93" i="98"/>
  <c r="AM93" i="98" s="1"/>
  <c r="AL23" i="98"/>
  <c r="AL80" i="98"/>
  <c r="AH31" i="98"/>
  <c r="AN31" i="98" s="1"/>
  <c r="AL105" i="98"/>
  <c r="AL21" i="98"/>
  <c r="AM121" i="98"/>
  <c r="AN121" i="98"/>
  <c r="AN50" i="98"/>
  <c r="AM50" i="98"/>
  <c r="AN148" i="98"/>
  <c r="AM148" i="98"/>
  <c r="AM25" i="98"/>
  <c r="AN25" i="98"/>
  <c r="AN143" i="98"/>
  <c r="AM143" i="98"/>
  <c r="AN61" i="98"/>
  <c r="AM61" i="98"/>
  <c r="AN65" i="98"/>
  <c r="AM65" i="98"/>
  <c r="AN9" i="98"/>
  <c r="AM9" i="98"/>
  <c r="AN110" i="98"/>
  <c r="AM110" i="98"/>
  <c r="AM21" i="98"/>
  <c r="AN21" i="98"/>
  <c r="AM43" i="98"/>
  <c r="AN43" i="98"/>
  <c r="AM125" i="98"/>
  <c r="AN125" i="98"/>
  <c r="AN147" i="98"/>
  <c r="AM147" i="98"/>
  <c r="AN102" i="98"/>
  <c r="AM102" i="98"/>
  <c r="AM51" i="98"/>
  <c r="AN51" i="98"/>
  <c r="AN80" i="98"/>
  <c r="AM80" i="98"/>
  <c r="AN66" i="98"/>
  <c r="AM66" i="98"/>
  <c r="AN52" i="98"/>
  <c r="AM52" i="98"/>
  <c r="AN120" i="98"/>
  <c r="AM120" i="98"/>
  <c r="AN142" i="98"/>
  <c r="AM142" i="98"/>
  <c r="AM55" i="98"/>
  <c r="AN55" i="98"/>
  <c r="AM105" i="98"/>
  <c r="AN105" i="98"/>
  <c r="AM11" i="98"/>
  <c r="AN11" i="98"/>
  <c r="AN7" i="98"/>
  <c r="AM7" i="98"/>
  <c r="AN54" i="98"/>
  <c r="AM54" i="98"/>
  <c r="AM73" i="98"/>
  <c r="AN73" i="98"/>
  <c r="AN92" i="98"/>
  <c r="AM92" i="98"/>
  <c r="AN42" i="98"/>
  <c r="AM42" i="98"/>
  <c r="AM141" i="98"/>
  <c r="AN141" i="98"/>
  <c r="AM37" i="98"/>
  <c r="AN37" i="98"/>
  <c r="AN124" i="98"/>
  <c r="AM124" i="98"/>
  <c r="AN48" i="98"/>
  <c r="AM48" i="98"/>
  <c r="AN126" i="98"/>
  <c r="AM126" i="98"/>
  <c r="AL73" i="98"/>
  <c r="AN119" i="98"/>
  <c r="AM119" i="98"/>
  <c r="AN91" i="98"/>
  <c r="AM91" i="98"/>
  <c r="AL92" i="98"/>
  <c r="AM74" i="98"/>
  <c r="AN64" i="98"/>
  <c r="AM64" i="98"/>
  <c r="AH138" i="98"/>
  <c r="AH98" i="98"/>
  <c r="AN107" i="98"/>
  <c r="AM107" i="98"/>
  <c r="AN30" i="98"/>
  <c r="AM30" i="98"/>
  <c r="AL121" i="98"/>
  <c r="AL125" i="98"/>
  <c r="AL141" i="98"/>
  <c r="AH100" i="98"/>
  <c r="AL55" i="98"/>
  <c r="AL43" i="98"/>
  <c r="AN88" i="98"/>
  <c r="AM88" i="98"/>
  <c r="AH89" i="98"/>
  <c r="AL111" i="98"/>
  <c r="AL120" i="98"/>
  <c r="AL83" i="98"/>
  <c r="AH86" i="98"/>
  <c r="AN144" i="98"/>
  <c r="AM144" i="98"/>
  <c r="AH134" i="98"/>
  <c r="AN96" i="98"/>
  <c r="AM96" i="98"/>
  <c r="AN108" i="98"/>
  <c r="AM108" i="98"/>
  <c r="AH101" i="98"/>
  <c r="AN5" i="98"/>
  <c r="AM5" i="98"/>
  <c r="AM29" i="98"/>
  <c r="AN29" i="98"/>
  <c r="AH133" i="98"/>
  <c r="AH77" i="98"/>
  <c r="AH71" i="98"/>
  <c r="AH56" i="98"/>
  <c r="AH17" i="98"/>
  <c r="AL11" i="98"/>
  <c r="AL37" i="98"/>
  <c r="AN83" i="98"/>
  <c r="AM83" i="98"/>
  <c r="AN116" i="98"/>
  <c r="AM116" i="98"/>
  <c r="AL143" i="98"/>
  <c r="AH49" i="98"/>
  <c r="AH35" i="98"/>
  <c r="AH99" i="98"/>
  <c r="AH46" i="98"/>
  <c r="AL54" i="98"/>
  <c r="AL61" i="98"/>
  <c r="AH59" i="98"/>
  <c r="AN127" i="98"/>
  <c r="AM127" i="98"/>
  <c r="AN136" i="98"/>
  <c r="AM136" i="98"/>
  <c r="AM113" i="98"/>
  <c r="AN113" i="98"/>
  <c r="AN104" i="98"/>
  <c r="AM104" i="98"/>
  <c r="AN123" i="98"/>
  <c r="AM123" i="98"/>
  <c r="AN132" i="98"/>
  <c r="AM132" i="98"/>
  <c r="AL110" i="98"/>
  <c r="AL115" i="98"/>
  <c r="AH82" i="98"/>
  <c r="AL142" i="98"/>
  <c r="AN94" i="98"/>
  <c r="AM94" i="98"/>
  <c r="AL65" i="98"/>
  <c r="AH79" i="98"/>
  <c r="AL148" i="98"/>
  <c r="AH145" i="98"/>
  <c r="AH129" i="98"/>
  <c r="AH109" i="98"/>
  <c r="AH67" i="98"/>
  <c r="AH57" i="98"/>
  <c r="AM70" i="98"/>
  <c r="AN70" i="98"/>
  <c r="AN115" i="98"/>
  <c r="AM115" i="98"/>
  <c r="AN87" i="98"/>
  <c r="AM87" i="98"/>
  <c r="AN140" i="98"/>
  <c r="AM140" i="98"/>
  <c r="AN130" i="98"/>
  <c r="AM130" i="98"/>
  <c r="AH117" i="98"/>
  <c r="AH85" i="98"/>
  <c r="AH44" i="98"/>
  <c r="AH58" i="98"/>
  <c r="AM34" i="98"/>
  <c r="AN34" i="98"/>
  <c r="AL9" i="98"/>
  <c r="AH40" i="98"/>
  <c r="AL7" i="98"/>
  <c r="AN111" i="98"/>
  <c r="AM111" i="98"/>
  <c r="AN81" i="98"/>
  <c r="AM27" i="98"/>
  <c r="AN27" i="98"/>
  <c r="AN95" i="98"/>
  <c r="AM95" i="98"/>
  <c r="AN68" i="98"/>
  <c r="AM68" i="98"/>
  <c r="AN128" i="98"/>
  <c r="AM128" i="98"/>
  <c r="AM106" i="98" l="1"/>
  <c r="AM69" i="98"/>
  <c r="AM114" i="98"/>
  <c r="AM84" i="98"/>
  <c r="AN146" i="98"/>
  <c r="AN135" i="98"/>
  <c r="AM139" i="98"/>
  <c r="AN137" i="98"/>
  <c r="AM131" i="98"/>
  <c r="AN47" i="98"/>
  <c r="AN72" i="98"/>
  <c r="AM118" i="98"/>
  <c r="AM33" i="98"/>
  <c r="AN15" i="98"/>
  <c r="AN112" i="98"/>
  <c r="AN122" i="98"/>
  <c r="AM19" i="98"/>
  <c r="AM31" i="98"/>
  <c r="AM90" i="98"/>
  <c r="AM45" i="98"/>
  <c r="AM76" i="98"/>
  <c r="AN63" i="98"/>
  <c r="AM39" i="98"/>
  <c r="AM62" i="98"/>
  <c r="AM60" i="98"/>
  <c r="AM78" i="98"/>
  <c r="AM103" i="98"/>
  <c r="AM38" i="98"/>
  <c r="AN93" i="98"/>
  <c r="AM13" i="98"/>
  <c r="AN97" i="98"/>
  <c r="AM53" i="98"/>
  <c r="AM85" i="98"/>
  <c r="AN85" i="98"/>
  <c r="AN58" i="98"/>
  <c r="AM58" i="98"/>
  <c r="AM109" i="98"/>
  <c r="AN109" i="98"/>
  <c r="AM71" i="98"/>
  <c r="AN71" i="98"/>
  <c r="AN100" i="98"/>
  <c r="AM100" i="98"/>
  <c r="AN98" i="98"/>
  <c r="AM98" i="98"/>
  <c r="AM129" i="98"/>
  <c r="AN129" i="98"/>
  <c r="AM117" i="98"/>
  <c r="AN117" i="98"/>
  <c r="AN35" i="98"/>
  <c r="AM35" i="98"/>
  <c r="AN138" i="98"/>
  <c r="AM138" i="98"/>
  <c r="AM145" i="98"/>
  <c r="AN145" i="98"/>
  <c r="AN40" i="98"/>
  <c r="AM40" i="98"/>
  <c r="AM79" i="98"/>
  <c r="AN79" i="98"/>
  <c r="AM59" i="98"/>
  <c r="AN59" i="98"/>
  <c r="AN49" i="98"/>
  <c r="AM49" i="98"/>
  <c r="AN134" i="98"/>
  <c r="AM134" i="98"/>
  <c r="AN46" i="98"/>
  <c r="AM46" i="98"/>
  <c r="AN82" i="98"/>
  <c r="AM82" i="98"/>
  <c r="AM89" i="98"/>
  <c r="AN89" i="98"/>
  <c r="AN44" i="98"/>
  <c r="AM44" i="98"/>
  <c r="AM77" i="98"/>
  <c r="AN77" i="98"/>
  <c r="AN99" i="98"/>
  <c r="AM99" i="98"/>
  <c r="AN57" i="98"/>
  <c r="AM57" i="98"/>
  <c r="AN17" i="98"/>
  <c r="AM17" i="98"/>
  <c r="AM133" i="98"/>
  <c r="AN133" i="98"/>
  <c r="AM67" i="98"/>
  <c r="AN67" i="98"/>
  <c r="AN56" i="98"/>
  <c r="AM56" i="98"/>
  <c r="AM101" i="98"/>
  <c r="AN101" i="98"/>
  <c r="AN86" i="98"/>
  <c r="AM86" i="98"/>
</calcChain>
</file>

<file path=xl/sharedStrings.xml><?xml version="1.0" encoding="utf-8"?>
<sst xmlns="http://schemas.openxmlformats.org/spreadsheetml/2006/main" count="920" uniqueCount="426">
  <si>
    <t>참여가능비율</t>
  </si>
  <si>
    <t>코레일테크</t>
    <phoneticPr fontId="3" type="noConversion"/>
  </si>
  <si>
    <t>대유기전공사_김희준</t>
    <phoneticPr fontId="3" type="noConversion"/>
  </si>
  <si>
    <t xml:space="preserve">88점이상:3점/85점이상:2점/83점이상:1.5점/80점이상:1점 </t>
    <phoneticPr fontId="3" type="noConversion"/>
  </si>
  <si>
    <t>시공경험(최근5년간 2배수, 품질평가점수)</t>
    <phoneticPr fontId="3" type="noConversion"/>
  </si>
  <si>
    <t>예상점수</t>
    <phoneticPr fontId="3" type="noConversion"/>
  </si>
  <si>
    <t>입찰점수</t>
    <phoneticPr fontId="3" type="noConversion"/>
  </si>
  <si>
    <t>구성원4</t>
    <phoneticPr fontId="3" type="noConversion"/>
  </si>
  <si>
    <t>구성원3</t>
    <phoneticPr fontId="3" type="noConversion"/>
  </si>
  <si>
    <t>구성원2</t>
    <phoneticPr fontId="3" type="noConversion"/>
  </si>
  <si>
    <t>구성원4</t>
    <phoneticPr fontId="3" type="noConversion"/>
  </si>
  <si>
    <t>구성원3</t>
    <phoneticPr fontId="3" type="noConversion"/>
  </si>
  <si>
    <t>시공능력
*시공비율</t>
    <phoneticPr fontId="3" type="noConversion"/>
  </si>
  <si>
    <t>시공능력
단순합산</t>
    <phoneticPr fontId="3" type="noConversion"/>
  </si>
  <si>
    <t>시공능력구성사4</t>
    <phoneticPr fontId="3" type="noConversion"/>
  </si>
  <si>
    <t>시공능력구성사1</t>
    <phoneticPr fontId="3" type="noConversion"/>
  </si>
  <si>
    <t>예가         투찰율</t>
    <phoneticPr fontId="3" type="noConversion"/>
  </si>
  <si>
    <t>가점</t>
    <phoneticPr fontId="3" type="noConversion"/>
  </si>
  <si>
    <t>합산
지분</t>
    <phoneticPr fontId="3" type="noConversion"/>
  </si>
  <si>
    <t>지 분</t>
    <phoneticPr fontId="3" type="noConversion"/>
  </si>
  <si>
    <t>아람이엔테크
품질90.73</t>
    <phoneticPr fontId="3" type="noConversion"/>
  </si>
  <si>
    <t>자재</t>
    <phoneticPr fontId="3" type="noConversion"/>
  </si>
  <si>
    <t>하도급</t>
    <phoneticPr fontId="3" type="noConversion"/>
  </si>
  <si>
    <t>수행능력
점수</t>
    <phoneticPr fontId="3" type="noConversion"/>
  </si>
  <si>
    <t>순공사
점수</t>
    <phoneticPr fontId="3" type="noConversion"/>
  </si>
  <si>
    <t>신인도</t>
    <phoneticPr fontId="3" type="noConversion"/>
  </si>
  <si>
    <t>시공실적점수</t>
    <phoneticPr fontId="3" type="noConversion"/>
  </si>
  <si>
    <t>시공품질(2점기본)</t>
    <phoneticPr fontId="3" type="noConversion"/>
  </si>
  <si>
    <t>실적점수적용</t>
    <phoneticPr fontId="3" type="noConversion"/>
  </si>
  <si>
    <t>실적         (13점만점)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</si>
  <si>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</si>
  <si>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</si>
  <si>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</si>
  <si>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경영적용점수</t>
    <phoneticPr fontId="3" type="noConversion"/>
  </si>
  <si>
    <t>경영          (15점만점)</t>
    <phoneticPr fontId="3" type="noConversion"/>
  </si>
  <si>
    <t>비고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</si>
  <si>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</si>
  <si>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</si>
  <si>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시공능력대표사</t>
    <phoneticPr fontId="3" type="noConversion"/>
  </si>
  <si>
    <t>비 고</t>
    <phoneticPr fontId="3" type="noConversion"/>
  </si>
  <si>
    <t>투찰금액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</si>
  <si>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</si>
  <si>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</si>
  <si>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</si>
  <si>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경영상태(부채,유동,영업기간)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</si>
  <si>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</si>
  <si>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</si>
  <si>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</si>
  <si>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참가자격
시평제한</t>
    <phoneticPr fontId="3" type="noConversion"/>
  </si>
  <si>
    <t>입찰</t>
    <phoneticPr fontId="3" type="noConversion"/>
  </si>
  <si>
    <t>5년2배수</t>
    <phoneticPr fontId="3" type="noConversion"/>
  </si>
  <si>
    <t>실적만점</t>
    <phoneticPr fontId="3" type="noConversion"/>
  </si>
  <si>
    <t>설계금액</t>
    <phoneticPr fontId="3" type="noConversion"/>
  </si>
  <si>
    <t>단순
합산</t>
    <phoneticPr fontId="3" type="noConversion"/>
  </si>
  <si>
    <t>입찰참가자격</t>
    <phoneticPr fontId="3" type="noConversion"/>
  </si>
  <si>
    <t>시평기준</t>
    <phoneticPr fontId="3" type="noConversion"/>
  </si>
  <si>
    <t>시공능력</t>
    <phoneticPr fontId="3" type="noConversion"/>
  </si>
  <si>
    <t>추정금액
(시공비율)</t>
    <phoneticPr fontId="3" type="noConversion"/>
  </si>
  <si>
    <t>추정가격</t>
    <phoneticPr fontId="3" type="noConversion"/>
  </si>
  <si>
    <t>도화엔지니어링
품질93.38</t>
    <phoneticPr fontId="3" type="noConversion"/>
  </si>
  <si>
    <t>인천의무30%, 5개사</t>
    <phoneticPr fontId="3" type="noConversion"/>
  </si>
  <si>
    <t>2025.08.13</t>
    <phoneticPr fontId="3" type="noConversion"/>
  </si>
  <si>
    <t>지음이엔아이
품질93.38</t>
    <phoneticPr fontId="3" type="noConversion"/>
  </si>
  <si>
    <t>우진일렉트</t>
    <phoneticPr fontId="3" type="noConversion"/>
  </si>
  <si>
    <t>대흥디씨티</t>
    <phoneticPr fontId="3" type="noConversion"/>
  </si>
  <si>
    <t>에코엠이엔씨91</t>
    <phoneticPr fontId="3" type="noConversion"/>
  </si>
  <si>
    <t>백두전력_김희준</t>
    <phoneticPr fontId="3" type="noConversion"/>
  </si>
  <si>
    <t>다온기전_김희준60</t>
    <phoneticPr fontId="3" type="noConversion"/>
  </si>
  <si>
    <t>경인전력_김희준60</t>
    <phoneticPr fontId="3" type="noConversion"/>
  </si>
  <si>
    <t>부광종합전설_김희준16.52</t>
    <phoneticPr fontId="3" type="noConversion"/>
  </si>
  <si>
    <t>새천년이엔씨55</t>
    <phoneticPr fontId="3" type="noConversion"/>
  </si>
  <si>
    <t>대연이노텍_송용주10.54</t>
    <phoneticPr fontId="3" type="noConversion"/>
  </si>
  <si>
    <t>대건전기제어_유형민67</t>
    <phoneticPr fontId="3" type="noConversion"/>
  </si>
  <si>
    <t>지음쏠라테크27.12</t>
    <phoneticPr fontId="3" type="noConversion"/>
  </si>
  <si>
    <t>금송파워텍_박성균20.41</t>
    <phoneticPr fontId="3" type="noConversion"/>
  </si>
  <si>
    <t>동양통신_김장섭50.23</t>
    <phoneticPr fontId="3" type="noConversion"/>
  </si>
  <si>
    <t>청운전기_김장섭13.92</t>
    <phoneticPr fontId="3" type="noConversion"/>
  </si>
  <si>
    <t>도원이엔아이</t>
    <phoneticPr fontId="3" type="noConversion"/>
  </si>
  <si>
    <t>경우전기</t>
    <phoneticPr fontId="3" type="noConversion"/>
  </si>
  <si>
    <t>신신이앤씨</t>
    <phoneticPr fontId="3" type="noConversion"/>
  </si>
  <si>
    <t>도경전기_김희준23.98</t>
    <phoneticPr fontId="3" type="noConversion"/>
  </si>
  <si>
    <t>다준전력</t>
    <phoneticPr fontId="3" type="noConversion"/>
  </si>
  <si>
    <t>세현전력</t>
    <phoneticPr fontId="3" type="noConversion"/>
  </si>
  <si>
    <t>대연30</t>
    <phoneticPr fontId="3" type="noConversion"/>
  </si>
  <si>
    <t>청운30
청운자료x</t>
    <phoneticPr fontId="3" type="noConversion"/>
  </si>
  <si>
    <t>부광30</t>
    <phoneticPr fontId="3" type="noConversion"/>
  </si>
  <si>
    <t>대명지이씨</t>
    <phoneticPr fontId="3" type="noConversion"/>
  </si>
  <si>
    <t>에스지씨이앤씨</t>
    <phoneticPr fontId="3" type="noConversion"/>
  </si>
  <si>
    <t>박성균</t>
    <phoneticPr fontId="3" type="noConversion"/>
  </si>
  <si>
    <t>박성균</t>
    <phoneticPr fontId="3" type="noConversion"/>
  </si>
  <si>
    <r>
      <t>대동종합전설34.37</t>
    </r>
    <r>
      <rPr>
        <b/>
        <sz val="10"/>
        <color rgb="FFFF0000"/>
        <rFont val="굴림체"/>
        <family val="3"/>
        <charset val="129"/>
      </rPr>
      <t>女</t>
    </r>
    <phoneticPr fontId="3" type="noConversion"/>
  </si>
  <si>
    <t>대동36
도경30</t>
    <phoneticPr fontId="3" type="noConversion"/>
  </si>
  <si>
    <r>
      <t>규암전력_이동훈31</t>
    </r>
    <r>
      <rPr>
        <b/>
        <sz val="10"/>
        <color rgb="FFFF0000"/>
        <rFont val="굴림체"/>
        <family val="3"/>
        <charset val="129"/>
      </rPr>
      <t>女</t>
    </r>
    <phoneticPr fontId="3" type="noConversion"/>
  </si>
  <si>
    <r>
      <t>김호이앤씨_이동훈84</t>
    </r>
    <r>
      <rPr>
        <b/>
        <sz val="10"/>
        <color rgb="FFFF0000"/>
        <rFont val="굴림체"/>
        <family val="3"/>
        <charset val="129"/>
      </rPr>
      <t>女</t>
    </r>
    <phoneticPr fontId="3" type="noConversion"/>
  </si>
  <si>
    <t>성도에너지_김희준18.57</t>
    <phoneticPr fontId="3" type="noConversion"/>
  </si>
  <si>
    <t>금송30</t>
    <phoneticPr fontId="3" type="noConversion"/>
  </si>
  <si>
    <t>엔케이이엔씨46.69</t>
    <phoneticPr fontId="3" type="noConversion"/>
  </si>
  <si>
    <t>태진전기공사_김희준12.88</t>
    <phoneticPr fontId="3" type="noConversion"/>
  </si>
  <si>
    <t>명성전기</t>
    <phoneticPr fontId="3" type="noConversion"/>
  </si>
  <si>
    <t>코스타이엔씨</t>
    <phoneticPr fontId="3" type="noConversion"/>
  </si>
  <si>
    <t>건영전기_김희준</t>
    <phoneticPr fontId="3" type="noConversion"/>
  </si>
  <si>
    <t>대륙전기_김희준</t>
    <phoneticPr fontId="3" type="noConversion"/>
  </si>
  <si>
    <t>성전사</t>
    <phoneticPr fontId="3" type="noConversion"/>
  </si>
  <si>
    <r>
      <t>대상전력_김희준</t>
    </r>
    <r>
      <rPr>
        <b/>
        <sz val="10"/>
        <color rgb="FFFF0000"/>
        <rFont val="굴림체"/>
        <family val="3"/>
        <charset val="129"/>
      </rPr>
      <t>女</t>
    </r>
    <phoneticPr fontId="3" type="noConversion"/>
  </si>
  <si>
    <t>지음쏠라40</t>
    <phoneticPr fontId="3" type="noConversion"/>
  </si>
  <si>
    <t>성도30</t>
    <phoneticPr fontId="3" type="noConversion"/>
  </si>
  <si>
    <t>서영이엔씨_김희준9.48</t>
    <phoneticPr fontId="3" type="noConversion"/>
  </si>
  <si>
    <t>알림</t>
    <phoneticPr fontId="3" type="noConversion"/>
  </si>
  <si>
    <t>에이스엔지니어링_여인백12.05</t>
    <phoneticPr fontId="3" type="noConversion"/>
  </si>
  <si>
    <t>율파워텍_여인백44.7</t>
    <phoneticPr fontId="3" type="noConversion"/>
  </si>
  <si>
    <t>한성전기_여인백27.1</t>
    <phoneticPr fontId="3" type="noConversion"/>
  </si>
  <si>
    <t>정준테크32</t>
    <phoneticPr fontId="3" type="noConversion"/>
  </si>
  <si>
    <t>온세이엔씨</t>
    <phoneticPr fontId="3" type="noConversion"/>
  </si>
  <si>
    <t>태진15
서영15</t>
    <phoneticPr fontId="3" type="noConversion"/>
  </si>
  <si>
    <t>선광이엔지_안영식21.89</t>
    <phoneticPr fontId="3" type="noConversion"/>
  </si>
  <si>
    <t>선광30</t>
    <phoneticPr fontId="3" type="noConversion"/>
  </si>
  <si>
    <t>하나전기</t>
    <phoneticPr fontId="3" type="noConversion"/>
  </si>
  <si>
    <t>2502721-00 인천가정2 B-2BL 아파트 전기공사 4공구</t>
    <phoneticPr fontId="3" type="noConversion"/>
  </si>
  <si>
    <t>두두</t>
    <phoneticPr fontId="3" type="noConversion"/>
  </si>
  <si>
    <t>케이엔디</t>
    <phoneticPr fontId="3" type="noConversion"/>
  </si>
  <si>
    <t>이노테크</t>
    <phoneticPr fontId="3" type="noConversion"/>
  </si>
  <si>
    <t>구본진</t>
    <phoneticPr fontId="3" type="noConversion"/>
  </si>
  <si>
    <t>지음이엔아이</t>
    <phoneticPr fontId="3" type="noConversion"/>
  </si>
  <si>
    <t>아람이엔테크</t>
    <phoneticPr fontId="3" type="noConversion"/>
  </si>
  <si>
    <t>대흥디씨티</t>
    <phoneticPr fontId="3" type="noConversion"/>
  </si>
  <si>
    <t>에코엠이엔씨</t>
    <phoneticPr fontId="3" type="noConversion"/>
  </si>
  <si>
    <t>성신이엔지
이동훈</t>
    <phoneticPr fontId="3" type="noConversion"/>
  </si>
  <si>
    <t>경동이앤지
이동훈</t>
    <phoneticPr fontId="3" type="noConversion"/>
  </si>
  <si>
    <t>화승전력
43.74
이동훈</t>
    <phoneticPr fontId="3" type="noConversion"/>
  </si>
  <si>
    <t>일광이앤씨
54.73</t>
    <phoneticPr fontId="3" type="noConversion"/>
  </si>
  <si>
    <t>대한종합산전</t>
    <phoneticPr fontId="3" type="noConversion"/>
  </si>
  <si>
    <t>조양
71.43
이동훈</t>
    <phoneticPr fontId="3" type="noConversion"/>
  </si>
  <si>
    <t>세진종합이엔씨 
김장섭</t>
    <phoneticPr fontId="3" type="noConversion"/>
  </si>
  <si>
    <t>김호건설
42.05
이동훈</t>
    <phoneticPr fontId="3" type="noConversion"/>
  </si>
  <si>
    <t>도원이엔아이</t>
    <phoneticPr fontId="3" type="noConversion"/>
  </si>
  <si>
    <t>지음쏠라테크35.75</t>
    <phoneticPr fontId="3" type="noConversion"/>
  </si>
  <si>
    <t>다온기전
79.56
김희준</t>
    <phoneticPr fontId="3" type="noConversion"/>
  </si>
  <si>
    <t>삼영플랜트</t>
    <phoneticPr fontId="3" type="noConversion"/>
  </si>
  <si>
    <t>우주전기통신 김희준</t>
    <phoneticPr fontId="3" type="noConversion"/>
  </si>
  <si>
    <t>세영이앤씨
64.04
이동훈</t>
    <phoneticPr fontId="3" type="noConversion"/>
  </si>
  <si>
    <t>송원이앤씨</t>
    <phoneticPr fontId="3" type="noConversion"/>
  </si>
  <si>
    <t>원광전력
20.86
김희준</t>
    <phoneticPr fontId="3" type="noConversion"/>
  </si>
  <si>
    <t>도화엔지니어링</t>
    <phoneticPr fontId="3" type="noConversion"/>
  </si>
  <si>
    <r>
      <t xml:space="preserve">김호이앤씨
</t>
    </r>
    <r>
      <rPr>
        <b/>
        <sz val="10"/>
        <color rgb="FFFF0000"/>
        <rFont val="굴림체"/>
        <family val="3"/>
        <charset val="129"/>
      </rPr>
      <t>女</t>
    </r>
    <r>
      <rPr>
        <sz val="10"/>
        <rFont val="굴림체"/>
        <family val="3"/>
        <charset val="129"/>
      </rPr>
      <t xml:space="preserve">
이동훈</t>
    </r>
    <phoneticPr fontId="3" type="noConversion"/>
  </si>
  <si>
    <t>성전사</t>
    <phoneticPr fontId="3" type="noConversion"/>
  </si>
  <si>
    <t>동해전기공사20.24</t>
    <phoneticPr fontId="3" type="noConversion"/>
  </si>
  <si>
    <t>녹십자이엠
36.55
유형민</t>
    <phoneticPr fontId="3" type="noConversion"/>
  </si>
  <si>
    <t>남양계전</t>
    <phoneticPr fontId="3" type="noConversion"/>
  </si>
  <si>
    <t>다현정보통신 27.44
나의상</t>
    <phoneticPr fontId="3" type="noConversion"/>
  </si>
  <si>
    <t>엠라이테크
23.1</t>
    <phoneticPr fontId="3" type="noConversion"/>
  </si>
  <si>
    <t>대명지이씨</t>
    <phoneticPr fontId="3" type="noConversion"/>
  </si>
  <si>
    <t>동해전기
32.13
조세희</t>
    <phoneticPr fontId="3" type="noConversion"/>
  </si>
  <si>
    <t>일렉파워</t>
    <phoneticPr fontId="3" type="noConversion"/>
  </si>
  <si>
    <t>대동종합전설45.32</t>
    <phoneticPr fontId="3" type="noConversion"/>
  </si>
  <si>
    <t>엔케이이엔씨61.56</t>
    <phoneticPr fontId="3" type="noConversion"/>
  </si>
  <si>
    <t>에스지씨이앤씨</t>
    <phoneticPr fontId="3" type="noConversion"/>
  </si>
  <si>
    <t>신광전력
95.82
구성서</t>
    <phoneticPr fontId="3" type="noConversion"/>
  </si>
  <si>
    <t>영성전력
55.02
구성서</t>
    <phoneticPr fontId="3" type="noConversion"/>
  </si>
  <si>
    <t>트래콘건설</t>
    <phoneticPr fontId="3" type="noConversion"/>
  </si>
  <si>
    <t>현창이앤씨
42.33
구성서</t>
    <phoneticPr fontId="3" type="noConversion"/>
  </si>
  <si>
    <t>세명건설
70.38
이동훈</t>
    <phoneticPr fontId="3" type="noConversion"/>
  </si>
  <si>
    <t>코레일테크</t>
    <phoneticPr fontId="3" type="noConversion"/>
  </si>
  <si>
    <t>신우이엔지
61.77
구성서</t>
    <phoneticPr fontId="3" type="noConversion"/>
  </si>
  <si>
    <t>대원전력공사 윤명숙</t>
    <phoneticPr fontId="3" type="noConversion"/>
  </si>
  <si>
    <t>대명에너지</t>
    <phoneticPr fontId="3" type="noConversion"/>
  </si>
  <si>
    <t>삼원전기
47.86
구성서</t>
    <phoneticPr fontId="3" type="noConversion"/>
  </si>
  <si>
    <t>경우전기</t>
    <phoneticPr fontId="3" type="noConversion"/>
  </si>
  <si>
    <t>이엘케이
44.40</t>
    <phoneticPr fontId="3" type="noConversion"/>
  </si>
  <si>
    <t>이엘케이
51</t>
    <phoneticPr fontId="3" type="noConversion"/>
  </si>
  <si>
    <t>경기의무30%, 5개사</t>
    <phoneticPr fontId="3" type="noConversion"/>
  </si>
  <si>
    <t>30%고정</t>
    <phoneticPr fontId="3" type="noConversion"/>
  </si>
  <si>
    <t>국제전기
80.30
윤명숙</t>
    <phoneticPr fontId="3" type="noConversion"/>
  </si>
  <si>
    <t>길리
98.45
김희준</t>
    <phoneticPr fontId="3" type="noConversion"/>
  </si>
  <si>
    <t>토양전력
69.93
윤명숙</t>
    <phoneticPr fontId="3" type="noConversion"/>
  </si>
  <si>
    <t>신우이엔아이48.66
김장섭</t>
    <phoneticPr fontId="3" type="noConversion"/>
  </si>
  <si>
    <t>하나전기</t>
    <phoneticPr fontId="3" type="noConversion"/>
  </si>
  <si>
    <t>30%고정</t>
    <phoneticPr fontId="3" type="noConversion"/>
  </si>
  <si>
    <t>대동종합
49</t>
    <phoneticPr fontId="3" type="noConversion"/>
  </si>
  <si>
    <t>※대표자: 가공송전선로 건설공사(복도체 이상) 
          적격업체로 한국전력공사에 등록된 자</t>
    <phoneticPr fontId="3" type="noConversion"/>
  </si>
  <si>
    <t>코원건설
24.12
유형민</t>
    <phoneticPr fontId="3" type="noConversion"/>
  </si>
  <si>
    <t>2503046-00 고양창릉 345kv 양주-중부 송전선로 임시이설 공사</t>
    <phoneticPr fontId="3" type="noConversion"/>
  </si>
  <si>
    <t>원광전력
31</t>
    <phoneticPr fontId="3" type="noConversion"/>
  </si>
  <si>
    <t>화승전력
51</t>
    <phoneticPr fontId="3" type="noConversion"/>
  </si>
  <si>
    <t>대명_이동훈33</t>
    <phoneticPr fontId="3" type="noConversion"/>
  </si>
  <si>
    <t>추정금액
(시공비율)</t>
    <phoneticPr fontId="3" type="noConversion"/>
  </si>
  <si>
    <t>시평기준</t>
    <phoneticPr fontId="3" type="noConversion"/>
  </si>
  <si>
    <t>입찰참가자격</t>
    <phoneticPr fontId="3" type="noConversion"/>
  </si>
  <si>
    <t>실적만점</t>
    <phoneticPr fontId="3" type="noConversion"/>
  </si>
  <si>
    <t>입찰</t>
    <phoneticPr fontId="3" type="noConversion"/>
  </si>
  <si>
    <t>경기의무30%, 5개사</t>
    <phoneticPr fontId="3" type="noConversion"/>
  </si>
  <si>
    <t>2025.06.16</t>
    <phoneticPr fontId="3" type="noConversion"/>
  </si>
  <si>
    <t>참가자격
시평제한</t>
    <phoneticPr fontId="3" type="noConversion"/>
  </si>
  <si>
    <t>승인여부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</si>
  <si>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</si>
  <si>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</si>
  <si>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</si>
  <si>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</si>
  <si>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시공경험(최근5년간 2배수, 품질평가점수)</t>
    <phoneticPr fontId="3" type="noConversion"/>
  </si>
  <si>
    <t>투찰율[%]  소수점3째자리 반올림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</si>
  <si>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</si>
  <si>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</si>
  <si>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</si>
  <si>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</si>
  <si>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</si>
  <si>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</si>
  <si>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</si>
  <si>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</si>
  <si>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</si>
  <si>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
단순합산</t>
    <phoneticPr fontId="3" type="noConversion"/>
  </si>
  <si>
    <t>시공능력
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</si>
  <si>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</si>
  <si>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</si>
  <si>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</si>
  <si>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</si>
  <si>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</si>
  <si>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비고</t>
    <phoneticPr fontId="3" type="noConversion"/>
  </si>
  <si>
    <t>경영          (15점만점)</t>
    <phoneticPr fontId="3" type="noConversion"/>
  </si>
  <si>
    <t>경영적용점수</t>
    <phoneticPr fontId="3" type="noConversion"/>
  </si>
  <si>
    <t>실적         (13점만점)</t>
    <phoneticPr fontId="3" type="noConversion"/>
  </si>
  <si>
    <t>실적점수적용</t>
    <phoneticPr fontId="3" type="noConversion"/>
  </si>
  <si>
    <t>시공품질(2점기본)</t>
    <phoneticPr fontId="3" type="noConversion"/>
  </si>
  <si>
    <t>시공실적점수</t>
    <phoneticPr fontId="3" type="noConversion"/>
  </si>
  <si>
    <t>신인도</t>
    <phoneticPr fontId="3" type="noConversion"/>
  </si>
  <si>
    <t>순공사
점수</t>
    <phoneticPr fontId="3" type="noConversion"/>
  </si>
  <si>
    <t>수행능력
점수</t>
    <phoneticPr fontId="3" type="noConversion"/>
  </si>
  <si>
    <t>하도급</t>
    <phoneticPr fontId="3" type="noConversion"/>
  </si>
  <si>
    <t>자재</t>
    <phoneticPr fontId="3" type="noConversion"/>
  </si>
  <si>
    <t>입찰점수</t>
    <phoneticPr fontId="3" type="noConversion"/>
  </si>
  <si>
    <t>예상점수</t>
    <phoneticPr fontId="3" type="noConversion"/>
  </si>
  <si>
    <t>지음이엔아이</t>
    <phoneticPr fontId="3" type="noConversion"/>
  </si>
  <si>
    <t>대흥디씨티</t>
    <phoneticPr fontId="3" type="noConversion"/>
  </si>
  <si>
    <t>아람이엔테크</t>
    <phoneticPr fontId="3" type="noConversion"/>
  </si>
  <si>
    <t xml:space="preserve">88점이상:3점/85점이상:2점/83점이상:1.5점/80점이상:1점 </t>
    <phoneticPr fontId="3" type="noConversion"/>
  </si>
  <si>
    <t>대광건영</t>
    <phoneticPr fontId="3" type="noConversion"/>
  </si>
  <si>
    <t>남양계전</t>
    <phoneticPr fontId="3" type="noConversion"/>
  </si>
  <si>
    <t>성전사</t>
    <phoneticPr fontId="3" type="noConversion"/>
  </si>
  <si>
    <t>구평전력_김희준</t>
    <phoneticPr fontId="3" type="noConversion"/>
  </si>
  <si>
    <t>우주전기통신_김희준</t>
    <phoneticPr fontId="3" type="noConversion"/>
  </si>
  <si>
    <t>대용와트스_윤명숙</t>
    <phoneticPr fontId="3" type="noConversion"/>
  </si>
  <si>
    <t>하나로기술_조세희74</t>
    <phoneticPr fontId="3" type="noConversion"/>
  </si>
  <si>
    <t>대상전력_김희준</t>
    <phoneticPr fontId="3" type="noConversion"/>
  </si>
  <si>
    <t>덕원전설52</t>
    <phoneticPr fontId="3" type="noConversion"/>
  </si>
  <si>
    <t>디엑스비전
이동훈</t>
    <phoneticPr fontId="3" type="noConversion"/>
  </si>
  <si>
    <t>한길테크
60.49
김장섭</t>
    <phoneticPr fontId="3" type="noConversion"/>
  </si>
  <si>
    <t>효우테크
27.91
김장섭</t>
    <phoneticPr fontId="3" type="noConversion"/>
  </si>
  <si>
    <t>기전사</t>
    <phoneticPr fontId="3" type="noConversion"/>
  </si>
  <si>
    <t>한국이알이시</t>
    <phoneticPr fontId="3" type="noConversion"/>
  </si>
  <si>
    <t>에너지로드
이동훈</t>
    <phoneticPr fontId="3" type="noConversion"/>
  </si>
  <si>
    <t>부국전력통신공사_김희준</t>
    <phoneticPr fontId="3" type="noConversion"/>
  </si>
  <si>
    <t>건화티에스 윤명숙</t>
    <phoneticPr fontId="3" type="noConversion"/>
  </si>
  <si>
    <t>연희전력_윤명숙
96.98</t>
    <phoneticPr fontId="3" type="noConversion"/>
  </si>
  <si>
    <t>지음쏠라테크84.25</t>
    <phoneticPr fontId="3" type="noConversion"/>
  </si>
  <si>
    <t>청운전기_김장섭11.47</t>
    <phoneticPr fontId="3" type="noConversion"/>
  </si>
  <si>
    <t>송원이앤씨
64.21</t>
    <phoneticPr fontId="3" type="noConversion"/>
  </si>
  <si>
    <t>부광종합전설_김희준13.62</t>
    <phoneticPr fontId="3" type="noConversion"/>
  </si>
  <si>
    <t>대연이노텍_송용주43.95</t>
    <phoneticPr fontId="3" type="noConversion"/>
  </si>
  <si>
    <t>도화엔지니어링</t>
    <phoneticPr fontId="3" type="noConversion"/>
  </si>
  <si>
    <t>대연 51</t>
    <phoneticPr fontId="3" type="noConversion"/>
  </si>
  <si>
    <t>에코엠이엔씨75.32</t>
    <phoneticPr fontId="3" type="noConversion"/>
  </si>
  <si>
    <t>대건전기제어_유형민55.67</t>
    <phoneticPr fontId="3" type="noConversion"/>
  </si>
  <si>
    <t>도원이엔아이</t>
    <phoneticPr fontId="3" type="noConversion"/>
  </si>
  <si>
    <t>경인전력_김희준49.45</t>
    <phoneticPr fontId="3" type="noConversion"/>
  </si>
  <si>
    <t>도경전기
19.76
김희준</t>
    <phoneticPr fontId="3" type="noConversion"/>
  </si>
  <si>
    <t>도경
30</t>
    <phoneticPr fontId="3" type="noConversion"/>
  </si>
  <si>
    <t>다온기전_김희준49.73</t>
    <phoneticPr fontId="3" type="noConversion"/>
  </si>
  <si>
    <t>에스지씨이앤씨</t>
    <phoneticPr fontId="3" type="noConversion"/>
  </si>
  <si>
    <r>
      <t>대상전력
79.72
김희준</t>
    </r>
    <r>
      <rPr>
        <b/>
        <sz val="10"/>
        <color rgb="FFFF0000"/>
        <rFont val="굴림체"/>
        <family val="3"/>
        <charset val="129"/>
      </rPr>
      <t>女</t>
    </r>
    <phoneticPr fontId="3" type="noConversion"/>
  </si>
  <si>
    <t>새천년이엔씨46.04</t>
    <phoneticPr fontId="3" type="noConversion"/>
  </si>
  <si>
    <t>동양통신_김장섭41.39</t>
    <phoneticPr fontId="3" type="noConversion"/>
  </si>
  <si>
    <t>금송파워텍_박성균16.82</t>
    <phoneticPr fontId="3" type="noConversion"/>
  </si>
  <si>
    <t>대유기전공사 김희준</t>
    <phoneticPr fontId="3" type="noConversion"/>
  </si>
  <si>
    <t>다온 51</t>
    <phoneticPr fontId="3" type="noConversion"/>
  </si>
  <si>
    <t xml:space="preserve">88점이상:3점/85점이상:2점/83점이상:1.5점/80점이상:1점 </t>
    <phoneticPr fontId="3" type="noConversion"/>
  </si>
  <si>
    <t>동해엔지니어링㈜ 
조세희
26.51</t>
    <phoneticPr fontId="3" type="noConversion"/>
  </si>
  <si>
    <t>지음쏠라
90</t>
    <phoneticPr fontId="3" type="noConversion"/>
  </si>
  <si>
    <t>2503509-00 인천계양 A-9BL 아파트 전기공사 3공구</t>
    <phoneticPr fontId="3" type="noConversion"/>
  </si>
  <si>
    <t>율파워텍
40 고정</t>
    <phoneticPr fontId="3" type="noConversion"/>
  </si>
  <si>
    <t>부광 15</t>
    <phoneticPr fontId="3" type="noConversion"/>
  </si>
  <si>
    <t xml:space="preserve">순공사 가점 사정률 101.01728 까지 발생 </t>
    <phoneticPr fontId="3" type="noConversion"/>
  </si>
  <si>
    <t>신신이앤씨</t>
    <phoneticPr fontId="3" type="noConversion"/>
  </si>
  <si>
    <t>코레일테크</t>
    <phoneticPr fontId="3" type="noConversion"/>
  </si>
  <si>
    <t>대한종합산전</t>
    <phoneticPr fontId="3" type="noConversion"/>
  </si>
  <si>
    <t>케이비에스비즈니스</t>
    <phoneticPr fontId="3" type="noConversion"/>
  </si>
  <si>
    <t>대광건영</t>
    <phoneticPr fontId="3" type="noConversion"/>
  </si>
  <si>
    <t>파르이앤씨</t>
    <phoneticPr fontId="3" type="noConversion"/>
  </si>
  <si>
    <t>대용와트스</t>
    <phoneticPr fontId="3" type="noConversion"/>
  </si>
  <si>
    <t xml:space="preserve">현대엘리베이터
</t>
    <phoneticPr fontId="3" type="noConversion"/>
  </si>
  <si>
    <t>온세이엔씨</t>
    <phoneticPr fontId="3" type="noConversion"/>
  </si>
  <si>
    <t>카톡보냄</t>
    <phoneticPr fontId="3" type="noConversion"/>
  </si>
  <si>
    <r>
      <t>율파워텍</t>
    </r>
    <r>
      <rPr>
        <b/>
        <sz val="10"/>
        <color rgb="FFFF0000"/>
        <rFont val="굴림체"/>
        <family val="3"/>
        <charset val="129"/>
      </rPr>
      <t>女</t>
    </r>
    <r>
      <rPr>
        <sz val="10"/>
        <rFont val="굴림체"/>
        <family val="3"/>
        <charset val="129"/>
      </rPr>
      <t xml:space="preserve">
36.84
여인백</t>
    </r>
    <phoneticPr fontId="3" type="noConversion"/>
  </si>
  <si>
    <t>태경19.8</t>
    <phoneticPr fontId="3" type="noConversion"/>
  </si>
  <si>
    <t>동해 30   태경 20</t>
    <phoneticPr fontId="3" type="noConversion"/>
  </si>
  <si>
    <t>동해 태경에서 받음 꼽사리</t>
    <phoneticPr fontId="3" type="noConversion"/>
  </si>
  <si>
    <t>꺠짐</t>
    <phoneticPr fontId="3" type="noConversion"/>
  </si>
  <si>
    <t>알림</t>
    <phoneticPr fontId="3" type="noConversion"/>
  </si>
  <si>
    <t>정정</t>
    <phoneticPr fontId="3" type="noConversion"/>
  </si>
  <si>
    <t>정준테크
26.45</t>
    <phoneticPr fontId="3" type="noConversion"/>
  </si>
  <si>
    <t>경북의무30%, 5개사</t>
    <phoneticPr fontId="3" type="noConversion"/>
  </si>
  <si>
    <t>태성전기
20.43
김희준</t>
    <phoneticPr fontId="3" type="noConversion"/>
  </si>
  <si>
    <t>태성전기
30</t>
    <phoneticPr fontId="3" type="noConversion"/>
  </si>
  <si>
    <t>신지
30</t>
    <phoneticPr fontId="3" type="noConversion"/>
  </si>
  <si>
    <t>진영전기
30</t>
    <phoneticPr fontId="3" type="noConversion"/>
  </si>
  <si>
    <t>대륙전기
김희준</t>
    <phoneticPr fontId="3" type="noConversion"/>
  </si>
  <si>
    <t>백두전력
김희준</t>
    <phoneticPr fontId="3" type="noConversion"/>
  </si>
  <si>
    <t>우진일렉트</t>
    <phoneticPr fontId="3" type="noConversion"/>
  </si>
  <si>
    <t>지음이엔아이
품질93.38</t>
    <phoneticPr fontId="3" type="noConversion"/>
  </si>
  <si>
    <t>대흥디씨티</t>
    <phoneticPr fontId="3" type="noConversion"/>
  </si>
  <si>
    <t>지음쏠라테크</t>
    <phoneticPr fontId="3" type="noConversion"/>
  </si>
  <si>
    <t>부현전기</t>
    <phoneticPr fontId="3" type="noConversion"/>
  </si>
  <si>
    <t>경우전기</t>
    <phoneticPr fontId="3" type="noConversion"/>
  </si>
  <si>
    <t>지음쏠라테크
91.22</t>
  </si>
  <si>
    <t>정준테크
28.61
이동훈</t>
  </si>
  <si>
    <t>거산전력
27.85
김희준</t>
  </si>
  <si>
    <t>엠라이테크15.62</t>
    <phoneticPr fontId="3" type="noConversion"/>
  </si>
  <si>
    <t>동해전기공사13.68</t>
    <phoneticPr fontId="3" type="noConversion"/>
  </si>
  <si>
    <t>동해
30</t>
    <phoneticPr fontId="3" type="noConversion"/>
  </si>
  <si>
    <t>동원
30</t>
    <phoneticPr fontId="3" type="noConversion"/>
  </si>
  <si>
    <t>건영전기
김희준</t>
    <phoneticPr fontId="3" type="noConversion"/>
  </si>
  <si>
    <t>동원전력
27.30
김대열</t>
    <phoneticPr fontId="3" type="noConversion"/>
  </si>
  <si>
    <t>신신이앤씨</t>
    <phoneticPr fontId="3" type="noConversion"/>
  </si>
  <si>
    <t>백운전력
63.82
김희준</t>
    <phoneticPr fontId="3" type="noConversion"/>
  </si>
  <si>
    <t>국기건설
47.08
유형민</t>
    <phoneticPr fontId="3" type="noConversion"/>
  </si>
  <si>
    <t>경동이앤지
이동훈</t>
    <phoneticPr fontId="3" type="noConversion"/>
  </si>
  <si>
    <t>도화엔지니어링</t>
  </si>
  <si>
    <t>국제전기
85.35
조정</t>
    <phoneticPr fontId="3" type="noConversion"/>
  </si>
  <si>
    <t>의성전력
26.07
조정</t>
    <phoneticPr fontId="3" type="noConversion"/>
  </si>
  <si>
    <t>에코엠이엔씨</t>
    <phoneticPr fontId="3" type="noConversion"/>
  </si>
  <si>
    <t>의성
30</t>
    <phoneticPr fontId="3" type="noConversion"/>
  </si>
  <si>
    <t>창민전기
34.35
조정</t>
    <phoneticPr fontId="3" type="noConversion"/>
  </si>
  <si>
    <t>창민전기
35</t>
    <phoneticPr fontId="3" type="noConversion"/>
  </si>
  <si>
    <t>알림</t>
    <phoneticPr fontId="3" type="noConversion"/>
  </si>
  <si>
    <t>45고정</t>
    <phoneticPr fontId="3" type="noConversion"/>
  </si>
  <si>
    <r>
      <t>신지</t>
    </r>
    <r>
      <rPr>
        <sz val="10"/>
        <rFont val="굴림체"/>
        <family val="3"/>
        <charset val="129"/>
      </rPr>
      <t xml:space="preserve">
26.42
김희준</t>
    </r>
    <phoneticPr fontId="3" type="noConversion"/>
  </si>
  <si>
    <t>장한전력
21.59
이동훈</t>
    <phoneticPr fontId="3" type="noConversion"/>
  </si>
  <si>
    <t>영천전기
22.16
김인용</t>
    <phoneticPr fontId="3" type="noConversion"/>
  </si>
  <si>
    <t>제일전력기술 21.72
김인용</t>
    <phoneticPr fontId="3" type="noConversion"/>
  </si>
  <si>
    <t>금영전기
30.78
김인용</t>
    <phoneticPr fontId="3" type="noConversion"/>
  </si>
  <si>
    <t>도화엔지니어링</t>
    <phoneticPr fontId="3" type="noConversion"/>
  </si>
  <si>
    <t>한성전력
37.59
김인용</t>
    <phoneticPr fontId="3" type="noConversion"/>
  </si>
  <si>
    <t>영남이엔지
27.74
김인용</t>
    <phoneticPr fontId="3" type="noConversion"/>
  </si>
  <si>
    <t>성전사</t>
    <phoneticPr fontId="3" type="noConversion"/>
  </si>
  <si>
    <t>에스지씨이앤씨</t>
    <phoneticPr fontId="3" type="noConversion"/>
  </si>
  <si>
    <t>도원이엔아이</t>
    <phoneticPr fontId="3" type="noConversion"/>
  </si>
  <si>
    <t>장한전력
30</t>
    <phoneticPr fontId="3" type="noConversion"/>
  </si>
  <si>
    <t xml:space="preserve">덕우산업
김대열 </t>
    <phoneticPr fontId="3" type="noConversion"/>
  </si>
  <si>
    <t>성화전력
72.18
김장섭</t>
    <phoneticPr fontId="3" type="noConversion"/>
  </si>
  <si>
    <t>하나전기</t>
    <phoneticPr fontId="3" type="noConversion"/>
  </si>
  <si>
    <t>파르이앤씨</t>
    <phoneticPr fontId="3" type="noConversion"/>
  </si>
  <si>
    <t>한성전력
40</t>
    <phoneticPr fontId="3" type="noConversion"/>
  </si>
  <si>
    <t>영남
30</t>
    <phoneticPr fontId="3" type="noConversion"/>
  </si>
  <si>
    <t>코레일테크</t>
    <phoneticPr fontId="3" type="noConversion"/>
  </si>
  <si>
    <t>다온기전
75.58
김희준</t>
    <phoneticPr fontId="3" type="noConversion"/>
  </si>
  <si>
    <t>진영전기
22.38
김희준</t>
    <phoneticPr fontId="3" type="noConversion"/>
  </si>
  <si>
    <t>경일전기
16.02
김장섭</t>
    <phoneticPr fontId="3" type="noConversion"/>
  </si>
  <si>
    <t>경일전기
30</t>
    <phoneticPr fontId="3" type="noConversion"/>
  </si>
  <si>
    <t>동해전력
25.83
김대열</t>
    <phoneticPr fontId="3" type="noConversion"/>
  </si>
  <si>
    <t>엔케이이엔씨 58.48</t>
    <phoneticPr fontId="3" type="noConversion"/>
  </si>
  <si>
    <t>2503644-00 경산대임 B-1BL 아파트 전기공사 4공구</t>
    <phoneticPr fontId="3" type="noConversion"/>
  </si>
  <si>
    <t>대명지이씨</t>
    <phoneticPr fontId="3" type="noConversion"/>
  </si>
  <si>
    <t>세명전설
15.18
김장섭</t>
    <phoneticPr fontId="3" type="noConversion"/>
  </si>
  <si>
    <t>보명산업개발 20.76</t>
    <phoneticPr fontId="3" type="noConversion"/>
  </si>
  <si>
    <t>보명산업
30</t>
    <phoneticPr fontId="3" type="noConversion"/>
  </si>
  <si>
    <t>세명전설
30</t>
    <phoneticPr fontId="3" type="noConversion"/>
  </si>
  <si>
    <t>제일전력
30</t>
    <phoneticPr fontId="3" type="noConversion"/>
  </si>
  <si>
    <t>영천전기
30</t>
    <phoneticPr fontId="3" type="noConversion"/>
  </si>
  <si>
    <t>동원테크
73.26
조세희</t>
    <phoneticPr fontId="3" type="noConversion"/>
  </si>
  <si>
    <t>엔케이이엔씨41.61</t>
    <phoneticPr fontId="3" type="noConversion"/>
  </si>
  <si>
    <t>광동전력
23.31
이동훈</t>
    <phoneticPr fontId="3" type="noConversion"/>
  </si>
  <si>
    <t>코원건설16.30
유형민</t>
    <phoneticPr fontId="3" type="noConversion"/>
  </si>
  <si>
    <t>세명건설
47.58
이동훈</t>
    <phoneticPr fontId="3" type="noConversion"/>
  </si>
  <si>
    <t>왕선전설_이동훈21.58</t>
    <phoneticPr fontId="3" type="noConversion"/>
  </si>
  <si>
    <t>청수씨앤씨_김희준60.20</t>
    <phoneticPr fontId="3" type="noConversion"/>
  </si>
  <si>
    <t>민재전기
19.23
이동훈</t>
    <phoneticPr fontId="3" type="noConversion"/>
  </si>
  <si>
    <t>성광전기_김희준20.27</t>
    <phoneticPr fontId="3" type="noConversion"/>
  </si>
  <si>
    <t>세영이앤씨43.29
이동훈</t>
    <phoneticPr fontId="3" type="noConversion"/>
  </si>
  <si>
    <t>김호건설
28.43
이동훈</t>
    <phoneticPr fontId="3" type="noConversion"/>
  </si>
  <si>
    <t>성은전기_김희준11.21</t>
    <phoneticPr fontId="3" type="noConversion"/>
  </si>
  <si>
    <t>일광이앤씨37</t>
    <phoneticPr fontId="3" type="noConversion"/>
  </si>
  <si>
    <t>태광전기공사23.26
이동훈</t>
    <phoneticPr fontId="3" type="noConversion"/>
  </si>
  <si>
    <t>설봉전기_김희준20.75</t>
    <phoneticPr fontId="3" type="noConversion"/>
  </si>
  <si>
    <t>원전력공사 21.30
윤명숙</t>
    <phoneticPr fontId="3" type="noConversion"/>
  </si>
  <si>
    <t>김호이앤씨 75.54
이동훈</t>
    <phoneticPr fontId="3" type="noConversion"/>
  </si>
  <si>
    <t>화인이앤텍_김희준90.82</t>
    <phoneticPr fontId="3" type="noConversion"/>
  </si>
  <si>
    <t>길리_김희준 66.56</t>
    <phoneticPr fontId="3" type="noConversion"/>
  </si>
  <si>
    <t>팔팔전력
87.52
김희준</t>
    <phoneticPr fontId="3" type="noConversion"/>
  </si>
  <si>
    <t>태경 21.51
조세희</t>
    <phoneticPr fontId="3" type="noConversion"/>
  </si>
  <si>
    <t>금동전기
12.15
윤명숙</t>
    <phoneticPr fontId="3" type="noConversion"/>
  </si>
  <si>
    <t>명지전력
25.81
조세희</t>
    <phoneticPr fontId="3" type="noConversion"/>
  </si>
  <si>
    <t>인수전력
35.74
조세희</t>
    <phoneticPr fontId="3" type="noConversion"/>
  </si>
  <si>
    <t>삼보전기공사16.32
조세희</t>
    <phoneticPr fontId="3" type="noConversion"/>
  </si>
  <si>
    <t xml:space="preserve">녹십자이엠24.71
유형민 </t>
    <phoneticPr fontId="3" type="noConversion"/>
  </si>
  <si>
    <t>동해전기
21.72
조세희</t>
    <phoneticPr fontId="3" type="noConversion"/>
  </si>
  <si>
    <t>코레일테크</t>
    <phoneticPr fontId="3" type="noConversion"/>
  </si>
  <si>
    <t>에코엠이엔씨</t>
    <phoneticPr fontId="3" type="noConversion"/>
  </si>
  <si>
    <t>거산전력
30</t>
    <phoneticPr fontId="3" type="noConversion"/>
  </si>
  <si>
    <t>하나전기_김기성</t>
  </si>
  <si>
    <t>이엘케이30.02</t>
    <phoneticPr fontId="3" type="noConversion"/>
  </si>
  <si>
    <t>신우이엔아이_김장섭32.89</t>
    <phoneticPr fontId="3" type="noConversion"/>
  </si>
  <si>
    <t>한라
18</t>
    <phoneticPr fontId="3" type="noConversion"/>
  </si>
  <si>
    <t>대륙전기_김희준</t>
    <phoneticPr fontId="3" type="noConversion"/>
  </si>
  <si>
    <r>
      <t>㈜송원이앤씨</t>
    </r>
    <r>
      <rPr>
        <b/>
        <sz val="10"/>
        <color rgb="FFFF0000"/>
        <rFont val="굴림체"/>
        <family val="3"/>
        <charset val="129"/>
      </rPr>
      <t xml:space="preserve">女 </t>
    </r>
    <r>
      <rPr>
        <sz val="10"/>
        <color theme="1"/>
        <rFont val="굴림체"/>
        <family val="3"/>
        <charset val="129"/>
      </rPr>
      <t>97.60</t>
    </r>
    <phoneticPr fontId="3" type="noConversion"/>
  </si>
  <si>
    <r>
      <t xml:space="preserve">수영전기공사16.38
김희준 </t>
    </r>
    <r>
      <rPr>
        <b/>
        <sz val="10"/>
        <color rgb="FFFF0000"/>
        <rFont val="굴림체"/>
        <family val="3"/>
        <charset val="129"/>
      </rPr>
      <t>女</t>
    </r>
    <phoneticPr fontId="3" type="noConversion"/>
  </si>
  <si>
    <t>신광전력
64.78
구성서</t>
    <phoneticPr fontId="3" type="noConversion"/>
  </si>
  <si>
    <t>수영전기
17</t>
    <phoneticPr fontId="3" type="noConversion"/>
  </si>
  <si>
    <r>
      <t>한라전기</t>
    </r>
    <r>
      <rPr>
        <b/>
        <sz val="10"/>
        <color rgb="FFFF0000"/>
        <rFont val="굴림체"/>
        <family val="3"/>
        <charset val="129"/>
      </rPr>
      <t>女</t>
    </r>
    <r>
      <rPr>
        <sz val="10"/>
        <rFont val="굴림체"/>
        <family val="3"/>
        <charset val="129"/>
      </rPr>
      <t>17.64
이동훈</t>
    </r>
    <phoneticPr fontId="3" type="noConversion"/>
  </si>
  <si>
    <t>부현전기_김장섭</t>
    <phoneticPr fontId="3" type="noConversion"/>
  </si>
  <si>
    <t>파르이앤씨_김장섭</t>
    <phoneticPr fontId="3" type="noConversion"/>
  </si>
  <si>
    <t>경우전기_김장섭</t>
    <phoneticPr fontId="3" type="noConversion"/>
  </si>
  <si>
    <r>
      <t>송원이앤씨</t>
    </r>
    <r>
      <rPr>
        <b/>
        <sz val="10"/>
        <color rgb="FFFF0000"/>
        <rFont val="굴림체"/>
        <family val="3"/>
        <charset val="129"/>
      </rPr>
      <t>女</t>
    </r>
    <r>
      <rPr>
        <sz val="10"/>
        <rFont val="굴림체"/>
        <family val="3"/>
        <charset val="129"/>
      </rPr>
      <t>69.45</t>
    </r>
    <phoneticPr fontId="3" type="noConversion"/>
  </si>
  <si>
    <t>정준테크
40.21</t>
    <phoneticPr fontId="3" type="noConversion"/>
  </si>
  <si>
    <t>현대엠테크㈜97.42
구성서</t>
    <phoneticPr fontId="3" type="noConversion"/>
  </si>
  <si>
    <t>혜안이엔씨76.89
김기성</t>
    <phoneticPr fontId="3" type="noConversion"/>
  </si>
  <si>
    <t>국제전기
54.28
윤명숙</t>
    <phoneticPr fontId="3" type="noConversion"/>
  </si>
  <si>
    <t>다온기전
53.78
김희준</t>
    <phoneticPr fontId="3" type="noConversion"/>
  </si>
  <si>
    <t>2503665-00 고양창릉 공공주택지구 도시기반 전기공사 1공구</t>
    <phoneticPr fontId="3" type="noConversion"/>
  </si>
  <si>
    <t>대명지이씨</t>
    <phoneticPr fontId="3" type="noConversion"/>
  </si>
  <si>
    <t>대명에너지</t>
    <phoneticPr fontId="3" type="noConversion"/>
  </si>
  <si>
    <t>삼광전설
39.5
김장섭</t>
    <phoneticPr fontId="3" type="noConversion"/>
  </si>
  <si>
    <t>삼광전설
40</t>
    <phoneticPr fontId="3" type="noConversion"/>
  </si>
  <si>
    <t>화인이앤택
김희준</t>
    <phoneticPr fontId="3" type="noConversion"/>
  </si>
  <si>
    <t>추가</t>
    <phoneticPr fontId="3" type="noConversion"/>
  </si>
  <si>
    <t>대명에너지</t>
    <phoneticPr fontId="3" type="noConversion"/>
  </si>
  <si>
    <t xml:space="preserve"> </t>
    <phoneticPr fontId="3" type="noConversion"/>
  </si>
  <si>
    <t>시공능력</t>
    <phoneticPr fontId="3" type="noConversion"/>
  </si>
  <si>
    <t xml:space="preserve">  </t>
    <phoneticPr fontId="3" type="noConversion"/>
  </si>
  <si>
    <t>공고명/공고번호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</si>
</sst>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_(* #,##0_);_(* \(#,##0\);_(* &quot;-&quot;_);_(@_)"/>
    <numFmt numFmtId="177" formatCode="0.0%"/>
    <numFmt numFmtId="178" formatCode="_-* #,##0.00_-;\-* #,##0.00_-;_-* &quot;-&quot;_-;_-@_-"/>
    <numFmt numFmtId="179" formatCode="0.00_ "/>
    <numFmt numFmtId="180" formatCode="0.000%"/>
    <numFmt numFmtId="181" formatCode="_(* #,##0.00_);_(* \(#,##0.00\);_(* &quot;-&quot;??_);_(@_)"/>
    <numFmt numFmtId="182" formatCode="_-* #,##0_-;\-* #,##0_-;_-* \-_-;_-@_-"/>
    <numFmt numFmtId="183" formatCode="_-* #,##0.00_-;\-* #,##0.00_-;_-* \-_-;_-@_-"/>
    <numFmt numFmtId="184" formatCode="_(* #,##0.00_);_(* \(#,##0.00\);_(* &quot;-&quot;_);_(@_)"/>
  </numFmts>
  <fonts count="2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8"/>
      <name val="굴림체"/>
      <family val="3"/>
      <charset val="129"/>
    </font>
    <font>
      <b/>
      <sz val="16"/>
      <name val="굴림체"/>
      <family val="3"/>
      <charset val="129"/>
    </font>
    <font>
      <b/>
      <sz val="14"/>
      <name val="굴림체"/>
      <family val="3"/>
      <charset val="129"/>
    </font>
    <font>
      <b/>
      <sz val="18"/>
      <name val="굴림체"/>
      <family val="3"/>
      <charset val="129"/>
    </font>
    <font>
      <b/>
      <sz val="12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6"/>
      <color rgb="FFFF0000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1"/>
      <color rgb="FF0070C0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굴림체"/>
      <family val="3"/>
      <charset val="129"/>
    </font>
    <font>
      <sz val="9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color rgb="FF00B0F0"/>
      <name val="굴림체"/>
      <family val="3"/>
      <charset val="129"/>
    </font>
    <font>
      <b/>
      <sz val="10"/>
      <color rgb="FF0070C0"/>
      <name val="굴림체"/>
      <family val="3"/>
      <charset val="129"/>
    </font>
    <font>
      <sz val="9"/>
      <color theme="1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b/>
      <sz val="12"/>
      <color rgb="FF0070C0"/>
      <name val="굴림체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9900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2" fontId="1" fillId="0" borderId="0" applyBorder="0" applyProtection="0">
      <alignment vertical="center"/>
    </xf>
  </cellStyleXfs>
  <cellXfs count="40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4" fillId="2" borderId="2" xfId="3" applyFont="1" applyFill="1" applyBorder="1" applyAlignment="1">
      <alignment vertical="center" wrapText="1"/>
    </xf>
    <xf numFmtId="176" fontId="4" fillId="2" borderId="3" xfId="3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vertical="center" wrapText="1"/>
    </xf>
    <xf numFmtId="176" fontId="9" fillId="2" borderId="0" xfId="3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76" fontId="4" fillId="2" borderId="12" xfId="3" applyFont="1" applyFill="1" applyBorder="1" applyAlignment="1">
      <alignment vertical="center"/>
    </xf>
    <xf numFmtId="176" fontId="4" fillId="2" borderId="13" xfId="3" applyFont="1" applyFill="1" applyBorder="1" applyAlignment="1">
      <alignment vertical="center"/>
    </xf>
    <xf numFmtId="0" fontId="10" fillId="2" borderId="4" xfId="3" applyNumberFormat="1" applyFont="1" applyFill="1" applyBorder="1" applyAlignment="1">
      <alignment horizontal="left" vertical="center"/>
    </xf>
    <xf numFmtId="10" fontId="13" fillId="2" borderId="0" xfId="2" applyNumberFormat="1" applyFont="1" applyFill="1" applyBorder="1" applyAlignment="1">
      <alignment horizontal="left" vertical="center"/>
    </xf>
    <xf numFmtId="10" fontId="9" fillId="3" borderId="0" xfId="2" applyNumberFormat="1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right" vertical="center"/>
    </xf>
    <xf numFmtId="0" fontId="16" fillId="2" borderId="10" xfId="0" applyFont="1" applyFill="1" applyBorder="1" applyAlignment="1">
      <alignment horizontal="center" vertical="center" wrapText="1"/>
    </xf>
    <xf numFmtId="176" fontId="15" fillId="2" borderId="0" xfId="0" applyNumberFormat="1" applyFont="1" applyFill="1">
      <alignment vertical="center"/>
    </xf>
    <xf numFmtId="0" fontId="15" fillId="2" borderId="0" xfId="0" applyFont="1" applyFill="1" applyAlignment="1">
      <alignment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 shrinkToFit="1"/>
    </xf>
    <xf numFmtId="0" fontId="15" fillId="0" borderId="38" xfId="0" applyFont="1" applyBorder="1" applyAlignment="1">
      <alignment horizontal="center" vertical="center" wrapText="1" shrinkToFit="1"/>
    </xf>
    <xf numFmtId="0" fontId="15" fillId="2" borderId="39" xfId="0" applyFont="1" applyFill="1" applyBorder="1" applyAlignment="1">
      <alignment horizontal="center" vertical="center" wrapText="1"/>
    </xf>
    <xf numFmtId="0" fontId="15" fillId="4" borderId="35" xfId="0" applyFont="1" applyFill="1" applyBorder="1" applyAlignment="1">
      <alignment horizontal="center" vertical="center" wrapText="1" shrinkToFit="1"/>
    </xf>
    <xf numFmtId="0" fontId="15" fillId="0" borderId="36" xfId="0" applyFont="1" applyBorder="1" applyAlignment="1">
      <alignment horizontal="center" vertical="center" wrapText="1" shrinkToFit="1"/>
    </xf>
    <xf numFmtId="0" fontId="15" fillId="4" borderId="36" xfId="0" applyFont="1" applyFill="1" applyBorder="1" applyAlignment="1">
      <alignment horizontal="center" vertical="center" wrapText="1" shrinkToFit="1"/>
    </xf>
    <xf numFmtId="0" fontId="15" fillId="7" borderId="33" xfId="0" applyFont="1" applyFill="1" applyBorder="1" applyAlignment="1">
      <alignment horizontal="center" vertical="center" wrapText="1" shrinkToFit="1"/>
    </xf>
    <xf numFmtId="0" fontId="15" fillId="2" borderId="33" xfId="0" applyFont="1" applyFill="1" applyBorder="1" applyAlignment="1">
      <alignment horizontal="center" vertical="center" wrapText="1" shrinkToFit="1"/>
    </xf>
    <xf numFmtId="0" fontId="15" fillId="2" borderId="34" xfId="0" applyFont="1" applyFill="1" applyBorder="1" applyAlignment="1">
      <alignment horizontal="center" vertical="center" wrapText="1" shrinkToFit="1"/>
    </xf>
    <xf numFmtId="0" fontId="15" fillId="3" borderId="2" xfId="0" applyFont="1" applyFill="1" applyBorder="1" applyAlignment="1">
      <alignment horizontal="left" vertical="center" wrapText="1" shrinkToFit="1"/>
    </xf>
    <xf numFmtId="177" fontId="15" fillId="0" borderId="5" xfId="0" applyNumberFormat="1" applyFont="1" applyBorder="1" applyAlignment="1">
      <alignment horizontal="center" vertical="center"/>
    </xf>
    <xf numFmtId="177" fontId="15" fillId="0" borderId="45" xfId="0" applyNumberFormat="1" applyFont="1" applyBorder="1" applyAlignment="1">
      <alignment horizontal="center" vertical="center"/>
    </xf>
    <xf numFmtId="9" fontId="15" fillId="0" borderId="46" xfId="0" applyNumberFormat="1" applyFont="1" applyBorder="1" applyAlignment="1">
      <alignment horizontal="center" vertical="center"/>
    </xf>
    <xf numFmtId="178" fontId="15" fillId="5" borderId="47" xfId="3" applyNumberFormat="1" applyFont="1" applyFill="1" applyBorder="1">
      <alignment vertical="center"/>
    </xf>
    <xf numFmtId="178" fontId="15" fillId="0" borderId="44" xfId="3" applyNumberFormat="1" applyFont="1" applyBorder="1">
      <alignment vertical="center"/>
    </xf>
    <xf numFmtId="178" fontId="15" fillId="0" borderId="5" xfId="3" applyNumberFormat="1" applyFont="1" applyBorder="1">
      <alignment vertical="center"/>
    </xf>
    <xf numFmtId="178" fontId="15" fillId="0" borderId="45" xfId="3" applyNumberFormat="1" applyFont="1" applyBorder="1">
      <alignment vertical="center"/>
    </xf>
    <xf numFmtId="178" fontId="10" fillId="0" borderId="43" xfId="3" applyNumberFormat="1" applyFont="1" applyBorder="1">
      <alignment vertical="center"/>
    </xf>
    <xf numFmtId="178" fontId="15" fillId="0" borderId="48" xfId="3" applyNumberFormat="1" applyFont="1" applyBorder="1">
      <alignment vertical="center"/>
    </xf>
    <xf numFmtId="178" fontId="10" fillId="0" borderId="46" xfId="3" applyNumberFormat="1" applyFont="1" applyBorder="1">
      <alignment vertical="center"/>
    </xf>
    <xf numFmtId="178" fontId="15" fillId="0" borderId="43" xfId="3" applyNumberFormat="1" applyFont="1" applyBorder="1">
      <alignment vertical="center"/>
    </xf>
    <xf numFmtId="178" fontId="10" fillId="3" borderId="47" xfId="3" applyNumberFormat="1" applyFont="1" applyFill="1" applyBorder="1">
      <alignment vertical="center"/>
    </xf>
    <xf numFmtId="179" fontId="15" fillId="0" borderId="7" xfId="3" applyNumberFormat="1" applyFont="1" applyBorder="1">
      <alignment vertical="center"/>
    </xf>
    <xf numFmtId="178" fontId="15" fillId="0" borderId="7" xfId="3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6" fontId="15" fillId="0" borderId="49" xfId="3" applyFont="1" applyBorder="1">
      <alignment vertical="center"/>
    </xf>
    <xf numFmtId="178" fontId="15" fillId="0" borderId="49" xfId="3" applyNumberFormat="1" applyFont="1" applyBorder="1">
      <alignment vertical="center"/>
    </xf>
    <xf numFmtId="180" fontId="15" fillId="0" borderId="49" xfId="2" applyNumberFormat="1" applyFont="1" applyBorder="1">
      <alignment vertical="center"/>
    </xf>
    <xf numFmtId="181" fontId="4" fillId="0" borderId="6" xfId="0" applyNumberFormat="1" applyFont="1" applyBorder="1">
      <alignment vertical="center"/>
    </xf>
    <xf numFmtId="180" fontId="15" fillId="0" borderId="6" xfId="2" applyNumberFormat="1" applyFont="1" applyBorder="1">
      <alignment vertical="center"/>
    </xf>
    <xf numFmtId="176" fontId="15" fillId="0" borderId="10" xfId="3" applyFont="1" applyBorder="1">
      <alignment vertical="center"/>
    </xf>
    <xf numFmtId="0" fontId="15" fillId="0" borderId="10" xfId="0" applyFont="1" applyBorder="1">
      <alignment vertical="center"/>
    </xf>
    <xf numFmtId="41" fontId="15" fillId="0" borderId="49" xfId="4" applyFont="1" applyBorder="1" applyAlignment="1">
      <alignment vertical="center" wrapText="1" shrinkToFit="1"/>
    </xf>
    <xf numFmtId="41" fontId="15" fillId="0" borderId="6" xfId="4" applyFont="1" applyBorder="1" applyAlignment="1">
      <alignment vertical="center" wrapText="1" shrinkToFit="1"/>
    </xf>
    <xf numFmtId="41" fontId="15" fillId="0" borderId="36" xfId="4" applyFont="1" applyBorder="1" applyAlignment="1">
      <alignment vertical="center" wrapText="1" shrinkToFit="1"/>
    </xf>
    <xf numFmtId="0" fontId="15" fillId="0" borderId="0" xfId="0" applyFont="1">
      <alignment vertical="center"/>
    </xf>
    <xf numFmtId="0" fontId="15" fillId="3" borderId="10" xfId="0" applyFont="1" applyFill="1" applyBorder="1" applyAlignment="1">
      <alignment horizontal="left" vertical="center" wrapText="1" shrinkToFit="1"/>
    </xf>
    <xf numFmtId="10" fontId="15" fillId="0" borderId="50" xfId="0" applyNumberFormat="1" applyFont="1" applyBorder="1" applyAlignment="1">
      <alignment horizontal="center" vertical="center"/>
    </xf>
    <xf numFmtId="9" fontId="15" fillId="0" borderId="51" xfId="0" applyNumberFormat="1" applyFont="1" applyBorder="1" applyAlignment="1">
      <alignment horizontal="center" vertical="center"/>
    </xf>
    <xf numFmtId="178" fontId="15" fillId="0" borderId="50" xfId="3" applyNumberFormat="1" applyFont="1" applyBorder="1">
      <alignment vertical="center"/>
    </xf>
    <xf numFmtId="178" fontId="10" fillId="0" borderId="47" xfId="3" applyNumberFormat="1" applyFont="1" applyBorder="1">
      <alignment vertical="center"/>
    </xf>
    <xf numFmtId="178" fontId="15" fillId="0" borderId="47" xfId="3" applyNumberFormat="1" applyFont="1" applyBorder="1">
      <alignment vertical="center"/>
    </xf>
    <xf numFmtId="176" fontId="15" fillId="0" borderId="49" xfId="3" applyFont="1" applyBorder="1" applyAlignment="1">
      <alignment vertical="center" wrapText="1" shrinkToFit="1"/>
    </xf>
    <xf numFmtId="176" fontId="15" fillId="0" borderId="50" xfId="3" applyFont="1" applyBorder="1" applyAlignment="1">
      <alignment vertical="center" wrapText="1" shrinkToFit="1"/>
    </xf>
    <xf numFmtId="178" fontId="10" fillId="0" borderId="51" xfId="3" applyNumberFormat="1" applyFont="1" applyBorder="1">
      <alignment vertical="center"/>
    </xf>
    <xf numFmtId="179" fontId="15" fillId="0" borderId="3" xfId="3" applyNumberFormat="1" applyFont="1" applyBorder="1">
      <alignment vertical="center"/>
    </xf>
    <xf numFmtId="178" fontId="15" fillId="0" borderId="5" xfId="0" applyNumberFormat="1" applyFont="1" applyBorder="1">
      <alignment vertical="center"/>
    </xf>
    <xf numFmtId="180" fontId="15" fillId="0" borderId="5" xfId="2" applyNumberFormat="1" applyFont="1" applyBorder="1">
      <alignment vertical="center"/>
    </xf>
    <xf numFmtId="181" fontId="4" fillId="0" borderId="2" xfId="0" applyNumberFormat="1" applyFont="1" applyBorder="1">
      <alignment vertical="center"/>
    </xf>
    <xf numFmtId="180" fontId="15" fillId="0" borderId="2" xfId="2" applyNumberFormat="1" applyFont="1" applyBorder="1">
      <alignment vertical="center"/>
    </xf>
    <xf numFmtId="41" fontId="15" fillId="0" borderId="5" xfId="4" applyFont="1" applyBorder="1" applyAlignment="1">
      <alignment vertical="center" wrapText="1" shrinkToFit="1"/>
    </xf>
    <xf numFmtId="41" fontId="15" fillId="0" borderId="2" xfId="4" applyFont="1" applyBorder="1" applyAlignment="1">
      <alignment vertical="center" wrapText="1" shrinkToFit="1"/>
    </xf>
    <xf numFmtId="41" fontId="15" fillId="0" borderId="10" xfId="4" applyFont="1" applyBorder="1" applyAlignment="1">
      <alignment vertical="center" wrapText="1" shrinkToFit="1"/>
    </xf>
    <xf numFmtId="178" fontId="17" fillId="0" borderId="5" xfId="3" applyNumberFormat="1" applyFont="1" applyBorder="1">
      <alignment vertical="center"/>
    </xf>
    <xf numFmtId="176" fontId="15" fillId="0" borderId="2" xfId="3" applyFont="1" applyBorder="1" applyAlignment="1">
      <alignment vertical="center" wrapText="1" shrinkToFit="1"/>
    </xf>
    <xf numFmtId="178" fontId="15" fillId="0" borderId="3" xfId="3" applyNumberFormat="1" applyFont="1" applyBorder="1">
      <alignment vertical="center"/>
    </xf>
    <xf numFmtId="176" fontId="15" fillId="0" borderId="5" xfId="3" applyFont="1" applyBorder="1">
      <alignment vertical="center"/>
    </xf>
    <xf numFmtId="177" fontId="15" fillId="0" borderId="2" xfId="0" applyNumberFormat="1" applyFont="1" applyBorder="1" applyAlignment="1">
      <alignment horizontal="center" vertical="center"/>
    </xf>
    <xf numFmtId="178" fontId="15" fillId="0" borderId="5" xfId="1" applyNumberFormat="1" applyFont="1" applyFill="1" applyBorder="1">
      <alignment vertical="center"/>
    </xf>
    <xf numFmtId="0" fontId="15" fillId="3" borderId="54" xfId="0" applyFont="1" applyFill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center" vertical="center" wrapText="1"/>
    </xf>
    <xf numFmtId="177" fontId="15" fillId="0" borderId="3" xfId="0" applyNumberFormat="1" applyFont="1" applyBorder="1" applyAlignment="1">
      <alignment horizontal="center" vertical="center"/>
    </xf>
    <xf numFmtId="10" fontId="15" fillId="0" borderId="51" xfId="0" applyNumberFormat="1" applyFont="1" applyBorder="1" applyAlignment="1">
      <alignment horizontal="center" vertical="center"/>
    </xf>
    <xf numFmtId="9" fontId="15" fillId="0" borderId="47" xfId="0" applyNumberFormat="1" applyFont="1" applyBorder="1" applyAlignment="1">
      <alignment horizontal="center" vertical="center"/>
    </xf>
    <xf numFmtId="176" fontId="15" fillId="0" borderId="6" xfId="3" applyFont="1" applyBorder="1" applyAlignment="1">
      <alignment vertical="center" wrapText="1" shrinkToFit="1"/>
    </xf>
    <xf numFmtId="0" fontId="15" fillId="0" borderId="2" xfId="0" applyFont="1" applyBorder="1" applyAlignment="1">
      <alignment horizontal="center" vertical="center"/>
    </xf>
    <xf numFmtId="0" fontId="15" fillId="3" borderId="50" xfId="0" applyFont="1" applyFill="1" applyBorder="1" applyAlignment="1">
      <alignment horizontal="left" vertical="center" wrapText="1" shrinkToFit="1"/>
    </xf>
    <xf numFmtId="0" fontId="15" fillId="0" borderId="6" xfId="0" applyFont="1" applyBorder="1" applyAlignment="1">
      <alignment horizontal="left" vertical="center" wrapText="1" shrinkToFit="1"/>
    </xf>
    <xf numFmtId="41" fontId="15" fillId="0" borderId="3" xfId="4" applyFont="1" applyBorder="1" applyAlignment="1">
      <alignment vertical="center" wrapText="1" shrinkToFit="1"/>
    </xf>
    <xf numFmtId="41" fontId="15" fillId="0" borderId="45" xfId="4" applyFont="1" applyBorder="1" applyAlignment="1">
      <alignment vertical="center" wrapText="1" shrinkToFit="1"/>
    </xf>
    <xf numFmtId="0" fontId="15" fillId="3" borderId="5" xfId="0" applyFont="1" applyFill="1" applyBorder="1" applyAlignment="1">
      <alignment horizontal="left" vertical="center" wrapText="1" shrinkToFit="1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15" fillId="8" borderId="0" xfId="0" applyFont="1" applyFill="1" applyAlignment="1">
      <alignment horizontal="right" vertical="center"/>
    </xf>
    <xf numFmtId="0" fontId="18" fillId="0" borderId="5" xfId="0" applyFont="1" applyBorder="1" applyAlignment="1">
      <alignment horizontal="left" vertical="center" wrapText="1" shrinkToFit="1"/>
    </xf>
    <xf numFmtId="0" fontId="18" fillId="0" borderId="6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center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8" fillId="0" borderId="2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177" fontId="15" fillId="0" borderId="7" xfId="0" applyNumberFormat="1" applyFont="1" applyBorder="1" applyAlignment="1">
      <alignment horizontal="center" vertical="center"/>
    </xf>
    <xf numFmtId="183" fontId="15" fillId="0" borderId="44" xfId="5" applyNumberFormat="1" applyFont="1" applyBorder="1" applyProtection="1">
      <alignment vertical="center"/>
    </xf>
    <xf numFmtId="183" fontId="15" fillId="0" borderId="5" xfId="5" applyNumberFormat="1" applyFont="1" applyBorder="1" applyProtection="1">
      <alignment vertical="center"/>
    </xf>
    <xf numFmtId="183" fontId="15" fillId="0" borderId="45" xfId="5" applyNumberFormat="1" applyFont="1" applyBorder="1" applyProtection="1">
      <alignment vertical="center"/>
    </xf>
    <xf numFmtId="183" fontId="15" fillId="0" borderId="55" xfId="5" applyNumberFormat="1" applyFont="1" applyBorder="1" applyProtection="1">
      <alignment vertical="center"/>
    </xf>
    <xf numFmtId="182" fontId="15" fillId="0" borderId="45" xfId="5" applyFont="1" applyBorder="1" applyAlignment="1" applyProtection="1">
      <alignment vertical="center" wrapText="1" shrinkToFit="1"/>
    </xf>
    <xf numFmtId="182" fontId="15" fillId="0" borderId="5" xfId="5" applyFont="1" applyBorder="1" applyAlignment="1" applyProtection="1">
      <alignment vertical="center" wrapText="1" shrinkToFit="1"/>
    </xf>
    <xf numFmtId="182" fontId="15" fillId="0" borderId="3" xfId="5" applyFont="1" applyBorder="1" applyAlignment="1" applyProtection="1">
      <alignment vertical="center" wrapText="1" shrinkToFit="1"/>
    </xf>
    <xf numFmtId="182" fontId="15" fillId="0" borderId="2" xfId="5" applyFont="1" applyBorder="1" applyAlignment="1" applyProtection="1">
      <alignment vertical="center" wrapText="1" shrinkToFit="1"/>
    </xf>
    <xf numFmtId="183" fontId="15" fillId="0" borderId="2" xfId="5" applyNumberFormat="1" applyFont="1" applyBorder="1" applyProtection="1">
      <alignment vertical="center"/>
    </xf>
    <xf numFmtId="178" fontId="15" fillId="0" borderId="2" xfId="3" applyNumberFormat="1" applyFont="1" applyBorder="1">
      <alignment vertical="center"/>
    </xf>
    <xf numFmtId="0" fontId="15" fillId="0" borderId="5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 shrinkToFit="1"/>
    </xf>
    <xf numFmtId="183" fontId="10" fillId="0" borderId="47" xfId="5" applyNumberFormat="1" applyFont="1" applyBorder="1" applyProtection="1">
      <alignment vertical="center"/>
    </xf>
    <xf numFmtId="183" fontId="15" fillId="9" borderId="47" xfId="5" applyNumberFormat="1" applyFont="1" applyFill="1" applyBorder="1" applyProtection="1">
      <alignment vertical="center"/>
    </xf>
    <xf numFmtId="178" fontId="15" fillId="0" borderId="55" xfId="1" applyNumberFormat="1" applyFont="1" applyFill="1" applyBorder="1">
      <alignment vertical="center"/>
    </xf>
    <xf numFmtId="178" fontId="15" fillId="0" borderId="1" xfId="1" applyNumberFormat="1" applyFont="1" applyFill="1" applyBorder="1">
      <alignment vertical="center"/>
    </xf>
    <xf numFmtId="10" fontId="15" fillId="0" borderId="54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 shrinkToFit="1"/>
    </xf>
    <xf numFmtId="0" fontId="18" fillId="4" borderId="2" xfId="0" applyFont="1" applyFill="1" applyBorder="1" applyAlignment="1">
      <alignment horizontal="left" vertical="center" wrapText="1" shrinkToFit="1"/>
    </xf>
    <xf numFmtId="0" fontId="15" fillId="0" borderId="5" xfId="0" applyFont="1" applyBorder="1" applyAlignment="1">
      <alignment vertical="center" wrapText="1" shrinkToFit="1"/>
    </xf>
    <xf numFmtId="0" fontId="15" fillId="4" borderId="5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vertical="center" wrapText="1"/>
    </xf>
    <xf numFmtId="0" fontId="15" fillId="4" borderId="5" xfId="0" applyFont="1" applyFill="1" applyBorder="1" applyAlignment="1">
      <alignment vertical="center" wrapText="1" shrinkToFit="1"/>
    </xf>
    <xf numFmtId="183" fontId="15" fillId="5" borderId="5" xfId="5" applyNumberFormat="1" applyFont="1" applyFill="1" applyBorder="1" applyProtection="1">
      <alignment vertical="center"/>
    </xf>
    <xf numFmtId="41" fontId="15" fillId="0" borderId="5" xfId="1" applyFont="1" applyFill="1" applyBorder="1" applyAlignment="1">
      <alignment vertical="center" wrapText="1" shrinkToFit="1"/>
    </xf>
    <xf numFmtId="41" fontId="15" fillId="0" borderId="44" xfId="1" applyFont="1" applyFill="1" applyBorder="1" applyAlignment="1">
      <alignment vertical="center" wrapText="1" shrinkToFit="1"/>
    </xf>
    <xf numFmtId="41" fontId="15" fillId="0" borderId="1" xfId="1" applyFont="1" applyFill="1" applyBorder="1" applyAlignment="1">
      <alignment vertical="center" wrapText="1" shrinkToFit="1"/>
    </xf>
    <xf numFmtId="41" fontId="15" fillId="0" borderId="2" xfId="1" applyFont="1" applyFill="1" applyBorder="1" applyAlignment="1">
      <alignment vertical="center" wrapText="1" shrinkToFit="1"/>
    </xf>
    <xf numFmtId="41" fontId="15" fillId="0" borderId="53" xfId="1" applyFont="1" applyFill="1" applyBorder="1" applyAlignment="1">
      <alignment vertical="center" wrapText="1" shrinkToFit="1"/>
    </xf>
    <xf numFmtId="183" fontId="15" fillId="10" borderId="47" xfId="5" applyNumberFormat="1" applyFont="1" applyFill="1" applyBorder="1" applyProtection="1">
      <alignment vertical="center"/>
    </xf>
    <xf numFmtId="0" fontId="15" fillId="5" borderId="5" xfId="0" applyFont="1" applyFill="1" applyBorder="1" applyAlignment="1">
      <alignment vertical="center" wrapText="1" shrinkToFit="1"/>
    </xf>
    <xf numFmtId="10" fontId="20" fillId="3" borderId="0" xfId="2" applyNumberFormat="1" applyFont="1" applyFill="1" applyBorder="1" applyAlignment="1">
      <alignment vertical="center"/>
    </xf>
    <xf numFmtId="41" fontId="15" fillId="0" borderId="57" xfId="1" applyFont="1" applyFill="1" applyBorder="1" applyAlignment="1">
      <alignment vertical="center" wrapText="1" shrinkToFit="1"/>
    </xf>
    <xf numFmtId="10" fontId="13" fillId="3" borderId="38" xfId="2" applyNumberFormat="1" applyFont="1" applyFill="1" applyBorder="1" applyAlignment="1">
      <alignment vertical="center" wrapText="1"/>
    </xf>
    <xf numFmtId="41" fontId="18" fillId="0" borderId="2" xfId="1" applyFont="1" applyBorder="1" applyAlignment="1">
      <alignment horizontal="left" vertical="center" wrapText="1" shrinkToFit="1"/>
    </xf>
    <xf numFmtId="177" fontId="15" fillId="0" borderId="50" xfId="0" applyNumberFormat="1" applyFont="1" applyBorder="1" applyAlignment="1">
      <alignment horizontal="center" vertical="center"/>
    </xf>
    <xf numFmtId="41" fontId="18" fillId="0" borderId="5" xfId="1" applyFont="1" applyBorder="1" applyAlignment="1">
      <alignment horizontal="left" vertical="center" wrapText="1" shrinkToFit="1"/>
    </xf>
    <xf numFmtId="183" fontId="10" fillId="5" borderId="47" xfId="5" applyNumberFormat="1" applyFont="1" applyFill="1" applyBorder="1" applyProtection="1">
      <alignment vertical="center"/>
    </xf>
    <xf numFmtId="41" fontId="18" fillId="0" borderId="53" xfId="4" applyFont="1" applyBorder="1" applyAlignment="1">
      <alignment vertical="center" wrapText="1" shrinkToFit="1"/>
    </xf>
    <xf numFmtId="176" fontId="19" fillId="0" borderId="49" xfId="3" applyFont="1" applyBorder="1" applyAlignment="1">
      <alignment vertical="center" wrapText="1" shrinkToFit="1"/>
    </xf>
    <xf numFmtId="184" fontId="15" fillId="0" borderId="3" xfId="3" applyNumberFormat="1" applyFont="1" applyBorder="1">
      <alignment vertical="center"/>
    </xf>
    <xf numFmtId="10" fontId="15" fillId="5" borderId="5" xfId="0" applyNumberFormat="1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left" vertical="center" wrapText="1" shrinkToFit="1"/>
    </xf>
    <xf numFmtId="0" fontId="15" fillId="3" borderId="2" xfId="0" applyFont="1" applyFill="1" applyBorder="1" applyAlignment="1">
      <alignment horizontal="center" vertical="center"/>
    </xf>
    <xf numFmtId="178" fontId="15" fillId="0" borderId="54" xfId="3" applyNumberFormat="1" applyFont="1" applyBorder="1">
      <alignment vertical="center"/>
    </xf>
    <xf numFmtId="0" fontId="15" fillId="3" borderId="43" xfId="0" applyFont="1" applyFill="1" applyBorder="1" applyAlignment="1">
      <alignment vertical="center" wrapText="1" shrinkToFit="1"/>
    </xf>
    <xf numFmtId="0" fontId="15" fillId="3" borderId="10" xfId="0" applyFont="1" applyFill="1" applyBorder="1" applyAlignment="1">
      <alignment vertical="center" wrapText="1" shrinkToFit="1"/>
    </xf>
    <xf numFmtId="183" fontId="15" fillId="5" borderId="2" xfId="5" applyNumberFormat="1" applyFont="1" applyFill="1" applyBorder="1" applyProtection="1">
      <alignment vertical="center"/>
    </xf>
    <xf numFmtId="0" fontId="18" fillId="0" borderId="5" xfId="0" applyFont="1" applyBorder="1" applyAlignment="1">
      <alignment horizontal="center" vertical="center" wrapText="1" shrinkToFit="1"/>
    </xf>
    <xf numFmtId="0" fontId="15" fillId="0" borderId="58" xfId="0" applyFont="1" applyBorder="1">
      <alignment vertical="center"/>
    </xf>
    <xf numFmtId="41" fontId="15" fillId="0" borderId="49" xfId="1" applyFont="1" applyFill="1" applyBorder="1" applyAlignment="1">
      <alignment vertical="center" wrapText="1" shrinkToFit="1"/>
    </xf>
    <xf numFmtId="182" fontId="15" fillId="0" borderId="52" xfId="5" applyFont="1" applyBorder="1" applyAlignment="1" applyProtection="1">
      <alignment vertical="center" wrapText="1" shrinkToFit="1"/>
    </xf>
    <xf numFmtId="41" fontId="15" fillId="0" borderId="54" xfId="1" applyFont="1" applyFill="1" applyBorder="1" applyAlignment="1">
      <alignment vertical="center" wrapText="1" shrinkToFit="1"/>
    </xf>
    <xf numFmtId="0" fontId="15" fillId="3" borderId="20" xfId="0" applyFont="1" applyFill="1" applyBorder="1" applyAlignment="1">
      <alignment vertical="center" wrapText="1" shrinkToFit="1"/>
    </xf>
    <xf numFmtId="10" fontId="15" fillId="5" borderId="49" xfId="0" applyNumberFormat="1" applyFont="1" applyFill="1" applyBorder="1" applyAlignment="1">
      <alignment horizontal="center" vertical="center"/>
    </xf>
    <xf numFmtId="178" fontId="17" fillId="4" borderId="5" xfId="3" applyNumberFormat="1" applyFont="1" applyFill="1" applyBorder="1">
      <alignment vertical="center"/>
    </xf>
    <xf numFmtId="2" fontId="17" fillId="0" borderId="47" xfId="0" applyNumberFormat="1" applyFont="1" applyBorder="1" applyAlignment="1">
      <alignment horizontal="center" vertical="center"/>
    </xf>
    <xf numFmtId="0" fontId="15" fillId="0" borderId="54" xfId="0" applyFont="1" applyBorder="1" applyAlignment="1">
      <alignment horizontal="left" vertical="center" wrapText="1" shrinkToFit="1"/>
    </xf>
    <xf numFmtId="0" fontId="15" fillId="0" borderId="50" xfId="0" applyFont="1" applyBorder="1" applyAlignment="1">
      <alignment horizontal="left" vertical="center" wrapText="1" shrinkToFit="1"/>
    </xf>
    <xf numFmtId="0" fontId="21" fillId="0" borderId="5" xfId="0" applyFont="1" applyBorder="1" applyAlignment="1">
      <alignment horizontal="left" vertical="center" wrapText="1" shrinkToFit="1"/>
    </xf>
    <xf numFmtId="177" fontId="15" fillId="3" borderId="49" xfId="0" applyNumberFormat="1" applyFont="1" applyFill="1" applyBorder="1" applyAlignment="1">
      <alignment horizontal="center" vertical="center"/>
    </xf>
    <xf numFmtId="183" fontId="15" fillId="0" borderId="56" xfId="5" applyNumberFormat="1" applyFont="1" applyBorder="1" applyProtection="1">
      <alignment vertical="center"/>
    </xf>
    <xf numFmtId="177" fontId="15" fillId="0" borderId="59" xfId="0" applyNumberFormat="1" applyFont="1" applyBorder="1" applyAlignment="1">
      <alignment horizontal="center" vertical="center"/>
    </xf>
    <xf numFmtId="0" fontId="14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8" fillId="5" borderId="2" xfId="0" applyFont="1" applyFill="1" applyBorder="1" applyAlignment="1">
      <alignment horizontal="left" vertical="center" wrapText="1" shrinkToFit="1"/>
    </xf>
    <xf numFmtId="10" fontId="15" fillId="5" borderId="7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77" fontId="15" fillId="3" borderId="5" xfId="0" applyNumberFormat="1" applyFont="1" applyFill="1" applyBorder="1" applyAlignment="1">
      <alignment horizontal="center" vertical="center"/>
    </xf>
    <xf numFmtId="10" fontId="15" fillId="5" borderId="59" xfId="0" applyNumberFormat="1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left" vertical="center" wrapText="1"/>
    </xf>
    <xf numFmtId="183" fontId="15" fillId="5" borderId="45" xfId="5" applyNumberFormat="1" applyFont="1" applyFill="1" applyBorder="1" applyProtection="1">
      <alignment vertical="center"/>
    </xf>
    <xf numFmtId="0" fontId="18" fillId="4" borderId="5" xfId="0" applyFont="1" applyFill="1" applyBorder="1" applyAlignment="1">
      <alignment horizontal="left" vertical="center" wrapText="1" shrinkToFit="1"/>
    </xf>
    <xf numFmtId="0" fontId="15" fillId="3" borderId="5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/>
    </xf>
    <xf numFmtId="0" fontId="15" fillId="4" borderId="5" xfId="0" applyFont="1" applyFill="1" applyBorder="1" applyAlignment="1">
      <alignment vertical="center" wrapText="1"/>
    </xf>
    <xf numFmtId="0" fontId="15" fillId="4" borderId="5" xfId="0" applyFont="1" applyFill="1" applyBorder="1" applyAlignment="1">
      <alignment horizontal="left" vertical="center" wrapText="1" shrinkToFit="1"/>
    </xf>
    <xf numFmtId="0" fontId="15" fillId="0" borderId="3" xfId="0" applyFont="1" applyBorder="1" applyAlignment="1">
      <alignment horizontal="left" vertical="center" wrapText="1" shrinkToFit="1"/>
    </xf>
    <xf numFmtId="177" fontId="15" fillId="5" borderId="3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center" wrapText="1" shrinkToFit="1"/>
    </xf>
    <xf numFmtId="0" fontId="15" fillId="4" borderId="45" xfId="0" applyFont="1" applyFill="1" applyBorder="1" applyAlignment="1">
      <alignment horizontal="left" vertical="center" wrapText="1" shrinkToFit="1"/>
    </xf>
    <xf numFmtId="3" fontId="18" fillId="0" borderId="5" xfId="0" applyNumberFormat="1" applyFont="1" applyBorder="1" applyAlignment="1">
      <alignment horizontal="left" vertical="center" wrapText="1" shrinkToFit="1"/>
    </xf>
    <xf numFmtId="0" fontId="15" fillId="4" borderId="2" xfId="0" applyFont="1" applyFill="1" applyBorder="1" applyAlignment="1">
      <alignment vertical="center" wrapText="1" shrinkToFit="1"/>
    </xf>
    <xf numFmtId="178" fontId="17" fillId="0" borderId="5" xfId="3" applyNumberFormat="1" applyFont="1" applyFill="1" applyBorder="1">
      <alignment vertical="center"/>
    </xf>
    <xf numFmtId="41" fontId="15" fillId="0" borderId="44" xfId="4" applyFont="1" applyFill="1" applyBorder="1" applyAlignment="1">
      <alignment vertical="center" wrapText="1" shrinkToFit="1"/>
    </xf>
    <xf numFmtId="41" fontId="15" fillId="0" borderId="5" xfId="4" applyFont="1" applyFill="1" applyBorder="1" applyAlignment="1">
      <alignment vertical="center" wrapText="1" shrinkToFit="1"/>
    </xf>
    <xf numFmtId="41" fontId="15" fillId="0" borderId="55" xfId="4" applyFont="1" applyFill="1" applyBorder="1" applyAlignment="1">
      <alignment vertical="center" wrapText="1" shrinkToFit="1"/>
    </xf>
    <xf numFmtId="41" fontId="15" fillId="0" borderId="1" xfId="4" applyFont="1" applyFill="1" applyBorder="1" applyAlignment="1">
      <alignment vertical="center" wrapText="1" shrinkToFit="1"/>
    </xf>
    <xf numFmtId="41" fontId="15" fillId="0" borderId="24" xfId="4" applyFont="1" applyFill="1" applyBorder="1" applyAlignment="1">
      <alignment vertical="center" wrapText="1" shrinkToFit="1"/>
    </xf>
    <xf numFmtId="41" fontId="15" fillId="0" borderId="2" xfId="4" applyFont="1" applyFill="1" applyBorder="1" applyAlignment="1">
      <alignment vertical="center" wrapText="1" shrinkToFit="1"/>
    </xf>
    <xf numFmtId="41" fontId="15" fillId="0" borderId="57" xfId="4" applyFont="1" applyFill="1" applyBorder="1" applyAlignment="1">
      <alignment vertical="center" wrapText="1" shrinkToFit="1"/>
    </xf>
    <xf numFmtId="0" fontId="4" fillId="3" borderId="10" xfId="0" applyFont="1" applyFill="1" applyBorder="1" applyAlignment="1">
      <alignment vertical="center" wrapText="1" shrinkToFit="1"/>
    </xf>
    <xf numFmtId="41" fontId="15" fillId="0" borderId="53" xfId="4" applyFont="1" applyFill="1" applyBorder="1" applyAlignment="1">
      <alignment vertical="center" wrapText="1" shrinkToFit="1"/>
    </xf>
    <xf numFmtId="177" fontId="15" fillId="5" borderId="5" xfId="0" applyNumberFormat="1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left" vertical="center" wrapText="1" shrinkToFit="1"/>
    </xf>
    <xf numFmtId="0" fontId="15" fillId="3" borderId="17" xfId="0" applyFont="1" applyFill="1" applyBorder="1" applyAlignment="1">
      <alignment horizontal="left" vertical="center" wrapText="1" shrinkToFit="1"/>
    </xf>
    <xf numFmtId="177" fontId="15" fillId="0" borderId="22" xfId="0" applyNumberFormat="1" applyFont="1" applyBorder="1" applyAlignment="1">
      <alignment horizontal="center" vertical="center"/>
    </xf>
    <xf numFmtId="177" fontId="15" fillId="0" borderId="26" xfId="0" applyNumberFormat="1" applyFont="1" applyBorder="1" applyAlignment="1">
      <alignment horizontal="center" vertical="center"/>
    </xf>
    <xf numFmtId="10" fontId="15" fillId="0" borderId="17" xfId="0" applyNumberFormat="1" applyFont="1" applyBorder="1" applyAlignment="1">
      <alignment horizontal="center" vertical="center"/>
    </xf>
    <xf numFmtId="9" fontId="15" fillId="0" borderId="60" xfId="0" applyNumberFormat="1" applyFont="1" applyBorder="1" applyAlignment="1">
      <alignment horizontal="center" vertical="center"/>
    </xf>
    <xf numFmtId="183" fontId="15" fillId="9" borderId="20" xfId="5" applyNumberFormat="1" applyFont="1" applyFill="1" applyBorder="1" applyProtection="1">
      <alignment vertical="center"/>
    </xf>
    <xf numFmtId="183" fontId="15" fillId="0" borderId="59" xfId="5" applyNumberFormat="1" applyFont="1" applyBorder="1" applyProtection="1">
      <alignment vertical="center"/>
    </xf>
    <xf numFmtId="0" fontId="15" fillId="0" borderId="59" xfId="0" applyFont="1" applyBorder="1" applyAlignment="1">
      <alignment vertical="center" wrapText="1"/>
    </xf>
    <xf numFmtId="183" fontId="15" fillId="0" borderId="23" xfId="5" applyNumberFormat="1" applyFont="1" applyBorder="1" applyProtection="1">
      <alignment vertical="center"/>
    </xf>
    <xf numFmtId="178" fontId="15" fillId="0" borderId="17" xfId="3" applyNumberFormat="1" applyFont="1" applyBorder="1">
      <alignment vertical="center"/>
    </xf>
    <xf numFmtId="178" fontId="10" fillId="0" borderId="20" xfId="3" applyNumberFormat="1" applyFont="1" applyBorder="1">
      <alignment vertical="center"/>
    </xf>
    <xf numFmtId="178" fontId="15" fillId="0" borderId="20" xfId="3" applyNumberFormat="1" applyFont="1" applyBorder="1">
      <alignment vertical="center"/>
    </xf>
    <xf numFmtId="41" fontId="15" fillId="0" borderId="56" xfId="4" applyFont="1" applyFill="1" applyBorder="1" applyAlignment="1">
      <alignment vertical="center" wrapText="1" shrinkToFit="1"/>
    </xf>
    <xf numFmtId="41" fontId="15" fillId="0" borderId="59" xfId="4" applyFont="1" applyFill="1" applyBorder="1" applyAlignment="1">
      <alignment vertical="center" wrapText="1" shrinkToFit="1"/>
    </xf>
    <xf numFmtId="182" fontId="15" fillId="0" borderId="26" xfId="5" applyFont="1" applyBorder="1" applyAlignment="1" applyProtection="1">
      <alignment vertical="center" wrapText="1" shrinkToFit="1"/>
    </xf>
    <xf numFmtId="176" fontId="15" fillId="0" borderId="17" xfId="3" applyFont="1" applyBorder="1" applyAlignment="1">
      <alignment vertical="center" wrapText="1" shrinkToFit="1"/>
    </xf>
    <xf numFmtId="178" fontId="10" fillId="0" borderId="60" xfId="3" applyNumberFormat="1" applyFont="1" applyBorder="1">
      <alignment vertical="center"/>
    </xf>
    <xf numFmtId="180" fontId="15" fillId="0" borderId="50" xfId="2" applyNumberFormat="1" applyFont="1" applyBorder="1">
      <alignment vertical="center"/>
    </xf>
    <xf numFmtId="41" fontId="18" fillId="0" borderId="2" xfId="4" applyFont="1" applyBorder="1" applyAlignment="1">
      <alignment horizontal="left" vertical="center" wrapText="1" shrinkToFit="1"/>
    </xf>
    <xf numFmtId="41" fontId="18" fillId="0" borderId="5" xfId="4" applyFont="1" applyBorder="1" applyAlignment="1">
      <alignment horizontal="left" vertical="center" wrapText="1" shrinkToFit="1"/>
    </xf>
    <xf numFmtId="0" fontId="15" fillId="3" borderId="6" xfId="0" applyFont="1" applyFill="1" applyBorder="1" applyAlignment="1">
      <alignment horizontal="left" vertical="center" wrapText="1" shrinkToFit="1"/>
    </xf>
    <xf numFmtId="177" fontId="15" fillId="0" borderId="49" xfId="0" applyNumberFormat="1" applyFont="1" applyBorder="1" applyAlignment="1">
      <alignment horizontal="center" vertical="center"/>
    </xf>
    <xf numFmtId="177" fontId="15" fillId="0" borderId="52" xfId="0" applyNumberFormat="1" applyFont="1" applyBorder="1" applyAlignment="1">
      <alignment horizontal="center" vertical="center"/>
    </xf>
    <xf numFmtId="183" fontId="15" fillId="9" borderId="43" xfId="5" applyNumberFormat="1" applyFont="1" applyFill="1" applyBorder="1" applyProtection="1">
      <alignment vertical="center"/>
    </xf>
    <xf numFmtId="183" fontId="15" fillId="0" borderId="53" xfId="5" applyNumberFormat="1" applyFont="1" applyBorder="1" applyProtection="1">
      <alignment vertical="center"/>
    </xf>
    <xf numFmtId="183" fontId="15" fillId="0" borderId="49" xfId="5" applyNumberFormat="1" applyFont="1" applyBorder="1" applyProtection="1">
      <alignment vertical="center"/>
    </xf>
    <xf numFmtId="183" fontId="15" fillId="0" borderId="6" xfId="5" applyNumberFormat="1" applyFont="1" applyBorder="1" applyProtection="1">
      <alignment vertical="center"/>
    </xf>
    <xf numFmtId="41" fontId="15" fillId="0" borderId="49" xfId="4" applyFont="1" applyFill="1" applyBorder="1" applyAlignment="1">
      <alignment vertical="center" wrapText="1" shrinkToFit="1"/>
    </xf>
    <xf numFmtId="41" fontId="15" fillId="0" borderId="54" xfId="4" applyFont="1" applyFill="1" applyBorder="1" applyAlignment="1">
      <alignment vertical="center" wrapText="1" shrinkToFit="1"/>
    </xf>
    <xf numFmtId="180" fontId="15" fillId="0" borderId="4" xfId="2" applyNumberFormat="1" applyFont="1" applyBorder="1">
      <alignment vertical="center"/>
    </xf>
    <xf numFmtId="41" fontId="15" fillId="0" borderId="61" xfId="4" applyFont="1" applyBorder="1" applyAlignment="1">
      <alignment vertical="center" wrapText="1" shrinkToFit="1"/>
    </xf>
    <xf numFmtId="41" fontId="15" fillId="0" borderId="50" xfId="4" applyFont="1" applyBorder="1" applyAlignment="1">
      <alignment vertical="center" wrapText="1" shrinkToFit="1"/>
    </xf>
    <xf numFmtId="178" fontId="15" fillId="0" borderId="55" xfId="4" applyNumberFormat="1" applyFont="1" applyFill="1" applyBorder="1">
      <alignment vertical="center"/>
    </xf>
    <xf numFmtId="178" fontId="15" fillId="0" borderId="5" xfId="4" applyNumberFormat="1" applyFont="1" applyFill="1" applyBorder="1">
      <alignment vertical="center"/>
    </xf>
    <xf numFmtId="0" fontId="15" fillId="4" borderId="2" xfId="0" applyFont="1" applyFill="1" applyBorder="1" applyAlignment="1">
      <alignment horizontal="left" vertical="center" wrapText="1" shrinkToFit="1"/>
    </xf>
    <xf numFmtId="178" fontId="15" fillId="0" borderId="1" xfId="4" applyNumberFormat="1" applyFont="1" applyFill="1" applyBorder="1">
      <alignment vertical="center"/>
    </xf>
    <xf numFmtId="0" fontId="15" fillId="12" borderId="2" xfId="0" applyFont="1" applyFill="1" applyBorder="1" applyAlignment="1">
      <alignment horizontal="left" vertical="center" wrapText="1" shrinkToFit="1"/>
    </xf>
    <xf numFmtId="0" fontId="15" fillId="12" borderId="5" xfId="0" applyFont="1" applyFill="1" applyBorder="1" applyAlignment="1">
      <alignment vertical="center" wrapText="1" shrinkToFit="1"/>
    </xf>
    <xf numFmtId="10" fontId="15" fillId="0" borderId="3" xfId="0" applyNumberFormat="1" applyFont="1" applyBorder="1" applyAlignment="1">
      <alignment horizontal="center" vertical="center"/>
    </xf>
    <xf numFmtId="10" fontId="15" fillId="0" borderId="7" xfId="0" applyNumberFormat="1" applyFont="1" applyBorder="1" applyAlignment="1">
      <alignment horizontal="center" vertical="center"/>
    </xf>
    <xf numFmtId="10" fontId="15" fillId="0" borderId="5" xfId="0" applyNumberFormat="1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left" vertical="center" wrapText="1" shrinkToFit="1"/>
    </xf>
    <xf numFmtId="0" fontId="4" fillId="3" borderId="20" xfId="0" applyFont="1" applyFill="1" applyBorder="1" applyAlignment="1">
      <alignment vertical="center" wrapText="1" shrinkToFit="1"/>
    </xf>
    <xf numFmtId="0" fontId="4" fillId="3" borderId="43" xfId="0" applyFont="1" applyFill="1" applyBorder="1" applyAlignment="1">
      <alignment vertical="center" wrapText="1" shrinkToFit="1"/>
    </xf>
    <xf numFmtId="177" fontId="15" fillId="5" borderId="49" xfId="0" applyNumberFormat="1" applyFont="1" applyFill="1" applyBorder="1" applyAlignment="1">
      <alignment horizontal="center" vertical="center"/>
    </xf>
    <xf numFmtId="10" fontId="15" fillId="0" borderId="49" xfId="0" applyNumberFormat="1" applyFont="1" applyBorder="1" applyAlignment="1">
      <alignment horizontal="center" vertical="center"/>
    </xf>
    <xf numFmtId="177" fontId="15" fillId="5" borderId="7" xfId="0" applyNumberFormat="1" applyFont="1" applyFill="1" applyBorder="1" applyAlignment="1">
      <alignment horizontal="center" vertical="center"/>
    </xf>
    <xf numFmtId="10" fontId="15" fillId="0" borderId="59" xfId="0" applyNumberFormat="1" applyFont="1" applyBorder="1" applyAlignment="1">
      <alignment horizontal="center" vertical="center"/>
    </xf>
    <xf numFmtId="10" fontId="13" fillId="3" borderId="0" xfId="2" applyNumberFormat="1" applyFont="1" applyFill="1" applyBorder="1" applyAlignment="1">
      <alignment vertical="center"/>
    </xf>
    <xf numFmtId="41" fontId="15" fillId="0" borderId="52" xfId="1" applyFont="1" applyFill="1" applyBorder="1" applyAlignment="1">
      <alignment vertical="center" wrapText="1" shrinkToFit="1"/>
    </xf>
    <xf numFmtId="41" fontId="15" fillId="0" borderId="3" xfId="1" applyFont="1" applyFill="1" applyBorder="1" applyAlignment="1">
      <alignment vertical="center" wrapText="1" shrinkToFit="1"/>
    </xf>
    <xf numFmtId="0" fontId="10" fillId="3" borderId="2" xfId="0" applyFont="1" applyFill="1" applyBorder="1" applyAlignment="1">
      <alignment horizontal="center" vertical="center" wrapText="1" shrinkToFit="1"/>
    </xf>
    <xf numFmtId="0" fontId="15" fillId="2" borderId="10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0" fontId="15" fillId="0" borderId="49" xfId="0" applyNumberFormat="1" applyFont="1" applyFill="1" applyBorder="1" applyAlignment="1">
      <alignment horizontal="center" vertical="center"/>
    </xf>
    <xf numFmtId="41" fontId="15" fillId="0" borderId="3" xfId="4" applyFont="1" applyFill="1" applyBorder="1" applyAlignment="1">
      <alignment vertical="center" wrapText="1" shrinkToFit="1"/>
    </xf>
    <xf numFmtId="0" fontId="22" fillId="13" borderId="6" xfId="0" applyFont="1" applyFill="1" applyBorder="1" applyAlignment="1">
      <alignment horizontal="left" vertical="center" wrapText="1" shrinkToFit="1"/>
    </xf>
    <xf numFmtId="0" fontId="22" fillId="13" borderId="5" xfId="0" applyFont="1" applyFill="1" applyBorder="1" applyAlignment="1">
      <alignment vertical="center" wrapText="1" shrinkToFit="1"/>
    </xf>
    <xf numFmtId="177" fontId="22" fillId="13" borderId="7" xfId="0" applyNumberFormat="1" applyFont="1" applyFill="1" applyBorder="1" applyAlignment="1">
      <alignment horizontal="center" vertical="center"/>
    </xf>
    <xf numFmtId="183" fontId="22" fillId="13" borderId="53" xfId="5" applyNumberFormat="1" applyFont="1" applyFill="1" applyBorder="1" applyProtection="1">
      <alignment vertical="center"/>
    </xf>
    <xf numFmtId="183" fontId="22" fillId="13" borderId="44" xfId="5" applyNumberFormat="1" applyFont="1" applyFill="1" applyBorder="1" applyProtection="1">
      <alignment vertical="center"/>
    </xf>
    <xf numFmtId="182" fontId="22" fillId="13" borderId="45" xfId="5" applyFont="1" applyFill="1" applyBorder="1" applyAlignment="1" applyProtection="1">
      <alignment vertical="center" wrapText="1" shrinkToFit="1"/>
    </xf>
    <xf numFmtId="41" fontId="22" fillId="13" borderId="53" xfId="1" applyFont="1" applyFill="1" applyBorder="1" applyAlignment="1">
      <alignment vertical="center" wrapText="1" shrinkToFit="1"/>
    </xf>
    <xf numFmtId="178" fontId="17" fillId="13" borderId="5" xfId="3" applyNumberFormat="1" applyFont="1" applyFill="1" applyBorder="1">
      <alignment vertical="center"/>
    </xf>
    <xf numFmtId="176" fontId="22" fillId="13" borderId="10" xfId="3" applyFont="1" applyFill="1" applyBorder="1">
      <alignment vertical="center"/>
    </xf>
    <xf numFmtId="0" fontId="22" fillId="13" borderId="5" xfId="0" applyFont="1" applyFill="1" applyBorder="1" applyAlignment="1">
      <alignment horizontal="left" vertical="center" wrapText="1"/>
    </xf>
    <xf numFmtId="183" fontId="22" fillId="13" borderId="56" xfId="5" applyNumberFormat="1" applyFont="1" applyFill="1" applyBorder="1" applyProtection="1">
      <alignment vertical="center"/>
    </xf>
    <xf numFmtId="183" fontId="15" fillId="10" borderId="43" xfId="5" applyNumberFormat="1" applyFont="1" applyFill="1" applyBorder="1" applyProtection="1">
      <alignment vertical="center"/>
    </xf>
    <xf numFmtId="0" fontId="15" fillId="0" borderId="5" xfId="0" applyFont="1" applyFill="1" applyBorder="1" applyAlignment="1">
      <alignment vertical="center" wrapText="1" shrinkToFit="1"/>
    </xf>
    <xf numFmtId="41" fontId="22" fillId="13" borderId="5" xfId="1" applyFont="1" applyFill="1" applyBorder="1" applyAlignment="1">
      <alignment vertical="center" wrapText="1" shrinkToFit="1"/>
    </xf>
    <xf numFmtId="177" fontId="18" fillId="13" borderId="7" xfId="0" applyNumberFormat="1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vertical="center" wrapText="1" shrinkToFit="1"/>
    </xf>
    <xf numFmtId="10" fontId="22" fillId="13" borderId="49" xfId="0" applyNumberFormat="1" applyFont="1" applyFill="1" applyBorder="1" applyAlignment="1">
      <alignment horizontal="center" vertical="center"/>
    </xf>
    <xf numFmtId="177" fontId="22" fillId="13" borderId="49" xfId="0" applyNumberFormat="1" applyFont="1" applyFill="1" applyBorder="1" applyAlignment="1">
      <alignment horizontal="center" vertical="center"/>
    </xf>
    <xf numFmtId="183" fontId="22" fillId="13" borderId="5" xfId="5" applyNumberFormat="1" applyFont="1" applyFill="1" applyBorder="1" applyProtection="1">
      <alignment vertical="center"/>
    </xf>
    <xf numFmtId="182" fontId="22" fillId="13" borderId="5" xfId="5" applyFont="1" applyFill="1" applyBorder="1" applyAlignment="1" applyProtection="1">
      <alignment vertical="center" wrapText="1" shrinkToFit="1"/>
    </xf>
    <xf numFmtId="0" fontId="22" fillId="13" borderId="10" xfId="0" applyFont="1" applyFill="1" applyBorder="1">
      <alignment vertical="center"/>
    </xf>
    <xf numFmtId="177" fontId="22" fillId="13" borderId="3" xfId="0" applyNumberFormat="1" applyFont="1" applyFill="1" applyBorder="1" applyAlignment="1">
      <alignment horizontal="center" vertical="center"/>
    </xf>
    <xf numFmtId="10" fontId="22" fillId="13" borderId="3" xfId="0" applyNumberFormat="1" applyFont="1" applyFill="1" applyBorder="1" applyAlignment="1">
      <alignment horizontal="center" vertical="center"/>
    </xf>
    <xf numFmtId="178" fontId="22" fillId="13" borderId="44" xfId="3" applyNumberFormat="1" applyFont="1" applyFill="1" applyBorder="1">
      <alignment vertical="center"/>
    </xf>
    <xf numFmtId="178" fontId="22" fillId="13" borderId="55" xfId="4" applyNumberFormat="1" applyFont="1" applyFill="1" applyBorder="1">
      <alignment vertical="center"/>
    </xf>
    <xf numFmtId="41" fontId="22" fillId="13" borderId="5" xfId="4" applyFont="1" applyFill="1" applyBorder="1" applyAlignment="1">
      <alignment vertical="center" wrapText="1" shrinkToFit="1"/>
    </xf>
    <xf numFmtId="177" fontId="22" fillId="13" borderId="5" xfId="0" applyNumberFormat="1" applyFont="1" applyFill="1" applyBorder="1" applyAlignment="1">
      <alignment horizontal="center" vertical="center"/>
    </xf>
    <xf numFmtId="176" fontId="22" fillId="13" borderId="2" xfId="3" applyFont="1" applyFill="1" applyBorder="1" applyAlignment="1">
      <alignment vertical="center" wrapText="1" shrinkToFit="1"/>
    </xf>
    <xf numFmtId="10" fontId="22" fillId="5" borderId="49" xfId="0" applyNumberFormat="1" applyFont="1" applyFill="1" applyBorder="1" applyAlignment="1">
      <alignment horizontal="center" vertical="center"/>
    </xf>
    <xf numFmtId="177" fontId="22" fillId="5" borderId="5" xfId="0" applyNumberFormat="1" applyFont="1" applyFill="1" applyBorder="1" applyAlignment="1">
      <alignment horizontal="center" vertical="center"/>
    </xf>
    <xf numFmtId="178" fontId="22" fillId="13" borderId="55" xfId="1" applyNumberFormat="1" applyFont="1" applyFill="1" applyBorder="1">
      <alignment vertical="center"/>
    </xf>
    <xf numFmtId="41" fontId="22" fillId="13" borderId="2" xfId="1" applyFont="1" applyFill="1" applyBorder="1" applyAlignment="1">
      <alignment vertical="center" wrapText="1" shrinkToFit="1"/>
    </xf>
    <xf numFmtId="181" fontId="23" fillId="13" borderId="2" xfId="0" applyNumberFormat="1" applyFont="1" applyFill="1" applyBorder="1">
      <alignment vertical="center"/>
    </xf>
    <xf numFmtId="183" fontId="10" fillId="4" borderId="47" xfId="5" applyNumberFormat="1" applyFont="1" applyFill="1" applyBorder="1" applyProtection="1">
      <alignment vertical="center"/>
    </xf>
    <xf numFmtId="178" fontId="22" fillId="13" borderId="5" xfId="1" applyNumberFormat="1" applyFont="1" applyFill="1" applyBorder="1">
      <alignment vertical="center"/>
    </xf>
    <xf numFmtId="177" fontId="15" fillId="0" borderId="3" xfId="0" applyNumberFormat="1" applyFont="1" applyFill="1" applyBorder="1" applyAlignment="1">
      <alignment horizontal="center" vertical="center"/>
    </xf>
    <xf numFmtId="177" fontId="15" fillId="0" borderId="5" xfId="0" applyNumberFormat="1" applyFont="1" applyFill="1" applyBorder="1" applyAlignment="1">
      <alignment horizontal="center" vertical="center"/>
    </xf>
    <xf numFmtId="41" fontId="22" fillId="13" borderId="2" xfId="4" applyFont="1" applyFill="1" applyBorder="1" applyAlignment="1">
      <alignment horizontal="left" vertical="center" wrapText="1" shrinkToFit="1"/>
    </xf>
    <xf numFmtId="10" fontId="15" fillId="0" borderId="5" xfId="0" applyNumberFormat="1" applyFont="1" applyFill="1" applyBorder="1" applyAlignment="1">
      <alignment horizontal="center" vertical="center"/>
    </xf>
    <xf numFmtId="41" fontId="22" fillId="13" borderId="2" xfId="4" applyFont="1" applyFill="1" applyBorder="1" applyAlignment="1">
      <alignment vertical="center" wrapText="1" shrinkToFit="1"/>
    </xf>
    <xf numFmtId="0" fontId="22" fillId="4" borderId="5" xfId="0" applyFont="1" applyFill="1" applyBorder="1" applyAlignment="1">
      <alignment horizontal="left" vertical="center" wrapText="1" shrinkToFit="1"/>
    </xf>
    <xf numFmtId="10" fontId="22" fillId="13" borderId="5" xfId="0" applyNumberFormat="1" applyFont="1" applyFill="1" applyBorder="1" applyAlignment="1">
      <alignment horizontal="center" vertical="center"/>
    </xf>
    <xf numFmtId="178" fontId="22" fillId="13" borderId="5" xfId="3" applyNumberFormat="1" applyFont="1" applyFill="1" applyBorder="1">
      <alignment vertical="center"/>
    </xf>
    <xf numFmtId="10" fontId="18" fillId="13" borderId="5" xfId="0" applyNumberFormat="1" applyFont="1" applyFill="1" applyBorder="1" applyAlignment="1">
      <alignment horizontal="center" vertical="center"/>
    </xf>
    <xf numFmtId="0" fontId="22" fillId="13" borderId="5" xfId="0" applyFont="1" applyFill="1" applyBorder="1" applyAlignment="1">
      <alignment horizontal="left" vertical="center" wrapText="1" shrinkToFit="1"/>
    </xf>
    <xf numFmtId="0" fontId="22" fillId="0" borderId="5" xfId="0" applyFont="1" applyFill="1" applyBorder="1" applyAlignment="1">
      <alignment vertical="center" wrapText="1" shrinkToFit="1"/>
    </xf>
    <xf numFmtId="41" fontId="22" fillId="13" borderId="44" xfId="4" applyFont="1" applyFill="1" applyBorder="1" applyAlignment="1">
      <alignment vertical="center" wrapText="1" shrinkToFit="1"/>
    </xf>
    <xf numFmtId="0" fontId="22" fillId="4" borderId="2" xfId="0" applyFont="1" applyFill="1" applyBorder="1" applyAlignment="1">
      <alignment horizontal="left" vertical="center" wrapText="1" shrinkToFit="1"/>
    </xf>
    <xf numFmtId="182" fontId="22" fillId="13" borderId="2" xfId="5" applyFont="1" applyFill="1" applyBorder="1" applyAlignment="1" applyProtection="1">
      <alignment vertical="center" wrapText="1" shrinkToFit="1"/>
    </xf>
    <xf numFmtId="180" fontId="22" fillId="13" borderId="2" xfId="2" applyNumberFormat="1" applyFont="1" applyFill="1" applyBorder="1">
      <alignment vertical="center"/>
    </xf>
    <xf numFmtId="178" fontId="22" fillId="13" borderId="5" xfId="4" applyNumberFormat="1" applyFont="1" applyFill="1" applyBorder="1">
      <alignment vertical="center"/>
    </xf>
    <xf numFmtId="41" fontId="22" fillId="13" borderId="5" xfId="4" applyFont="1" applyFill="1" applyBorder="1" applyAlignment="1">
      <alignment horizontal="left" vertical="center" wrapText="1" shrinkToFit="1"/>
    </xf>
    <xf numFmtId="183" fontId="22" fillId="13" borderId="2" xfId="5" applyNumberFormat="1" applyFont="1" applyFill="1" applyBorder="1" applyProtection="1">
      <alignment vertical="center"/>
    </xf>
    <xf numFmtId="177" fontId="22" fillId="0" borderId="5" xfId="0" applyNumberFormat="1" applyFont="1" applyFill="1" applyBorder="1" applyAlignment="1">
      <alignment horizontal="center" vertical="center"/>
    </xf>
    <xf numFmtId="0" fontId="22" fillId="13" borderId="2" xfId="0" applyFont="1" applyFill="1" applyBorder="1" applyAlignment="1">
      <alignment horizontal="left" vertical="center" wrapText="1" shrinkToFit="1"/>
    </xf>
    <xf numFmtId="177" fontId="22" fillId="13" borderId="45" xfId="0" applyNumberFormat="1" applyFont="1" applyFill="1" applyBorder="1" applyAlignment="1">
      <alignment horizontal="center" vertical="center"/>
    </xf>
    <xf numFmtId="41" fontId="22" fillId="13" borderId="3" xfId="4" applyFont="1" applyFill="1" applyBorder="1" applyAlignment="1">
      <alignment vertical="center" wrapText="1" shrinkToFit="1"/>
    </xf>
    <xf numFmtId="183" fontId="22" fillId="13" borderId="45" xfId="5" applyNumberFormat="1" applyFont="1" applyFill="1" applyBorder="1" applyProtection="1">
      <alignment vertical="center"/>
    </xf>
    <xf numFmtId="177" fontId="22" fillId="13" borderId="52" xfId="0" applyNumberFormat="1" applyFont="1" applyFill="1" applyBorder="1" applyAlignment="1">
      <alignment horizontal="center" vertical="center"/>
    </xf>
    <xf numFmtId="183" fontId="22" fillId="13" borderId="6" xfId="5" applyNumberFormat="1" applyFont="1" applyFill="1" applyBorder="1" applyProtection="1">
      <alignment vertical="center"/>
    </xf>
    <xf numFmtId="182" fontId="22" fillId="13" borderId="52" xfId="5" applyFont="1" applyFill="1" applyBorder="1" applyAlignment="1" applyProtection="1">
      <alignment vertical="center" wrapText="1" shrinkToFit="1"/>
    </xf>
    <xf numFmtId="3" fontId="22" fillId="13" borderId="2" xfId="0" applyNumberFormat="1" applyFont="1" applyFill="1" applyBorder="1" applyAlignment="1">
      <alignment horizontal="left" vertical="center" wrapText="1" shrinkToFit="1"/>
    </xf>
    <xf numFmtId="41" fontId="22" fillId="13" borderId="49" xfId="4" applyFont="1" applyFill="1" applyBorder="1" applyAlignment="1">
      <alignment vertical="center" wrapText="1" shrinkToFit="1"/>
    </xf>
    <xf numFmtId="183" fontId="22" fillId="13" borderId="49" xfId="5" applyNumberFormat="1" applyFont="1" applyFill="1" applyBorder="1" applyProtection="1">
      <alignment vertical="center"/>
    </xf>
    <xf numFmtId="180" fontId="22" fillId="13" borderId="5" xfId="2" applyNumberFormat="1" applyFont="1" applyFill="1" applyBorder="1">
      <alignment vertical="center"/>
    </xf>
    <xf numFmtId="0" fontId="4" fillId="3" borderId="63" xfId="0" applyFont="1" applyFill="1" applyBorder="1" applyAlignment="1">
      <alignment vertical="center" wrapText="1" shrinkToFit="1"/>
    </xf>
    <xf numFmtId="0" fontId="4" fillId="3" borderId="50" xfId="0" applyFont="1" applyFill="1" applyBorder="1" applyAlignment="1">
      <alignment vertical="center" wrapText="1" shrinkToFit="1"/>
    </xf>
    <xf numFmtId="177" fontId="22" fillId="13" borderId="2" xfId="0" applyNumberFormat="1" applyFont="1" applyFill="1" applyBorder="1" applyAlignment="1">
      <alignment horizontal="center" vertical="center"/>
    </xf>
    <xf numFmtId="176" fontId="22" fillId="13" borderId="5" xfId="3" applyFont="1" applyFill="1" applyBorder="1" applyAlignment="1">
      <alignment vertical="center" wrapText="1" shrinkToFit="1"/>
    </xf>
    <xf numFmtId="0" fontId="15" fillId="2" borderId="10" xfId="0" applyFont="1" applyFill="1" applyBorder="1" applyAlignment="1">
      <alignment horizontal="center" vertical="center" wrapText="1"/>
    </xf>
    <xf numFmtId="182" fontId="22" fillId="13" borderId="3" xfId="5" applyFont="1" applyFill="1" applyBorder="1" applyAlignment="1" applyProtection="1">
      <alignment vertical="center" wrapText="1" shrinkToFit="1"/>
    </xf>
    <xf numFmtId="178" fontId="22" fillId="13" borderId="45" xfId="4" applyNumberFormat="1" applyFont="1" applyFill="1" applyBorder="1">
      <alignment vertical="center"/>
    </xf>
    <xf numFmtId="178" fontId="22" fillId="13" borderId="44" xfId="4" applyNumberFormat="1" applyFont="1" applyFill="1" applyBorder="1">
      <alignment vertical="center"/>
    </xf>
    <xf numFmtId="0" fontId="15" fillId="3" borderId="5" xfId="0" applyFont="1" applyFill="1" applyBorder="1" applyAlignment="1">
      <alignment vertical="center" wrapText="1" shrinkToFit="1"/>
    </xf>
    <xf numFmtId="0" fontId="15" fillId="3" borderId="5" xfId="0" applyFont="1" applyFill="1" applyBorder="1" applyAlignment="1">
      <alignment horizontal="left" vertical="center" wrapText="1"/>
    </xf>
    <xf numFmtId="0" fontId="22" fillId="3" borderId="5" xfId="0" applyFont="1" applyFill="1" applyBorder="1" applyAlignment="1">
      <alignment horizontal="left" vertical="center" wrapText="1"/>
    </xf>
    <xf numFmtId="0" fontId="22" fillId="3" borderId="5" xfId="0" applyFont="1" applyFill="1" applyBorder="1" applyAlignment="1">
      <alignment vertical="center" wrapText="1" shrinkToFit="1"/>
    </xf>
    <xf numFmtId="0" fontId="18" fillId="3" borderId="5" xfId="0" applyFont="1" applyFill="1" applyBorder="1" applyAlignment="1">
      <alignment horizontal="left" vertical="center" wrapText="1" shrinkToFit="1"/>
    </xf>
    <xf numFmtId="0" fontId="22" fillId="3" borderId="2" xfId="0" applyFont="1" applyFill="1" applyBorder="1" applyAlignment="1">
      <alignment horizontal="left" vertical="center" wrapText="1" shrinkToFit="1"/>
    </xf>
    <xf numFmtId="0" fontId="22" fillId="3" borderId="6" xfId="0" applyFont="1" applyFill="1" applyBorder="1" applyAlignment="1">
      <alignment horizontal="left" vertical="center" wrapText="1" shrinkToFit="1"/>
    </xf>
    <xf numFmtId="0" fontId="22" fillId="3" borderId="5" xfId="0" applyFont="1" applyFill="1" applyBorder="1" applyAlignment="1">
      <alignment horizontal="left" vertical="center" wrapText="1" shrinkToFit="1"/>
    </xf>
    <xf numFmtId="0" fontId="18" fillId="3" borderId="2" xfId="0" applyFont="1" applyFill="1" applyBorder="1" applyAlignment="1">
      <alignment horizontal="left" vertical="center" wrapText="1" shrinkToFit="1"/>
    </xf>
    <xf numFmtId="0" fontId="15" fillId="3" borderId="0" xfId="0" applyFont="1" applyFill="1">
      <alignment vertical="center"/>
    </xf>
    <xf numFmtId="0" fontId="10" fillId="3" borderId="2" xfId="0" applyFont="1" applyFill="1" applyBorder="1" applyAlignment="1">
      <alignment horizontal="center" vertical="center" wrapText="1" shrinkToFit="1"/>
    </xf>
    <xf numFmtId="0" fontId="10" fillId="3" borderId="45" xfId="0" applyFont="1" applyFill="1" applyBorder="1" applyAlignment="1">
      <alignment horizontal="center" vertical="center" wrapText="1" shrinkToFit="1"/>
    </xf>
    <xf numFmtId="0" fontId="10" fillId="3" borderId="51" xfId="0" applyFont="1" applyFill="1" applyBorder="1" applyAlignment="1">
      <alignment horizontal="center" vertical="center" wrapText="1" shrinkToFit="1"/>
    </xf>
    <xf numFmtId="176" fontId="9" fillId="2" borderId="10" xfId="3" applyFont="1" applyFill="1" applyBorder="1" applyAlignment="1">
      <alignment horizontal="center" vertical="center"/>
    </xf>
    <xf numFmtId="182" fontId="4" fillId="8" borderId="1" xfId="5" applyFont="1" applyFill="1" applyBorder="1" applyAlignment="1" applyProtection="1">
      <alignment horizontal="center" vertical="center"/>
    </xf>
    <xf numFmtId="176" fontId="4" fillId="2" borderId="1" xfId="3" applyFont="1" applyFill="1" applyBorder="1" applyAlignment="1">
      <alignment horizontal="center" vertical="center"/>
    </xf>
    <xf numFmtId="176" fontId="4" fillId="2" borderId="12" xfId="3" applyFont="1" applyFill="1" applyBorder="1" applyAlignment="1">
      <alignment horizontal="center" vertical="center"/>
    </xf>
    <xf numFmtId="22" fontId="11" fillId="2" borderId="0" xfId="3" applyNumberFormat="1" applyFont="1" applyFill="1" applyBorder="1" applyAlignment="1">
      <alignment horizontal="center" vertical="center"/>
    </xf>
    <xf numFmtId="182" fontId="15" fillId="8" borderId="5" xfId="5" applyFont="1" applyFill="1" applyBorder="1" applyAlignment="1" applyProtection="1">
      <alignment horizontal="center" vertical="center"/>
    </xf>
    <xf numFmtId="176" fontId="15" fillId="2" borderId="14" xfId="0" applyNumberFormat="1" applyFont="1" applyFill="1" applyBorder="1" applyAlignment="1">
      <alignment horizontal="center" vertical="center"/>
    </xf>
    <xf numFmtId="176" fontId="15" fillId="2" borderId="15" xfId="0" applyNumberFormat="1" applyFont="1" applyFill="1" applyBorder="1" applyAlignment="1">
      <alignment horizontal="center" vertical="center"/>
    </xf>
    <xf numFmtId="10" fontId="9" fillId="4" borderId="12" xfId="2" applyNumberFormat="1" applyFont="1" applyFill="1" applyBorder="1" applyAlignment="1">
      <alignment horizontal="center" vertical="center"/>
    </xf>
    <xf numFmtId="10" fontId="9" fillId="4" borderId="13" xfId="2" applyNumberFormat="1" applyFont="1" applyFill="1" applyBorder="1" applyAlignment="1">
      <alignment horizontal="center" vertical="center"/>
    </xf>
    <xf numFmtId="10" fontId="13" fillId="3" borderId="38" xfId="2" applyNumberFormat="1" applyFont="1" applyFill="1" applyBorder="1" applyAlignment="1">
      <alignment horizontal="center" vertical="center" wrapText="1"/>
    </xf>
    <xf numFmtId="182" fontId="4" fillId="8" borderId="1" xfId="5" applyFont="1" applyFill="1" applyBorder="1" applyAlignment="1" applyProtection="1">
      <alignment horizontal="center" vertical="center" wrapText="1"/>
    </xf>
    <xf numFmtId="176" fontId="4" fillId="2" borderId="2" xfId="3" applyFont="1" applyFill="1" applyBorder="1" applyAlignment="1">
      <alignment horizontal="center" vertical="center" wrapText="1"/>
    </xf>
    <xf numFmtId="176" fontId="4" fillId="2" borderId="3" xfId="3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76" fontId="10" fillId="2" borderId="10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36" xfId="0" applyFont="1" applyFill="1" applyBorder="1" applyAlignment="1">
      <alignment horizontal="center" vertical="center" wrapText="1"/>
    </xf>
    <xf numFmtId="0" fontId="15" fillId="5" borderId="20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5" fillId="2" borderId="40" xfId="0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6" borderId="24" xfId="0" applyFont="1" applyFill="1" applyBorder="1" applyAlignment="1">
      <alignment horizontal="center" vertical="center" wrapText="1"/>
    </xf>
    <xf numFmtId="0" fontId="15" fillId="6" borderId="39" xfId="0" applyFont="1" applyFill="1" applyBorder="1" applyAlignment="1">
      <alignment horizontal="center" vertical="center" wrapText="1"/>
    </xf>
    <xf numFmtId="0" fontId="15" fillId="6" borderId="25" xfId="0" applyFont="1" applyFill="1" applyBorder="1" applyAlignment="1">
      <alignment horizontal="center" vertical="center" wrapText="1"/>
    </xf>
    <xf numFmtId="0" fontId="15" fillId="6" borderId="41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42" xfId="0" applyFont="1" applyFill="1" applyBorder="1" applyAlignment="1">
      <alignment horizontal="center" vertical="center" wrapText="1"/>
    </xf>
    <xf numFmtId="0" fontId="10" fillId="3" borderId="62" xfId="0" applyFont="1" applyFill="1" applyBorder="1" applyAlignment="1">
      <alignment horizontal="center" vertical="center" wrapText="1" shrinkToFit="1"/>
    </xf>
    <xf numFmtId="0" fontId="10" fillId="3" borderId="46" xfId="0" applyFont="1" applyFill="1" applyBorder="1" applyAlignment="1">
      <alignment horizontal="center" vertical="center" wrapText="1" shrinkToFit="1"/>
    </xf>
    <xf numFmtId="22" fontId="11" fillId="2" borderId="0" xfId="3" applyNumberFormat="1" applyFont="1" applyFill="1" applyBorder="1" applyAlignment="1">
      <alignment horizontal="center" vertical="center" wrapText="1"/>
    </xf>
    <xf numFmtId="10" fontId="24" fillId="3" borderId="38" xfId="2" applyNumberFormat="1" applyFont="1" applyFill="1" applyBorder="1" applyAlignment="1">
      <alignment horizontal="left" vertical="center"/>
    </xf>
  </cellXfs>
  <cellStyles count="6">
    <cellStyle name="Excel Built-in Comma [0]" xfId="5"/>
    <cellStyle name="백분율" xfId="2" builtinId="5"/>
    <cellStyle name="쉼표 [0]" xfId="1" builtinId="6"/>
    <cellStyle name="쉼표 [0] 2" xfId="4"/>
    <cellStyle name="쉼표 [0] 3" xf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48"/>
  <sheetViews>
    <sheetView topLeftCell="A16" zoomScale="86" zoomScaleNormal="86" workbookViewId="0">
      <selection activeCell="C25" sqref="C25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8.77734375" style="102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103" hidden="1" customWidth="1"/>
    <col min="23" max="27" width="8.33203125" style="1" customWidth="1"/>
    <col min="28" max="28" width="7.6640625" style="1" customWidth="1"/>
    <col min="29" max="29" width="7.6640625" style="103" hidden="1" customWidth="1"/>
    <col min="30" max="31" width="7.6640625" style="103" customWidth="1"/>
    <col min="32" max="33" width="6.109375" style="1" customWidth="1"/>
    <col min="34" max="34" width="7.6640625" style="1" customWidth="1"/>
    <col min="35" max="37" width="4.5546875" style="1" customWidth="1"/>
    <col min="38" max="38" width="6.7773437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58</v>
      </c>
      <c r="D1" s="366">
        <v>8053625000</v>
      </c>
      <c r="E1" s="366"/>
      <c r="F1" s="4"/>
      <c r="G1" s="5"/>
      <c r="H1" s="6" t="s">
        <v>57</v>
      </c>
      <c r="I1" s="367">
        <v>9211623000</v>
      </c>
      <c r="J1" s="368"/>
      <c r="K1" s="7" t="s">
        <v>117</v>
      </c>
      <c r="L1" s="178"/>
      <c r="M1" s="178"/>
      <c r="N1" s="8"/>
      <c r="O1" s="8"/>
      <c r="P1" s="8"/>
      <c r="Q1" s="8"/>
      <c r="R1" s="8"/>
      <c r="S1" s="8"/>
      <c r="T1" s="8"/>
      <c r="U1" s="8"/>
      <c r="V1" s="8"/>
      <c r="W1" s="369" t="s">
        <v>56</v>
      </c>
      <c r="X1" s="369"/>
      <c r="Y1" s="370" t="s">
        <v>55</v>
      </c>
      <c r="Z1" s="371"/>
      <c r="AA1" s="372" t="s">
        <v>0</v>
      </c>
      <c r="AB1" s="373"/>
      <c r="AC1" s="11"/>
      <c r="AD1" s="11"/>
      <c r="AE1" s="374" t="s">
        <v>54</v>
      </c>
      <c r="AF1" s="375"/>
      <c r="AG1" s="355">
        <v>8053625000</v>
      </c>
      <c r="AH1" s="355"/>
      <c r="AI1" s="355"/>
      <c r="AJ1" s="355"/>
      <c r="AK1" s="9" t="s">
        <v>53</v>
      </c>
      <c r="AL1" s="10"/>
      <c r="AM1" s="10"/>
      <c r="AN1" s="8"/>
      <c r="AQ1" s="104"/>
    </row>
    <row r="2" spans="1:52" s="19" customFormat="1" ht="29.25" customHeight="1" thickBot="1" x14ac:dyDescent="0.2">
      <c r="A2" s="11"/>
      <c r="B2" s="12"/>
      <c r="C2" s="13" t="s">
        <v>52</v>
      </c>
      <c r="D2" s="356">
        <v>8203127000</v>
      </c>
      <c r="E2" s="356"/>
      <c r="F2" s="14"/>
      <c r="G2" s="15"/>
      <c r="H2" s="3" t="s">
        <v>51</v>
      </c>
      <c r="I2" s="357">
        <f>D2*2</f>
        <v>16406254000</v>
      </c>
      <c r="J2" s="358"/>
      <c r="K2" s="16" t="s">
        <v>50</v>
      </c>
      <c r="L2" s="177" t="s">
        <v>49</v>
      </c>
      <c r="M2" s="359">
        <v>45889.625</v>
      </c>
      <c r="N2" s="359"/>
      <c r="O2" s="359"/>
      <c r="P2" s="359"/>
      <c r="Q2" s="176" t="s">
        <v>60</v>
      </c>
      <c r="R2" s="176"/>
      <c r="S2" s="176"/>
      <c r="T2" s="17"/>
      <c r="U2" s="175"/>
      <c r="V2" s="175"/>
      <c r="W2" s="360">
        <v>2957695000</v>
      </c>
      <c r="X2" s="360"/>
      <c r="Y2" s="361">
        <f>I1</f>
        <v>9211623000</v>
      </c>
      <c r="Z2" s="362"/>
      <c r="AA2" s="363">
        <f>TRUNC(W2/Y2,4)</f>
        <v>0.32100000000000001</v>
      </c>
      <c r="AB2" s="364"/>
      <c r="AC2" s="18"/>
      <c r="AD2" s="143"/>
      <c r="AE2" s="365"/>
      <c r="AF2" s="365"/>
      <c r="AG2" s="365"/>
      <c r="AH2" s="365"/>
      <c r="AI2" s="365"/>
      <c r="AJ2" s="365"/>
      <c r="AK2" s="365"/>
      <c r="AL2" s="365"/>
      <c r="AM2" s="145"/>
      <c r="AN2" s="104" t="s">
        <v>61</v>
      </c>
      <c r="AO2" s="20"/>
      <c r="AP2" s="104"/>
      <c r="AQ2" s="104"/>
      <c r="AR2" s="104"/>
      <c r="AS2" s="1"/>
      <c r="AT2" s="21" t="s">
        <v>48</v>
      </c>
      <c r="AU2" s="377">
        <f>AG1</f>
        <v>8053625000</v>
      </c>
      <c r="AV2" s="378"/>
      <c r="AY2" s="22"/>
    </row>
    <row r="3" spans="1:52" s="23" customFormat="1" ht="24.95" customHeight="1" thickBot="1" x14ac:dyDescent="0.2">
      <c r="A3" s="379" t="s">
        <v>47</v>
      </c>
      <c r="B3" s="381" t="s">
        <v>46</v>
      </c>
      <c r="C3" s="383" t="s">
        <v>45</v>
      </c>
      <c r="D3" s="384"/>
      <c r="E3" s="384"/>
      <c r="F3" s="384"/>
      <c r="G3" s="384"/>
      <c r="H3" s="385"/>
      <c r="I3" s="383" t="s">
        <v>19</v>
      </c>
      <c r="J3" s="384"/>
      <c r="K3" s="384"/>
      <c r="L3" s="384"/>
      <c r="M3" s="385"/>
      <c r="N3" s="386" t="s">
        <v>18</v>
      </c>
      <c r="O3" s="388" t="s">
        <v>17</v>
      </c>
      <c r="P3" s="383" t="s">
        <v>44</v>
      </c>
      <c r="Q3" s="384"/>
      <c r="R3" s="390"/>
      <c r="S3" s="390"/>
      <c r="T3" s="384"/>
      <c r="U3" s="385"/>
      <c r="V3" s="184"/>
      <c r="W3" s="383" t="s">
        <v>4</v>
      </c>
      <c r="X3" s="384"/>
      <c r="Y3" s="384"/>
      <c r="Z3" s="384"/>
      <c r="AA3" s="384"/>
      <c r="AB3" s="384"/>
      <c r="AC3" s="384"/>
      <c r="AD3" s="384"/>
      <c r="AE3" s="385"/>
      <c r="AF3" s="383"/>
      <c r="AG3" s="384"/>
      <c r="AH3" s="384"/>
      <c r="AI3" s="384"/>
      <c r="AJ3" s="384"/>
      <c r="AK3" s="384"/>
      <c r="AL3" s="384"/>
      <c r="AM3" s="385"/>
      <c r="AN3" s="391" t="s">
        <v>43</v>
      </c>
      <c r="AO3" s="393" t="s">
        <v>42</v>
      </c>
      <c r="AP3" s="395" t="s">
        <v>41</v>
      </c>
      <c r="AQ3" s="397" t="s">
        <v>16</v>
      </c>
      <c r="AR3" s="399" t="s">
        <v>40</v>
      </c>
      <c r="AS3" s="376" t="s">
        <v>39</v>
      </c>
      <c r="AT3" s="393" t="s">
        <v>38</v>
      </c>
      <c r="AU3" s="376" t="s">
        <v>15</v>
      </c>
      <c r="AV3" s="376" t="s">
        <v>37</v>
      </c>
      <c r="AW3" s="376" t="s">
        <v>36</v>
      </c>
      <c r="AX3" s="400" t="s">
        <v>14</v>
      </c>
      <c r="AY3" s="376" t="s">
        <v>13</v>
      </c>
      <c r="AZ3" s="376" t="s">
        <v>12</v>
      </c>
    </row>
    <row r="4" spans="1:52" s="23" customFormat="1" ht="39.75" customHeight="1" thickBot="1" x14ac:dyDescent="0.2">
      <c r="A4" s="380"/>
      <c r="B4" s="382"/>
      <c r="C4" s="24" t="s">
        <v>32</v>
      </c>
      <c r="D4" s="25" t="s">
        <v>31</v>
      </c>
      <c r="E4" s="26" t="s">
        <v>9</v>
      </c>
      <c r="F4" s="26" t="s">
        <v>8</v>
      </c>
      <c r="G4" s="27" t="s">
        <v>10</v>
      </c>
      <c r="H4" s="184" t="s">
        <v>35</v>
      </c>
      <c r="I4" s="28" t="s">
        <v>32</v>
      </c>
      <c r="J4" s="29" t="s">
        <v>31</v>
      </c>
      <c r="K4" s="25" t="s">
        <v>9</v>
      </c>
      <c r="L4" s="25" t="s">
        <v>8</v>
      </c>
      <c r="M4" s="30" t="s">
        <v>7</v>
      </c>
      <c r="N4" s="387"/>
      <c r="O4" s="389"/>
      <c r="P4" s="28" t="s">
        <v>32</v>
      </c>
      <c r="Q4" s="29" t="s">
        <v>31</v>
      </c>
      <c r="R4" s="25" t="s">
        <v>9</v>
      </c>
      <c r="S4" s="25" t="s">
        <v>11</v>
      </c>
      <c r="T4" s="30" t="s">
        <v>7</v>
      </c>
      <c r="U4" s="31" t="s">
        <v>34</v>
      </c>
      <c r="V4" s="32" t="s">
        <v>33</v>
      </c>
      <c r="W4" s="33" t="s">
        <v>32</v>
      </c>
      <c r="X4" s="29" t="s">
        <v>31</v>
      </c>
      <c r="Y4" s="29" t="s">
        <v>30</v>
      </c>
      <c r="Z4" s="29" t="s">
        <v>11</v>
      </c>
      <c r="AA4" s="30" t="s">
        <v>10</v>
      </c>
      <c r="AB4" s="34" t="s">
        <v>29</v>
      </c>
      <c r="AC4" s="35" t="s">
        <v>28</v>
      </c>
      <c r="AD4" s="36" t="s">
        <v>27</v>
      </c>
      <c r="AE4" s="36" t="s">
        <v>26</v>
      </c>
      <c r="AF4" s="37" t="s">
        <v>25</v>
      </c>
      <c r="AG4" s="37" t="s">
        <v>24</v>
      </c>
      <c r="AH4" s="38" t="s">
        <v>23</v>
      </c>
      <c r="AI4" s="38" t="s">
        <v>22</v>
      </c>
      <c r="AJ4" s="38" t="s">
        <v>21</v>
      </c>
      <c r="AK4" s="39" t="s">
        <v>6</v>
      </c>
      <c r="AL4" s="39"/>
      <c r="AM4" s="39" t="s">
        <v>5</v>
      </c>
      <c r="AN4" s="392"/>
      <c r="AO4" s="394"/>
      <c r="AP4" s="396"/>
      <c r="AQ4" s="398"/>
      <c r="AR4" s="399"/>
      <c r="AS4" s="376"/>
      <c r="AT4" s="394"/>
      <c r="AU4" s="376"/>
      <c r="AV4" s="376"/>
      <c r="AW4" s="376"/>
      <c r="AX4" s="401"/>
      <c r="AY4" s="376"/>
      <c r="AZ4" s="376"/>
    </row>
    <row r="5" spans="1:52" s="66" customFormat="1" ht="39.75" customHeight="1" thickBot="1" x14ac:dyDescent="0.2">
      <c r="A5" s="96">
        <v>1</v>
      </c>
      <c r="B5" s="91" t="s">
        <v>107</v>
      </c>
      <c r="C5" s="98" t="s">
        <v>62</v>
      </c>
      <c r="D5" s="134" t="s">
        <v>76</v>
      </c>
      <c r="E5" s="131"/>
      <c r="F5" s="110"/>
      <c r="G5" s="97"/>
      <c r="H5" s="158" t="s">
        <v>84</v>
      </c>
      <c r="I5" s="111">
        <v>0.7</v>
      </c>
      <c r="J5" s="183">
        <v>0.13919999999999999</v>
      </c>
      <c r="K5" s="174"/>
      <c r="L5" s="42"/>
      <c r="M5" s="68"/>
      <c r="N5" s="69">
        <f>SUM(I5:M5)</f>
        <v>0.83919999999999995</v>
      </c>
      <c r="O5" s="125">
        <v>1</v>
      </c>
      <c r="P5" s="173">
        <v>15</v>
      </c>
      <c r="Q5" s="113">
        <v>15</v>
      </c>
      <c r="R5" s="113"/>
      <c r="S5" s="120"/>
      <c r="T5" s="70"/>
      <c r="U5" s="71">
        <f>ROUND(((P5*I5)+(Q5*J5)+(R5*K5)+(S5*L5)+(T5*M5))*O5,2)</f>
        <v>12.59</v>
      </c>
      <c r="V5" s="72">
        <f>IF(U5&gt;=15,15,U5)</f>
        <v>12.59</v>
      </c>
      <c r="W5" s="116">
        <v>59183685000</v>
      </c>
      <c r="X5" s="136"/>
      <c r="Y5" s="116"/>
      <c r="Z5" s="119"/>
      <c r="AA5" s="74"/>
      <c r="AB5" s="75">
        <f>ROUND((((W5*I5)+(X5*J5)+(Y5*K5)+(Z5*L5)+(AA5*M5))/$I$2),2)*13</f>
        <v>32.89</v>
      </c>
      <c r="AC5" s="72">
        <f>IF(AB5&gt;=13,13,AB5)</f>
        <v>13</v>
      </c>
      <c r="AD5" s="149">
        <v>0</v>
      </c>
      <c r="AE5" s="71">
        <f>IF((AC5+AD5)&gt;=15,15,(AC5+AD5))</f>
        <v>13</v>
      </c>
      <c r="AF5" s="76">
        <f>1.5*I5</f>
        <v>1.0499999999999998</v>
      </c>
      <c r="AG5" s="54">
        <v>3.44</v>
      </c>
      <c r="AH5" s="77">
        <f>IF((V5+AE5+AF5)&gt;=30,30,(V5+AE5+AF5))</f>
        <v>26.64</v>
      </c>
      <c r="AI5" s="56">
        <v>10</v>
      </c>
      <c r="AJ5" s="56">
        <v>10</v>
      </c>
      <c r="AK5" s="56">
        <v>45</v>
      </c>
      <c r="AL5" s="57">
        <f>V5+AE5+AF5+AI5+AJ5+AK5+AG5</f>
        <v>95.08</v>
      </c>
      <c r="AM5" s="55">
        <f>IF(AH5+AI5+AJ5+AK5+AG5&gt;=95,95,AH5+AI5+AJ5+AK5+AG5)</f>
        <v>95</v>
      </c>
      <c r="AN5" s="78">
        <f>-((50-((176+(45+(50-AH5)))))/200)</f>
        <v>0.97180000000000011</v>
      </c>
      <c r="AO5" s="79"/>
      <c r="AP5" s="80">
        <f>100%+AO5</f>
        <v>1</v>
      </c>
      <c r="AQ5" s="80">
        <f>100%+AP5</f>
        <v>2</v>
      </c>
      <c r="AR5" s="61"/>
      <c r="AS5" s="62"/>
      <c r="AT5" s="81"/>
      <c r="AU5" s="81"/>
      <c r="AV5" s="81"/>
      <c r="AW5" s="81"/>
      <c r="AX5" s="82"/>
      <c r="AY5" s="83">
        <f>AT5+AU5+AV5+AW5+AX5</f>
        <v>0</v>
      </c>
      <c r="AZ5" s="83">
        <f>(AT5*I5)+(AU5*J5)+(AV5*K5)+(AW5*L5)+(AX5*M5)</f>
        <v>0</v>
      </c>
    </row>
    <row r="6" spans="1:52" s="66" customFormat="1" ht="21.95" customHeight="1" thickBot="1" x14ac:dyDescent="0.2">
      <c r="A6" s="96"/>
      <c r="B6" s="91"/>
      <c r="C6" s="352" t="s">
        <v>3</v>
      </c>
      <c r="D6" s="353"/>
      <c r="E6" s="353"/>
      <c r="F6" s="353"/>
      <c r="G6" s="354"/>
      <c r="H6" s="67"/>
      <c r="I6" s="84">
        <v>85</v>
      </c>
      <c r="J6" s="84">
        <v>85</v>
      </c>
      <c r="K6" s="84"/>
      <c r="L6" s="84"/>
      <c r="M6" s="84"/>
      <c r="N6" s="168">
        <f>I6*I5+J6*J5+K6*K5+L6*L5+M6*M5</f>
        <v>71.331999999999994</v>
      </c>
      <c r="O6" s="44"/>
      <c r="P6" s="45"/>
      <c r="Q6" s="46"/>
      <c r="R6" s="46"/>
      <c r="S6" s="47"/>
      <c r="T6" s="70"/>
      <c r="U6" s="71"/>
      <c r="V6" s="72"/>
      <c r="W6" s="150"/>
      <c r="X6" s="85"/>
      <c r="Y6" s="151"/>
      <c r="Z6" s="85"/>
      <c r="AA6" s="74"/>
      <c r="AB6" s="75"/>
      <c r="AC6" s="72"/>
      <c r="AD6" s="71"/>
      <c r="AE6" s="71"/>
      <c r="AF6" s="152"/>
      <c r="AG6" s="86"/>
      <c r="AH6" s="77"/>
      <c r="AI6" s="87"/>
      <c r="AJ6" s="46"/>
      <c r="AK6" s="77"/>
      <c r="AL6" s="78"/>
      <c r="AM6" s="79"/>
      <c r="AN6" s="80"/>
      <c r="AO6" s="80"/>
      <c r="AP6" s="61"/>
      <c r="AQ6" s="62"/>
      <c r="AR6" s="81"/>
      <c r="AS6" s="81"/>
      <c r="AT6" s="81"/>
      <c r="AU6" s="81"/>
      <c r="AV6" s="82"/>
      <c r="AW6" s="83"/>
      <c r="AX6" s="83"/>
      <c r="AZ6" s="66">
        <f t="shared" ref="AZ6" si="0">(AT6*I6)+(AU6*J6)+(AV6*K6)+(AW6*L6)+(AX6*M6)</f>
        <v>0</v>
      </c>
    </row>
    <row r="7" spans="1:52" s="66" customFormat="1" ht="39.75" customHeight="1" thickBot="1" x14ac:dyDescent="0.2">
      <c r="A7" s="96">
        <v>2</v>
      </c>
      <c r="B7" s="91" t="s">
        <v>107</v>
      </c>
      <c r="C7" s="131" t="s">
        <v>63</v>
      </c>
      <c r="D7" s="130" t="s">
        <v>69</v>
      </c>
      <c r="E7" s="133"/>
      <c r="F7" s="122"/>
      <c r="G7" s="97"/>
      <c r="H7" s="165" t="s">
        <v>85</v>
      </c>
      <c r="I7" s="111">
        <v>0.7</v>
      </c>
      <c r="J7" s="153">
        <v>0.16520000000000001</v>
      </c>
      <c r="K7" s="41"/>
      <c r="L7" s="42"/>
      <c r="M7" s="68"/>
      <c r="N7" s="69">
        <f>SUM(I7:M7)</f>
        <v>0.86519999999999997</v>
      </c>
      <c r="O7" s="125">
        <v>1</v>
      </c>
      <c r="P7" s="112">
        <v>15</v>
      </c>
      <c r="Q7" s="113">
        <v>15</v>
      </c>
      <c r="R7" s="113"/>
      <c r="S7" s="120"/>
      <c r="T7" s="70"/>
      <c r="U7" s="71">
        <f>ROUND(((P7*I7)+(Q7*J7)+(R7*K7)+(S7*L7)+(T7*M7))*O7,2)</f>
        <v>12.98</v>
      </c>
      <c r="V7" s="72">
        <f>IF(U7&gt;=15,15,U7)</f>
        <v>12.98</v>
      </c>
      <c r="W7" s="136">
        <v>57539030000</v>
      </c>
      <c r="X7" s="116">
        <v>1217056000</v>
      </c>
      <c r="Y7" s="136"/>
      <c r="Z7" s="136"/>
      <c r="AA7" s="74"/>
      <c r="AB7" s="75">
        <f>ROUND((((W7*I7)+(X7*J7)+(Y7*K7)+(Z7*L7)+(AA7*M7))/$I$2),2)*13</f>
        <v>32.11</v>
      </c>
      <c r="AC7" s="72">
        <f>IF(AB7&gt;=13,13,AB7)</f>
        <v>13</v>
      </c>
      <c r="AD7" s="149">
        <v>0</v>
      </c>
      <c r="AE7" s="71">
        <f>IF((AC7+AD7)&gt;=15,15,(AC7+AD7))</f>
        <v>13</v>
      </c>
      <c r="AF7" s="76">
        <f>1.5*I7</f>
        <v>1.0499999999999998</v>
      </c>
      <c r="AG7" s="54">
        <v>3.44</v>
      </c>
      <c r="AH7" s="77">
        <f>IF((V7+AE7+AF7)&gt;=30,30,(V7+AE7+AF7))</f>
        <v>27.03</v>
      </c>
      <c r="AI7" s="56">
        <v>10</v>
      </c>
      <c r="AJ7" s="56">
        <v>10</v>
      </c>
      <c r="AK7" s="56">
        <v>45</v>
      </c>
      <c r="AL7" s="57">
        <f>V7+AE7+AF7+AI7+AJ7+AK7+AG7</f>
        <v>95.47</v>
      </c>
      <c r="AM7" s="55">
        <f>IF(AH7+AI7+AJ7+AK7+AG7&gt;=95,95,AH7+AI7+AJ7+AK7+AG7)</f>
        <v>95</v>
      </c>
      <c r="AN7" s="78">
        <f>-((50-((176+(45+(50-AH7)))))/200)</f>
        <v>0.96984999999999999</v>
      </c>
      <c r="AO7" s="79"/>
      <c r="AP7" s="80">
        <f>100%+AO7</f>
        <v>1</v>
      </c>
      <c r="AQ7" s="80">
        <f>100%+AP7</f>
        <v>2</v>
      </c>
      <c r="AR7" s="61"/>
      <c r="AS7" s="62"/>
      <c r="AT7" s="81"/>
      <c r="AU7" s="81"/>
      <c r="AV7" s="81"/>
      <c r="AW7" s="81"/>
      <c r="AX7" s="82"/>
      <c r="AY7" s="83">
        <f>AT7+AU7+AV7+AW7+AX7</f>
        <v>0</v>
      </c>
      <c r="AZ7" s="83">
        <f>(AT7*I7)+(AU7*J7)+(AV7*K7)+(AW7*L7)+(AX7*M7)</f>
        <v>0</v>
      </c>
    </row>
    <row r="8" spans="1:52" s="66" customFormat="1" ht="21.95" customHeight="1" thickBot="1" x14ac:dyDescent="0.2">
      <c r="A8" s="96"/>
      <c r="B8" s="91"/>
      <c r="C8" s="352" t="s">
        <v>3</v>
      </c>
      <c r="D8" s="353"/>
      <c r="E8" s="353"/>
      <c r="F8" s="353"/>
      <c r="G8" s="354"/>
      <c r="H8" s="67"/>
      <c r="I8" s="84">
        <v>85</v>
      </c>
      <c r="J8" s="84">
        <v>85</v>
      </c>
      <c r="K8" s="84"/>
      <c r="L8" s="84"/>
      <c r="M8" s="84"/>
      <c r="N8" s="168">
        <f>I8*I7+J8*J7+K8*K7+L8*L7+M8*M7</f>
        <v>73.542000000000002</v>
      </c>
      <c r="O8" s="44"/>
      <c r="P8" s="45"/>
      <c r="Q8" s="46"/>
      <c r="R8" s="46"/>
      <c r="S8" s="47"/>
      <c r="T8" s="70"/>
      <c r="U8" s="71"/>
      <c r="V8" s="72"/>
      <c r="W8" s="150"/>
      <c r="X8" s="85"/>
      <c r="Y8" s="151"/>
      <c r="Z8" s="85"/>
      <c r="AA8" s="74"/>
      <c r="AB8" s="75"/>
      <c r="AC8" s="72"/>
      <c r="AD8" s="71"/>
      <c r="AE8" s="71"/>
      <c r="AF8" s="152"/>
      <c r="AG8" s="86"/>
      <c r="AH8" s="77"/>
      <c r="AI8" s="87"/>
      <c r="AJ8" s="46"/>
      <c r="AK8" s="77"/>
      <c r="AL8" s="78"/>
      <c r="AM8" s="79"/>
      <c r="AN8" s="80"/>
      <c r="AO8" s="80"/>
      <c r="AP8" s="61"/>
      <c r="AQ8" s="62"/>
      <c r="AR8" s="81"/>
      <c r="AS8" s="81"/>
      <c r="AT8" s="81"/>
      <c r="AU8" s="81"/>
      <c r="AV8" s="82"/>
      <c r="AW8" s="83"/>
      <c r="AX8" s="83"/>
      <c r="AZ8" s="66">
        <f t="shared" ref="AZ8" si="1">(AT8*I8)+(AU8*J8)+(AV8*K8)+(AW8*L8)+(AX8*M8)</f>
        <v>0</v>
      </c>
    </row>
    <row r="9" spans="1:52" s="66" customFormat="1" ht="39.75" customHeight="1" thickBot="1" x14ac:dyDescent="0.2">
      <c r="A9" s="96">
        <v>3</v>
      </c>
      <c r="B9" s="91" t="s">
        <v>107</v>
      </c>
      <c r="C9" s="131" t="s">
        <v>64</v>
      </c>
      <c r="D9" s="134" t="s">
        <v>71</v>
      </c>
      <c r="E9" s="133" t="s">
        <v>92</v>
      </c>
      <c r="F9" s="110"/>
      <c r="G9" s="161"/>
      <c r="H9" s="165" t="s">
        <v>83</v>
      </c>
      <c r="I9" s="111">
        <v>0.6</v>
      </c>
      <c r="J9" s="166">
        <v>0.10539999999999999</v>
      </c>
      <c r="K9" s="41">
        <v>0.1</v>
      </c>
      <c r="L9" s="42"/>
      <c r="M9" s="128"/>
      <c r="N9" s="43">
        <f>SUM(I9:M9)</f>
        <v>0.8054</v>
      </c>
      <c r="O9" s="141">
        <v>1.05</v>
      </c>
      <c r="P9" s="112">
        <v>15</v>
      </c>
      <c r="Q9" s="113">
        <v>15</v>
      </c>
      <c r="R9" s="113">
        <v>15</v>
      </c>
      <c r="S9" s="120"/>
      <c r="T9" s="156"/>
      <c r="U9" s="48">
        <f>ROUND(((P9*I9)+(Q9*J9)+(R9*K9)+(S9*L9)+(T9*M9))*O9,2)</f>
        <v>12.69</v>
      </c>
      <c r="V9" s="49">
        <f>IF(U9&gt;=15,15,U9)</f>
        <v>12.69</v>
      </c>
      <c r="W9" s="140">
        <v>34748832000</v>
      </c>
      <c r="X9" s="136">
        <v>3184317000</v>
      </c>
      <c r="Y9" s="162">
        <v>1945512000</v>
      </c>
      <c r="Z9" s="163"/>
      <c r="AA9" s="164"/>
      <c r="AB9" s="50">
        <f>ROUND((((W9*I9)+(X9*J9)+(Y9*K9)+(Z9*L9)+(AA9*M9))/$I$2),2)*13</f>
        <v>16.900000000000002</v>
      </c>
      <c r="AC9" s="51">
        <f>IF(AB9&gt;=13,13,AB9)</f>
        <v>13</v>
      </c>
      <c r="AD9" s="149">
        <v>0</v>
      </c>
      <c r="AE9" s="48">
        <f>IF((AC9+AD9)&gt;=15,15,(AC9+AD9))</f>
        <v>13</v>
      </c>
      <c r="AF9" s="76">
        <f>1.5*I9</f>
        <v>0.89999999999999991</v>
      </c>
      <c r="AG9" s="54">
        <v>3.44</v>
      </c>
      <c r="AH9" s="55">
        <f>IF((V9+AE9+AF9)&gt;=30,30,(V9+AE9+AF9))</f>
        <v>26.589999999999996</v>
      </c>
      <c r="AI9" s="56">
        <v>10</v>
      </c>
      <c r="AJ9" s="56">
        <v>10</v>
      </c>
      <c r="AK9" s="56">
        <v>45</v>
      </c>
      <c r="AL9" s="57">
        <f>V9+AE9+AF9+AI9+AJ9+AK9+AG9</f>
        <v>95.03</v>
      </c>
      <c r="AM9" s="55">
        <f>IF(AH9+AI9+AJ9+AK9+AG9&gt;=95,95,AH9+AI9+AJ9+AK9+AG9)</f>
        <v>95</v>
      </c>
      <c r="AN9" s="58">
        <f>-((50-((176+(45+(50-AH9)))))/200)</f>
        <v>0.97204999999999997</v>
      </c>
      <c r="AO9" s="59"/>
      <c r="AP9" s="60">
        <f>100%+AO9</f>
        <v>1</v>
      </c>
      <c r="AQ9" s="60">
        <f>100%+AP9</f>
        <v>2</v>
      </c>
      <c r="AR9" s="61"/>
      <c r="AS9" s="62"/>
      <c r="AT9" s="63"/>
      <c r="AU9" s="63"/>
      <c r="AV9" s="63"/>
      <c r="AW9" s="63"/>
      <c r="AX9" s="64"/>
      <c r="AY9" s="65">
        <f>AT9+AU9+AV9+AW9+AX9</f>
        <v>0</v>
      </c>
      <c r="AZ9" s="65">
        <f>(AT9*I9)+(AU9*J9)+(AV9*K9)+(AW9*L9)+(AX9*M9)</f>
        <v>0</v>
      </c>
    </row>
    <row r="10" spans="1:52" s="66" customFormat="1" ht="21.95" customHeight="1" thickBot="1" x14ac:dyDescent="0.2">
      <c r="A10" s="96"/>
      <c r="B10" s="91"/>
      <c r="C10" s="352" t="s">
        <v>3</v>
      </c>
      <c r="D10" s="353"/>
      <c r="E10" s="353"/>
      <c r="F10" s="353"/>
      <c r="G10" s="354"/>
      <c r="H10" s="67"/>
      <c r="I10" s="84">
        <v>85</v>
      </c>
      <c r="J10" s="84">
        <v>85</v>
      </c>
      <c r="K10" s="84">
        <v>85</v>
      </c>
      <c r="L10" s="84"/>
      <c r="M10" s="84"/>
      <c r="N10" s="168">
        <f>I10*I9+J10*J9+K10*K9+L10*L9+M10*M9</f>
        <v>68.459000000000003</v>
      </c>
      <c r="O10" s="44"/>
      <c r="P10" s="45"/>
      <c r="Q10" s="46"/>
      <c r="R10" s="46"/>
      <c r="S10" s="47"/>
      <c r="T10" s="70"/>
      <c r="U10" s="71"/>
      <c r="V10" s="72"/>
      <c r="W10" s="150"/>
      <c r="X10" s="85"/>
      <c r="Y10" s="151"/>
      <c r="Z10" s="85"/>
      <c r="AA10" s="74"/>
      <c r="AB10" s="75"/>
      <c r="AC10" s="72"/>
      <c r="AD10" s="71"/>
      <c r="AE10" s="71"/>
      <c r="AF10" s="152"/>
      <c r="AG10" s="86"/>
      <c r="AH10" s="77"/>
      <c r="AI10" s="87"/>
      <c r="AJ10" s="46"/>
      <c r="AK10" s="77"/>
      <c r="AL10" s="78"/>
      <c r="AM10" s="79"/>
      <c r="AN10" s="80"/>
      <c r="AO10" s="80"/>
      <c r="AP10" s="61"/>
      <c r="AQ10" s="62"/>
      <c r="AR10" s="81"/>
      <c r="AS10" s="81"/>
      <c r="AT10" s="81"/>
      <c r="AU10" s="81"/>
      <c r="AV10" s="82"/>
      <c r="AW10" s="83"/>
      <c r="AX10" s="83"/>
      <c r="AZ10" s="66">
        <f t="shared" ref="AZ10" si="2">(AT10*I10)+(AU10*J10)+(AV10*K10)+(AW10*L10)+(AX10*M10)</f>
        <v>0</v>
      </c>
    </row>
    <row r="11" spans="1:52" s="66" customFormat="1" ht="39.75" customHeight="1" thickBot="1" x14ac:dyDescent="0.2">
      <c r="A11" s="96">
        <v>4</v>
      </c>
      <c r="B11" s="91" t="s">
        <v>107</v>
      </c>
      <c r="C11" s="131" t="s">
        <v>20</v>
      </c>
      <c r="D11" s="154" t="s">
        <v>74</v>
      </c>
      <c r="E11" s="131"/>
      <c r="F11" s="109"/>
      <c r="G11" s="170"/>
      <c r="H11" s="158" t="s">
        <v>95</v>
      </c>
      <c r="I11" s="92">
        <v>0.7</v>
      </c>
      <c r="J11" s="166">
        <v>0.2041</v>
      </c>
      <c r="K11" s="41"/>
      <c r="L11" s="42"/>
      <c r="M11" s="147"/>
      <c r="N11" s="94">
        <f>SUM(I11:M11)</f>
        <v>0.9040999999999999</v>
      </c>
      <c r="O11" s="125">
        <v>1</v>
      </c>
      <c r="P11" s="112">
        <v>15</v>
      </c>
      <c r="Q11" s="135">
        <v>13.5</v>
      </c>
      <c r="R11" s="113"/>
      <c r="S11" s="120"/>
      <c r="T11" s="70"/>
      <c r="U11" s="71">
        <f>ROUND(((P11*I11)+(Q11*J11)+(R11*K11)+(S11*L11)+(T11*M11))*O11,2)</f>
        <v>13.26</v>
      </c>
      <c r="V11" s="72">
        <f>IF(U11&gt;=15,15,U11)</f>
        <v>13.26</v>
      </c>
      <c r="W11" s="140">
        <v>39361754000</v>
      </c>
      <c r="X11" s="136">
        <v>3721306000</v>
      </c>
      <c r="Y11" s="136"/>
      <c r="Z11" s="136"/>
      <c r="AA11" s="74"/>
      <c r="AB11" s="75">
        <f>ROUND((((W11*I11)+(X11*J11)+(Y11*K11)+(Z11*L11)+(AA11*M11))/$I$2),2)*13</f>
        <v>22.49</v>
      </c>
      <c r="AC11" s="72">
        <f>IF(AB11&gt;=13,13,AB11)</f>
        <v>13</v>
      </c>
      <c r="AD11" s="149">
        <v>1</v>
      </c>
      <c r="AE11" s="71">
        <f>IF((AC11+AD11)&gt;=15,15,(AC11+AD11))</f>
        <v>14</v>
      </c>
      <c r="AF11" s="76"/>
      <c r="AG11" s="54">
        <v>3.44</v>
      </c>
      <c r="AH11" s="77">
        <f>IF((V11+AE11+AF11)&gt;=30,30,(V11+AE11+AF11))</f>
        <v>27.259999999999998</v>
      </c>
      <c r="AI11" s="56">
        <v>10</v>
      </c>
      <c r="AJ11" s="56">
        <v>10</v>
      </c>
      <c r="AK11" s="56">
        <v>45</v>
      </c>
      <c r="AL11" s="57">
        <f>V11+AE11+AF11+AI11+AJ11+AK11+AG11</f>
        <v>95.699999999999989</v>
      </c>
      <c r="AM11" s="55">
        <f>IF(AH11+AI11+AJ11+AK11+AG11&gt;=95,95,AH11+AI11+AJ11+AK11+AG11)</f>
        <v>95</v>
      </c>
      <c r="AN11" s="78">
        <f>-((50-((176+(45+(50-AH11)))))/200)</f>
        <v>0.96870000000000001</v>
      </c>
      <c r="AO11" s="79"/>
      <c r="AP11" s="80">
        <f>100%+AO11</f>
        <v>1</v>
      </c>
      <c r="AQ11" s="80">
        <f>100%+AP11</f>
        <v>2</v>
      </c>
      <c r="AR11" s="61"/>
      <c r="AS11" s="62"/>
      <c r="AT11" s="81"/>
      <c r="AU11" s="81"/>
      <c r="AV11" s="81"/>
      <c r="AW11" s="81"/>
      <c r="AX11" s="82"/>
      <c r="AY11" s="83">
        <f>AT11+AU11+AV11+AW11+AX11</f>
        <v>0</v>
      </c>
      <c r="AZ11" s="83">
        <f>(AT11*I11)+(AU11*J11)+(AV11*K11)+(AW11*L11)+(AX11*M11)</f>
        <v>0</v>
      </c>
    </row>
    <row r="12" spans="1:52" s="66" customFormat="1" ht="21.95" customHeight="1" thickBot="1" x14ac:dyDescent="0.2">
      <c r="A12" s="96"/>
      <c r="B12" s="91"/>
      <c r="C12" s="352" t="s">
        <v>3</v>
      </c>
      <c r="D12" s="353"/>
      <c r="E12" s="353"/>
      <c r="F12" s="353"/>
      <c r="G12" s="354"/>
      <c r="H12" s="67"/>
      <c r="I12" s="167">
        <v>90.73</v>
      </c>
      <c r="J12" s="84">
        <v>85</v>
      </c>
      <c r="K12" s="84"/>
      <c r="L12" s="84"/>
      <c r="M12" s="84"/>
      <c r="N12" s="168">
        <f>I12*I11+J12*J11+K12*K11+L12*L11+M12*M11</f>
        <v>80.859499999999997</v>
      </c>
      <c r="O12" s="44"/>
      <c r="P12" s="45"/>
      <c r="Q12" s="46"/>
      <c r="R12" s="46"/>
      <c r="S12" s="47"/>
      <c r="T12" s="70"/>
      <c r="U12" s="71"/>
      <c r="V12" s="72"/>
      <c r="W12" s="150"/>
      <c r="X12" s="85"/>
      <c r="Y12" s="151"/>
      <c r="Z12" s="85"/>
      <c r="AA12" s="74"/>
      <c r="AB12" s="75"/>
      <c r="AC12" s="72"/>
      <c r="AD12" s="71"/>
      <c r="AE12" s="71"/>
      <c r="AF12" s="152"/>
      <c r="AG12" s="86"/>
      <c r="AH12" s="77"/>
      <c r="AI12" s="87"/>
      <c r="AJ12" s="46"/>
      <c r="AK12" s="77"/>
      <c r="AL12" s="78"/>
      <c r="AM12" s="79"/>
      <c r="AN12" s="80"/>
      <c r="AO12" s="80"/>
      <c r="AP12" s="61"/>
      <c r="AQ12" s="62"/>
      <c r="AR12" s="81"/>
      <c r="AS12" s="81"/>
      <c r="AT12" s="81"/>
      <c r="AU12" s="81"/>
      <c r="AV12" s="82"/>
      <c r="AW12" s="83"/>
      <c r="AX12" s="83"/>
      <c r="AZ12" s="66">
        <f t="shared" ref="AZ12" si="3">(AT12*I12)+(AU12*J12)+(AV12*K12)+(AW12*L12)+(AX12*M12)</f>
        <v>0</v>
      </c>
    </row>
    <row r="13" spans="1:52" s="66" customFormat="1" ht="39.75" customHeight="1" thickBot="1" x14ac:dyDescent="0.2">
      <c r="A13" s="96">
        <v>5</v>
      </c>
      <c r="B13" s="91" t="s">
        <v>107</v>
      </c>
      <c r="C13" s="131" t="s">
        <v>65</v>
      </c>
      <c r="D13" s="142" t="s">
        <v>72</v>
      </c>
      <c r="E13" s="131"/>
      <c r="F13" s="110"/>
      <c r="G13" s="97"/>
      <c r="H13" s="158"/>
      <c r="I13" s="111">
        <v>0.51</v>
      </c>
      <c r="J13" s="182">
        <v>0.49</v>
      </c>
      <c r="K13" s="41"/>
      <c r="L13" s="42"/>
      <c r="M13" s="68"/>
      <c r="N13" s="69">
        <f>SUM(I13:M13)</f>
        <v>1</v>
      </c>
      <c r="O13" s="125">
        <v>1</v>
      </c>
      <c r="P13" s="112">
        <v>15</v>
      </c>
      <c r="Q13" s="135">
        <v>14.93</v>
      </c>
      <c r="R13" s="113"/>
      <c r="S13" s="120"/>
      <c r="T13" s="70"/>
      <c r="U13" s="71">
        <f>ROUND(((P13*I13)+(Q13*J13)+(R13*K13)+(S13*L13)+(T13*M13))*O13,2)</f>
        <v>14.97</v>
      </c>
      <c r="V13" s="72">
        <f>IF(U13&gt;=15,15,U13)</f>
        <v>14.97</v>
      </c>
      <c r="W13" s="136">
        <v>14977246000</v>
      </c>
      <c r="X13" s="136">
        <v>9733078000</v>
      </c>
      <c r="Y13" s="136"/>
      <c r="Z13" s="116"/>
      <c r="AA13" s="74"/>
      <c r="AB13" s="75">
        <f>ROUND((((W13*I13)+(X13*J13)+(Y13*K13)+(Z13*L13)+(AA13*M13))/$I$2),2)*13</f>
        <v>9.8800000000000008</v>
      </c>
      <c r="AC13" s="72">
        <f>IF(AB13&gt;=13,13,AB13)</f>
        <v>9.8800000000000008</v>
      </c>
      <c r="AD13" s="124">
        <v>2</v>
      </c>
      <c r="AE13" s="71">
        <f>IF((AC13+AD13)&gt;=15,15,(AC13+AD13))</f>
        <v>11.88</v>
      </c>
      <c r="AF13" s="76">
        <f>0.5*I13</f>
        <v>0.255</v>
      </c>
      <c r="AG13" s="54">
        <v>3.44</v>
      </c>
      <c r="AH13" s="77">
        <f>IF((V13+AE13+AF13)&gt;=30,30,(V13+AE13+AF13))</f>
        <v>27.105</v>
      </c>
      <c r="AI13" s="56">
        <v>10</v>
      </c>
      <c r="AJ13" s="56">
        <v>10</v>
      </c>
      <c r="AK13" s="56">
        <v>45</v>
      </c>
      <c r="AL13" s="57">
        <f>V13+AE13+AF13+AI13+AJ13+AK13+AG13</f>
        <v>95.545000000000002</v>
      </c>
      <c r="AM13" s="55">
        <f>IF(AH13+AI13+AJ13+AK13+AG13&gt;=95,95,AH13+AI13+AJ13+AK13+AG13)</f>
        <v>95</v>
      </c>
      <c r="AN13" s="78">
        <f>-((50-((176+(45+(50-AH13)))))/200)</f>
        <v>0.96947499999999986</v>
      </c>
      <c r="AO13" s="79"/>
      <c r="AP13" s="80">
        <f>100%+AO13</f>
        <v>1</v>
      </c>
      <c r="AQ13" s="80">
        <f>100%+AP13</f>
        <v>2</v>
      </c>
      <c r="AR13" s="61"/>
      <c r="AS13" s="62"/>
      <c r="AT13" s="81">
        <v>6911393000</v>
      </c>
      <c r="AU13" s="81">
        <v>3414248000</v>
      </c>
      <c r="AV13" s="81"/>
      <c r="AW13" s="81"/>
      <c r="AX13" s="82"/>
      <c r="AY13" s="83">
        <f>AT13+AU13+AV13+AW13+AX13</f>
        <v>10325641000</v>
      </c>
      <c r="AZ13" s="83">
        <f>(AT13*I13)+(AU13*J13)+(AV13*K13)+(AW13*L13)+(AX13*M13)</f>
        <v>5197791950</v>
      </c>
    </row>
    <row r="14" spans="1:52" s="66" customFormat="1" ht="21.95" customHeight="1" thickBot="1" x14ac:dyDescent="0.2">
      <c r="A14" s="96"/>
      <c r="B14" s="91"/>
      <c r="C14" s="352" t="s">
        <v>3</v>
      </c>
      <c r="D14" s="353"/>
      <c r="E14" s="353"/>
      <c r="F14" s="353"/>
      <c r="G14" s="354"/>
      <c r="H14" s="67"/>
      <c r="I14" s="84">
        <v>85</v>
      </c>
      <c r="J14" s="84">
        <v>85</v>
      </c>
      <c r="K14" s="84"/>
      <c r="L14" s="84"/>
      <c r="M14" s="84"/>
      <c r="N14" s="168">
        <f>I14*I13+J14*J13+K14*K13+L14*L13+M14*M13</f>
        <v>85</v>
      </c>
      <c r="O14" s="44"/>
      <c r="P14" s="45"/>
      <c r="Q14" s="46"/>
      <c r="R14" s="46"/>
      <c r="S14" s="47"/>
      <c r="T14" s="70"/>
      <c r="U14" s="71"/>
      <c r="V14" s="72"/>
      <c r="W14" s="150"/>
      <c r="X14" s="85"/>
      <c r="Y14" s="151"/>
      <c r="Z14" s="85"/>
      <c r="AA14" s="74"/>
      <c r="AB14" s="75"/>
      <c r="AC14" s="72"/>
      <c r="AD14" s="71"/>
      <c r="AE14" s="71"/>
      <c r="AF14" s="152"/>
      <c r="AG14" s="86"/>
      <c r="AH14" s="77"/>
      <c r="AI14" s="87"/>
      <c r="AJ14" s="46"/>
      <c r="AK14" s="77"/>
      <c r="AL14" s="78"/>
      <c r="AM14" s="79"/>
      <c r="AN14" s="80"/>
      <c r="AO14" s="80"/>
      <c r="AP14" s="61"/>
      <c r="AQ14" s="62"/>
      <c r="AR14" s="81"/>
      <c r="AS14" s="81"/>
      <c r="AT14" s="81"/>
      <c r="AU14" s="81"/>
      <c r="AV14" s="82"/>
      <c r="AW14" s="83"/>
      <c r="AX14" s="83"/>
      <c r="AZ14" s="66">
        <f t="shared" ref="AZ14" si="4">(AT14*I14)+(AU14*J14)+(AV14*K14)+(AW14*L14)+(AX14*M14)</f>
        <v>0</v>
      </c>
    </row>
    <row r="15" spans="1:52" s="66" customFormat="1" ht="39.75" customHeight="1" thickBot="1" x14ac:dyDescent="0.2">
      <c r="A15" s="96">
        <v>6</v>
      </c>
      <c r="B15" s="91" t="s">
        <v>107</v>
      </c>
      <c r="C15" s="132" t="s">
        <v>73</v>
      </c>
      <c r="D15" s="109" t="s">
        <v>59</v>
      </c>
      <c r="E15" s="122" t="s">
        <v>93</v>
      </c>
      <c r="F15" s="109"/>
      <c r="G15" s="170"/>
      <c r="H15" s="158" t="s">
        <v>104</v>
      </c>
      <c r="I15" s="180">
        <v>0.2712</v>
      </c>
      <c r="J15" s="172">
        <v>0.4</v>
      </c>
      <c r="K15" s="41">
        <v>0.2</v>
      </c>
      <c r="L15" s="41"/>
      <c r="M15" s="147"/>
      <c r="N15" s="94">
        <f>SUM(I15:M15)</f>
        <v>0.87119999999999997</v>
      </c>
      <c r="O15" s="141">
        <v>1.05</v>
      </c>
      <c r="P15" s="112">
        <v>15</v>
      </c>
      <c r="Q15" s="113">
        <v>15</v>
      </c>
      <c r="R15" s="113">
        <v>15</v>
      </c>
      <c r="S15" s="120"/>
      <c r="T15" s="70"/>
      <c r="U15" s="71">
        <f>ROUND(((P15*I15)+(Q15*J15)+(R15*K15)+(S15*L15)+(T15*M15))*O15,2)</f>
        <v>13.72</v>
      </c>
      <c r="V15" s="72">
        <f>IF(U15&gt;=15,15,U15)</f>
        <v>13.72</v>
      </c>
      <c r="W15" s="136">
        <v>8216820000</v>
      </c>
      <c r="X15" s="136">
        <v>328448752000</v>
      </c>
      <c r="Y15" s="85">
        <v>7882757000</v>
      </c>
      <c r="Z15" s="136"/>
      <c r="AA15" s="74"/>
      <c r="AB15" s="75">
        <f>ROUND((((W15*I15)+(X15*J15)+(Y15*K15)+(Z15*L15)+(AA15*M15))/$I$2),2)*13</f>
        <v>107.12</v>
      </c>
      <c r="AC15" s="72">
        <f>IF(AB15&gt;=13,13,AB15)</f>
        <v>13</v>
      </c>
      <c r="AD15" s="149">
        <v>0</v>
      </c>
      <c r="AE15" s="71">
        <f>IF((AC15+AD15)&gt;=15,15,(AC15+AD15))</f>
        <v>13</v>
      </c>
      <c r="AF15" s="76">
        <f>0.5*I15+0.5*J15</f>
        <v>0.33560000000000001</v>
      </c>
      <c r="AG15" s="54">
        <v>3.44</v>
      </c>
      <c r="AH15" s="77">
        <f>IF((V15+AE15+AF15)&gt;=30,30,(V15+AE15+AF15))</f>
        <v>27.055599999999998</v>
      </c>
      <c r="AI15" s="56">
        <v>10</v>
      </c>
      <c r="AJ15" s="56">
        <v>10</v>
      </c>
      <c r="AK15" s="56">
        <v>45</v>
      </c>
      <c r="AL15" s="57">
        <f>V15+AE15+AF15+AI15+AJ15+AK15+AG15</f>
        <v>95.495599999999996</v>
      </c>
      <c r="AM15" s="55">
        <f>IF(AH15+AI15+AJ15+AK15+AG15&gt;=95,95,AH15+AI15+AJ15+AK15+AG15)</f>
        <v>95</v>
      </c>
      <c r="AN15" s="78">
        <f>-((50-((176+(45+(50-AH15)))))/200)</f>
        <v>0.96972199999999997</v>
      </c>
      <c r="AO15" s="79"/>
      <c r="AP15" s="80">
        <f>100%+AO15</f>
        <v>1</v>
      </c>
      <c r="AQ15" s="80">
        <f>100%+AP15</f>
        <v>2</v>
      </c>
      <c r="AR15" s="61"/>
      <c r="AS15" s="62"/>
      <c r="AT15" s="81"/>
      <c r="AU15" s="81"/>
      <c r="AV15" s="81"/>
      <c r="AW15" s="81"/>
      <c r="AX15" s="82"/>
      <c r="AY15" s="83">
        <f>AT15+AU15+AV15+AW15+AX15</f>
        <v>0</v>
      </c>
      <c r="AZ15" s="83">
        <f>(AT15*I15)+(AU15*J15)+(AV15*K15)+(AW15*L15)+(AX15*M15)</f>
        <v>0</v>
      </c>
    </row>
    <row r="16" spans="1:52" s="66" customFormat="1" ht="21.95" customHeight="1" thickBot="1" x14ac:dyDescent="0.2">
      <c r="A16" s="96"/>
      <c r="B16" s="91"/>
      <c r="C16" s="352" t="s">
        <v>3</v>
      </c>
      <c r="D16" s="353"/>
      <c r="E16" s="353"/>
      <c r="F16" s="353"/>
      <c r="G16" s="354"/>
      <c r="H16" s="67"/>
      <c r="I16" s="84">
        <v>85</v>
      </c>
      <c r="J16" s="167">
        <v>93.38</v>
      </c>
      <c r="K16" s="84">
        <v>85</v>
      </c>
      <c r="L16" s="84"/>
      <c r="M16" s="84"/>
      <c r="N16" s="168">
        <f>I16*I15+J16*J15+K16*K15+L16*L15+M16*M15</f>
        <v>77.403999999999996</v>
      </c>
      <c r="O16" s="44"/>
      <c r="P16" s="45"/>
      <c r="Q16" s="46"/>
      <c r="R16" s="46"/>
      <c r="S16" s="47"/>
      <c r="T16" s="70"/>
      <c r="U16" s="71"/>
      <c r="V16" s="72"/>
      <c r="W16" s="150"/>
      <c r="X16" s="85"/>
      <c r="Y16" s="151"/>
      <c r="Z16" s="85"/>
      <c r="AA16" s="74"/>
      <c r="AB16" s="75"/>
      <c r="AC16" s="72"/>
      <c r="AD16" s="71"/>
      <c r="AE16" s="71"/>
      <c r="AF16" s="152"/>
      <c r="AG16" s="86"/>
      <c r="AH16" s="77"/>
      <c r="AI16" s="87"/>
      <c r="AJ16" s="46"/>
      <c r="AK16" s="77"/>
      <c r="AL16" s="78"/>
      <c r="AM16" s="79"/>
      <c r="AN16" s="80"/>
      <c r="AO16" s="80"/>
      <c r="AP16" s="61"/>
      <c r="AQ16" s="62"/>
      <c r="AR16" s="81"/>
      <c r="AS16" s="81"/>
      <c r="AT16" s="81"/>
      <c r="AU16" s="81"/>
      <c r="AV16" s="82"/>
      <c r="AW16" s="83"/>
      <c r="AX16" s="83"/>
      <c r="AZ16" s="66">
        <f t="shared" ref="AZ16" si="5">(AT16*I16)+(AU16*J16)+(AV16*K16)+(AW16*L16)+(AX16*M16)</f>
        <v>0</v>
      </c>
    </row>
    <row r="17" spans="1:52" s="66" customFormat="1" ht="39.75" customHeight="1" thickBot="1" x14ac:dyDescent="0.2">
      <c r="A17" s="96">
        <v>7</v>
      </c>
      <c r="B17" s="91" t="s">
        <v>107</v>
      </c>
      <c r="C17" s="131" t="s">
        <v>96</v>
      </c>
      <c r="D17" s="134" t="s">
        <v>94</v>
      </c>
      <c r="E17" s="109" t="s">
        <v>77</v>
      </c>
      <c r="F17" s="110"/>
      <c r="G17" s="97"/>
      <c r="H17" s="158" t="s">
        <v>105</v>
      </c>
      <c r="I17" s="111">
        <v>0.36</v>
      </c>
      <c r="J17" s="166">
        <v>0.1857</v>
      </c>
      <c r="K17" s="41">
        <v>0.34</v>
      </c>
      <c r="L17" s="42"/>
      <c r="M17" s="68"/>
      <c r="N17" s="69">
        <f>SUM(I17:M17)</f>
        <v>0.88569999999999993</v>
      </c>
      <c r="O17" s="125">
        <v>1</v>
      </c>
      <c r="P17" s="112">
        <v>15</v>
      </c>
      <c r="Q17" s="113">
        <v>15</v>
      </c>
      <c r="R17" s="113">
        <v>15</v>
      </c>
      <c r="S17" s="120"/>
      <c r="T17" s="70"/>
      <c r="U17" s="71">
        <f>ROUND(((P17*I17)+(Q17*J17)+(R17*K17)+(S17*L17)+(T17*M17))*O17,2)</f>
        <v>13.29</v>
      </c>
      <c r="V17" s="72">
        <f>IF(U17&gt;=15,15,U17)</f>
        <v>13.29</v>
      </c>
      <c r="W17" s="136">
        <v>7702371000</v>
      </c>
      <c r="X17" s="136">
        <v>3247397000</v>
      </c>
      <c r="Y17" s="136">
        <v>130509297000</v>
      </c>
      <c r="Z17" s="136"/>
      <c r="AA17" s="74"/>
      <c r="AB17" s="75">
        <f>ROUND((((W17*I17)+(X17*J17)+(Y17*K17)+(Z17*L17)+(AA17*M17))/$I$2),2)*13</f>
        <v>37.83</v>
      </c>
      <c r="AC17" s="72">
        <f>IF(AB17&gt;=13,13,AB17)</f>
        <v>13</v>
      </c>
      <c r="AD17" s="149">
        <v>0</v>
      </c>
      <c r="AE17" s="71">
        <f>IF((AC17+AD17)&gt;=15,15,(AC17+AD17))</f>
        <v>13</v>
      </c>
      <c r="AF17" s="76">
        <f>0.5*I17+0.5*K17</f>
        <v>0.35</v>
      </c>
      <c r="AG17" s="54">
        <v>3.44</v>
      </c>
      <c r="AH17" s="77">
        <f>IF((V17+AE17+AF17)&gt;=30,30,(V17+AE17+AF17))</f>
        <v>26.64</v>
      </c>
      <c r="AI17" s="56">
        <v>10</v>
      </c>
      <c r="AJ17" s="56">
        <v>10</v>
      </c>
      <c r="AK17" s="56">
        <v>45</v>
      </c>
      <c r="AL17" s="57">
        <f>V17+AE17+AF17+AI17+AJ17+AK17+AG17</f>
        <v>95.08</v>
      </c>
      <c r="AM17" s="55">
        <f>IF(AH17+AI17+AJ17+AK17+AG17&gt;=95,95,AH17+AI17+AJ17+AK17+AG17)</f>
        <v>95</v>
      </c>
      <c r="AN17" s="78">
        <f>-((50-((176+(45+(50-AH17)))))/200)</f>
        <v>0.97180000000000011</v>
      </c>
      <c r="AO17" s="79"/>
      <c r="AP17" s="80">
        <f>100%+AO17</f>
        <v>1</v>
      </c>
      <c r="AQ17" s="80">
        <f>100%+AP17</f>
        <v>2</v>
      </c>
      <c r="AR17" s="61"/>
      <c r="AS17" s="62"/>
      <c r="AT17" s="81"/>
      <c r="AU17" s="81"/>
      <c r="AV17" s="81"/>
      <c r="AW17" s="81"/>
      <c r="AX17" s="82"/>
      <c r="AY17" s="83">
        <f>AT17+AU17+AV17+AW17+AX17</f>
        <v>0</v>
      </c>
      <c r="AZ17" s="83">
        <f>(AT17*I17)+(AU17*J17)+(AV17*K17)+(AW17*L17)+(AX17*M17)</f>
        <v>0</v>
      </c>
    </row>
    <row r="18" spans="1:52" s="66" customFormat="1" ht="21.95" customHeight="1" thickBot="1" x14ac:dyDescent="0.2">
      <c r="A18" s="96"/>
      <c r="B18" s="91"/>
      <c r="C18" s="352" t="s">
        <v>3</v>
      </c>
      <c r="D18" s="353"/>
      <c r="E18" s="353"/>
      <c r="F18" s="353"/>
      <c r="G18" s="354"/>
      <c r="H18" s="67"/>
      <c r="I18" s="84">
        <v>85</v>
      </c>
      <c r="J18" s="84">
        <v>85</v>
      </c>
      <c r="K18" s="84">
        <v>85</v>
      </c>
      <c r="L18" s="84"/>
      <c r="M18" s="84"/>
      <c r="N18" s="168">
        <f>I18*I17+J18*J17+K18*K17+L18*L17+M18*M17</f>
        <v>75.284499999999994</v>
      </c>
      <c r="O18" s="44"/>
      <c r="P18" s="45"/>
      <c r="Q18" s="46"/>
      <c r="R18" s="46"/>
      <c r="S18" s="47"/>
      <c r="T18" s="70"/>
      <c r="U18" s="71"/>
      <c r="V18" s="72"/>
      <c r="W18" s="150"/>
      <c r="X18" s="85"/>
      <c r="Y18" s="151"/>
      <c r="Z18" s="85"/>
      <c r="AA18" s="74"/>
      <c r="AB18" s="75"/>
      <c r="AC18" s="72"/>
      <c r="AD18" s="71"/>
      <c r="AE18" s="71"/>
      <c r="AF18" s="152"/>
      <c r="AG18" s="86"/>
      <c r="AH18" s="77"/>
      <c r="AI18" s="87"/>
      <c r="AJ18" s="46"/>
      <c r="AK18" s="77"/>
      <c r="AL18" s="78"/>
      <c r="AM18" s="79"/>
      <c r="AN18" s="80"/>
      <c r="AO18" s="80"/>
      <c r="AP18" s="61"/>
      <c r="AQ18" s="62"/>
      <c r="AR18" s="81"/>
      <c r="AS18" s="81"/>
      <c r="AT18" s="81"/>
      <c r="AU18" s="81"/>
      <c r="AV18" s="82"/>
      <c r="AW18" s="83"/>
      <c r="AX18" s="83"/>
      <c r="AZ18" s="66">
        <f t="shared" ref="AZ18" si="6">(AT18*I18)+(AU18*J18)+(AV18*K18)+(AW18*L18)+(AX18*M18)</f>
        <v>0</v>
      </c>
    </row>
    <row r="19" spans="1:52" s="66" customFormat="1" ht="39.75" customHeight="1" thickBot="1" x14ac:dyDescent="0.2">
      <c r="A19" s="96">
        <v>8</v>
      </c>
      <c r="B19" s="91" t="s">
        <v>107</v>
      </c>
      <c r="C19" s="122" t="s">
        <v>78</v>
      </c>
      <c r="D19" s="134" t="s">
        <v>68</v>
      </c>
      <c r="E19" s="108"/>
      <c r="F19" s="131"/>
      <c r="G19" s="170"/>
      <c r="H19" s="158"/>
      <c r="I19" s="111">
        <v>0.51</v>
      </c>
      <c r="J19" s="172">
        <v>0.49</v>
      </c>
      <c r="K19" s="41"/>
      <c r="L19" s="42"/>
      <c r="M19" s="68"/>
      <c r="N19" s="94">
        <f>SUM(I19:M19)</f>
        <v>1</v>
      </c>
      <c r="O19" s="125">
        <v>1</v>
      </c>
      <c r="P19" s="112">
        <v>15</v>
      </c>
      <c r="Q19" s="113">
        <v>15</v>
      </c>
      <c r="R19" s="113"/>
      <c r="S19" s="120"/>
      <c r="T19" s="70"/>
      <c r="U19" s="71">
        <f>ROUND(((P19*I19)+(Q19*J19)+(R19*K19)+(S19*L19)+(T19*M19))*O19,2)</f>
        <v>15</v>
      </c>
      <c r="V19" s="72">
        <f>IF(U19&gt;=15,15,U19)</f>
        <v>15</v>
      </c>
      <c r="W19" s="136">
        <v>227887155000</v>
      </c>
      <c r="X19" s="136">
        <v>7707037000</v>
      </c>
      <c r="Y19" s="136"/>
      <c r="Z19" s="136"/>
      <c r="AA19" s="74"/>
      <c r="AB19" s="75">
        <f>ROUND((((W19*I19)+(X19*J19)+(Y19*K19)+(Z19*L19)+(AA19*M19))/$I$2),2)*13</f>
        <v>95.03</v>
      </c>
      <c r="AC19" s="72">
        <f>IF(AB19&gt;=13,13,AB19)</f>
        <v>13</v>
      </c>
      <c r="AD19" s="124">
        <v>2</v>
      </c>
      <c r="AE19" s="71">
        <f>IF((AC19+AD19)&gt;=15,15,(AC19+AD19))</f>
        <v>15</v>
      </c>
      <c r="AF19" s="76"/>
      <c r="AG19" s="54">
        <v>3.44</v>
      </c>
      <c r="AH19" s="77">
        <f>IF((V19+AE19+AF19)&gt;=30,30,(V19+AE19+AF19))</f>
        <v>30</v>
      </c>
      <c r="AI19" s="56">
        <v>10</v>
      </c>
      <c r="AJ19" s="56">
        <v>10</v>
      </c>
      <c r="AK19" s="56">
        <v>45</v>
      </c>
      <c r="AL19" s="57">
        <f>V19+AE19+AF19+AI19+AJ19+AK19+AG19</f>
        <v>98.44</v>
      </c>
      <c r="AM19" s="55">
        <f>IF(AH19+AI19+AJ19+AK19+AG19&gt;=95,95,AH19+AI19+AJ19+AK19+AG19)</f>
        <v>95</v>
      </c>
      <c r="AN19" s="78">
        <f>-((50-((176+(45+(50-AH19)))))/200)</f>
        <v>0.95499999999999996</v>
      </c>
      <c r="AO19" s="79"/>
      <c r="AP19" s="80">
        <f>100%+AO19</f>
        <v>1</v>
      </c>
      <c r="AQ19" s="80">
        <f>100%+AP19</f>
        <v>2</v>
      </c>
      <c r="AR19" s="61"/>
      <c r="AS19" s="62"/>
      <c r="AT19" s="81"/>
      <c r="AU19" s="81"/>
      <c r="AV19" s="81"/>
      <c r="AW19" s="81"/>
      <c r="AX19" s="82"/>
      <c r="AY19" s="83">
        <f>AT19+AU19+AV19+AW19+AX19</f>
        <v>0</v>
      </c>
      <c r="AZ19" s="83">
        <f t="shared" ref="AZ19:AZ88" si="7">(AT19*I19)+(AU19*J19)+(AV19*K19)+(AW19*L19)+(AX19*M19)</f>
        <v>0</v>
      </c>
    </row>
    <row r="20" spans="1:52" s="66" customFormat="1" ht="21.95" customHeight="1" thickBot="1" x14ac:dyDescent="0.2">
      <c r="A20" s="96"/>
      <c r="B20" s="91"/>
      <c r="C20" s="352" t="s">
        <v>3</v>
      </c>
      <c r="D20" s="353"/>
      <c r="E20" s="353"/>
      <c r="F20" s="353"/>
      <c r="G20" s="354"/>
      <c r="H20" s="67"/>
      <c r="I20" s="84">
        <v>85</v>
      </c>
      <c r="J20" s="84">
        <v>85</v>
      </c>
      <c r="K20" s="84"/>
      <c r="L20" s="84"/>
      <c r="M20" s="84"/>
      <c r="N20" s="168">
        <f>I20*I19+J20*J19+K20*K19+L20*L19+M20*M19</f>
        <v>85</v>
      </c>
      <c r="O20" s="44"/>
      <c r="P20" s="45"/>
      <c r="Q20" s="46"/>
      <c r="R20" s="46"/>
      <c r="S20" s="47"/>
      <c r="T20" s="70"/>
      <c r="U20" s="71"/>
      <c r="V20" s="72"/>
      <c r="W20" s="150"/>
      <c r="X20" s="85"/>
      <c r="Y20" s="151"/>
      <c r="Z20" s="85"/>
      <c r="AA20" s="74"/>
      <c r="AB20" s="75"/>
      <c r="AC20" s="72"/>
      <c r="AD20" s="71"/>
      <c r="AE20" s="71"/>
      <c r="AF20" s="152"/>
      <c r="AG20" s="86"/>
      <c r="AH20" s="77"/>
      <c r="AI20" s="87"/>
      <c r="AJ20" s="46"/>
      <c r="AK20" s="77"/>
      <c r="AL20" s="78"/>
      <c r="AM20" s="79"/>
      <c r="AN20" s="80"/>
      <c r="AO20" s="80"/>
      <c r="AP20" s="61"/>
      <c r="AQ20" s="62"/>
      <c r="AR20" s="81"/>
      <c r="AS20" s="81"/>
      <c r="AT20" s="81"/>
      <c r="AU20" s="81"/>
      <c r="AV20" s="82"/>
      <c r="AW20" s="83"/>
      <c r="AX20" s="83"/>
      <c r="AZ20" s="66">
        <f t="shared" si="7"/>
        <v>0</v>
      </c>
    </row>
    <row r="21" spans="1:52" s="66" customFormat="1" ht="39.75" customHeight="1" thickBot="1" x14ac:dyDescent="0.2">
      <c r="A21" s="96">
        <v>9</v>
      </c>
      <c r="B21" s="91" t="s">
        <v>107</v>
      </c>
      <c r="C21" s="122" t="s">
        <v>90</v>
      </c>
      <c r="D21" s="179" t="s">
        <v>80</v>
      </c>
      <c r="E21" s="122" t="s">
        <v>1</v>
      </c>
      <c r="F21" s="108"/>
      <c r="G21" s="170"/>
      <c r="H21" s="158" t="s">
        <v>91</v>
      </c>
      <c r="I21" s="180">
        <v>0.34370000000000001</v>
      </c>
      <c r="J21" s="153">
        <v>0.23980000000000001</v>
      </c>
      <c r="K21" s="41">
        <v>0.34</v>
      </c>
      <c r="L21" s="42"/>
      <c r="M21" s="147"/>
      <c r="N21" s="94">
        <f>SUM(I21:M21)</f>
        <v>0.92349999999999999</v>
      </c>
      <c r="O21" s="141">
        <v>1.05</v>
      </c>
      <c r="P21" s="112">
        <v>15</v>
      </c>
      <c r="Q21" s="159">
        <v>11.23</v>
      </c>
      <c r="R21" s="113">
        <v>15</v>
      </c>
      <c r="S21" s="120"/>
      <c r="T21" s="70"/>
      <c r="U21" s="71">
        <f>ROUND(((P21*I21)+(Q21*J21)+(R21*K21)+(S21*L21)+(T21*M21))*O21,2)</f>
        <v>13.6</v>
      </c>
      <c r="V21" s="72">
        <f>IF(U21&gt;=15,15,U21)</f>
        <v>13.6</v>
      </c>
      <c r="W21" s="85">
        <v>3530749000</v>
      </c>
      <c r="X21" s="136">
        <v>6121402000</v>
      </c>
      <c r="Y21" s="136">
        <v>80267427000</v>
      </c>
      <c r="Z21" s="136"/>
      <c r="AA21" s="74"/>
      <c r="AB21" s="75">
        <f>ROUND((((W21*I21)+(X21*J21)+(Y21*K21)+(Z21*L21)+(AA21*M21))/$I$2),2)*13</f>
        <v>23.79</v>
      </c>
      <c r="AC21" s="72">
        <f>IF(AB21&gt;=13,13,AB21)</f>
        <v>13</v>
      </c>
      <c r="AD21" s="149">
        <v>0</v>
      </c>
      <c r="AE21" s="71">
        <f>IF((AC21+AD21)&gt;=15,15,(AC21+AD21))</f>
        <v>13</v>
      </c>
      <c r="AF21" s="76"/>
      <c r="AG21" s="54">
        <v>3.44</v>
      </c>
      <c r="AH21" s="77">
        <f>IF((V21+AE21+AF21)&gt;=30,30,(V21+AE21+AF21))</f>
        <v>26.6</v>
      </c>
      <c r="AI21" s="56">
        <v>10</v>
      </c>
      <c r="AJ21" s="56">
        <v>10</v>
      </c>
      <c r="AK21" s="56">
        <v>45</v>
      </c>
      <c r="AL21" s="57">
        <f>V21+AE21+AF21+AI21+AJ21+AK21+AG21</f>
        <v>95.039999999999992</v>
      </c>
      <c r="AM21" s="55">
        <f>IF(AH21+AI21+AJ21+AK21+AG21&gt;=95,95,AH21+AI21+AJ21+AK21+AG21)</f>
        <v>95</v>
      </c>
      <c r="AN21" s="78">
        <f>-((50-((176+(45+(50-AH21)))))/200)</f>
        <v>0.97199999999999998</v>
      </c>
      <c r="AO21" s="79"/>
      <c r="AP21" s="80">
        <f>100%+AO21</f>
        <v>1</v>
      </c>
      <c r="AQ21" s="80">
        <f>100%+AP21</f>
        <v>2</v>
      </c>
      <c r="AR21" s="61"/>
      <c r="AS21" s="62"/>
      <c r="AT21" s="81"/>
      <c r="AU21" s="81"/>
      <c r="AV21" s="81"/>
      <c r="AW21" s="81"/>
      <c r="AX21" s="82"/>
      <c r="AY21" s="83">
        <f>AT21+AU21+AV21+AW21+AX21</f>
        <v>0</v>
      </c>
      <c r="AZ21" s="83">
        <f t="shared" si="7"/>
        <v>0</v>
      </c>
    </row>
    <row r="22" spans="1:52" s="66" customFormat="1" ht="21.95" customHeight="1" thickBot="1" x14ac:dyDescent="0.2">
      <c r="A22" s="96"/>
      <c r="B22" s="91"/>
      <c r="C22" s="352" t="s">
        <v>3</v>
      </c>
      <c r="D22" s="353"/>
      <c r="E22" s="353"/>
      <c r="F22" s="353"/>
      <c r="G22" s="354"/>
      <c r="H22" s="67"/>
      <c r="I22" s="84">
        <v>85</v>
      </c>
      <c r="J22" s="84">
        <v>85</v>
      </c>
      <c r="K22" s="84">
        <v>85</v>
      </c>
      <c r="L22" s="84"/>
      <c r="M22" s="84"/>
      <c r="N22" s="168">
        <f>I22*I21+J22*J21+K22*K21+L22*L21+M22*M21</f>
        <v>78.497500000000002</v>
      </c>
      <c r="O22" s="44"/>
      <c r="P22" s="45"/>
      <c r="Q22" s="46"/>
      <c r="R22" s="46"/>
      <c r="S22" s="47"/>
      <c r="T22" s="70"/>
      <c r="U22" s="71"/>
      <c r="V22" s="72"/>
      <c r="W22" s="150"/>
      <c r="X22" s="85"/>
      <c r="Y22" s="151"/>
      <c r="Z22" s="85"/>
      <c r="AA22" s="74"/>
      <c r="AB22" s="75"/>
      <c r="AC22" s="72"/>
      <c r="AD22" s="71"/>
      <c r="AE22" s="71"/>
      <c r="AF22" s="152"/>
      <c r="AG22" s="86"/>
      <c r="AH22" s="77"/>
      <c r="AI22" s="87"/>
      <c r="AJ22" s="46"/>
      <c r="AK22" s="77"/>
      <c r="AL22" s="78"/>
      <c r="AM22" s="79"/>
      <c r="AN22" s="80"/>
      <c r="AO22" s="80"/>
      <c r="AP22" s="61"/>
      <c r="AQ22" s="62"/>
      <c r="AR22" s="81"/>
      <c r="AS22" s="81"/>
      <c r="AT22" s="81"/>
      <c r="AU22" s="81"/>
      <c r="AV22" s="82"/>
      <c r="AW22" s="83"/>
      <c r="AX22" s="83"/>
      <c r="AZ22" s="66">
        <f t="shared" ref="AZ22" si="8">(AT22*I22)+(AU22*J22)+(AV22*K22)+(AW22*L22)+(AX22*M22)</f>
        <v>0</v>
      </c>
    </row>
    <row r="23" spans="1:52" s="66" customFormat="1" ht="39.75" customHeight="1" thickBot="1" x14ac:dyDescent="0.2">
      <c r="A23" s="96">
        <v>10</v>
      </c>
      <c r="B23" s="91" t="s">
        <v>107</v>
      </c>
      <c r="C23" s="122" t="s">
        <v>103</v>
      </c>
      <c r="D23" s="134" t="s">
        <v>70</v>
      </c>
      <c r="E23" s="122"/>
      <c r="F23" s="131"/>
      <c r="G23" s="97"/>
      <c r="H23" s="158"/>
      <c r="I23" s="111">
        <v>0.51</v>
      </c>
      <c r="J23" s="172">
        <v>0.49</v>
      </c>
      <c r="K23" s="41"/>
      <c r="L23" s="42"/>
      <c r="M23" s="147"/>
      <c r="N23" s="69">
        <f>SUM(I23:M23)</f>
        <v>1</v>
      </c>
      <c r="O23" s="125">
        <v>1</v>
      </c>
      <c r="P23" s="112">
        <v>15</v>
      </c>
      <c r="Q23" s="113">
        <v>15</v>
      </c>
      <c r="R23" s="113"/>
      <c r="S23" s="120"/>
      <c r="T23" s="70"/>
      <c r="U23" s="71">
        <f>ROUND(((P23*I23)+(Q23*J23)+(R23*K23)+(S23*L23)+(T23*M23))*O23,2)</f>
        <v>15</v>
      </c>
      <c r="V23" s="72">
        <f>IF(U23&gt;=15,15,U23)</f>
        <v>15</v>
      </c>
      <c r="W23" s="139">
        <v>24296161000</v>
      </c>
      <c r="X23" s="136">
        <v>3482331000</v>
      </c>
      <c r="Y23" s="139"/>
      <c r="Z23" s="119"/>
      <c r="AA23" s="74"/>
      <c r="AB23" s="75">
        <f>ROUND((((W23*I23)+(X23*J23)+(Y23*K23)+(Z23*L23)+(AA23*M23))/$I$2),2)*13</f>
        <v>11.18</v>
      </c>
      <c r="AC23" s="72">
        <f>IF(AB23&gt;=13,13,AB23)</f>
        <v>11.18</v>
      </c>
      <c r="AD23" s="124">
        <v>2</v>
      </c>
      <c r="AE23" s="71">
        <f>IF((AC23+AD23)&gt;=15,15,(AC23+AD23))</f>
        <v>13.18</v>
      </c>
      <c r="AF23" s="76"/>
      <c r="AG23" s="54">
        <v>3.44</v>
      </c>
      <c r="AH23" s="77">
        <f>IF((V23+AE23+AF23)&gt;=30,30,(V23+AE23+AF23))</f>
        <v>28.18</v>
      </c>
      <c r="AI23" s="56">
        <v>10</v>
      </c>
      <c r="AJ23" s="56">
        <v>10</v>
      </c>
      <c r="AK23" s="56">
        <v>45</v>
      </c>
      <c r="AL23" s="57">
        <f>V23+AE23+AF23+AI23+AJ23+AK23+AG23</f>
        <v>96.62</v>
      </c>
      <c r="AM23" s="55">
        <f>IF(AH23+AI23+AJ23+AK23+AG23&gt;=95,95,AH23+AI23+AJ23+AK23+AG23)</f>
        <v>95</v>
      </c>
      <c r="AN23" s="78">
        <f>-((50-((176+(45+(50-AH23)))))/200)</f>
        <v>0.96409999999999996</v>
      </c>
      <c r="AO23" s="79"/>
      <c r="AP23" s="80">
        <f t="shared" ref="AP23:AQ44" si="9">100%+AO23</f>
        <v>1</v>
      </c>
      <c r="AQ23" s="80">
        <f t="shared" si="9"/>
        <v>2</v>
      </c>
      <c r="AR23" s="61"/>
      <c r="AS23" s="62"/>
      <c r="AT23" s="81"/>
      <c r="AU23" s="81"/>
      <c r="AV23" s="81"/>
      <c r="AW23" s="81"/>
      <c r="AX23" s="82"/>
      <c r="AY23" s="83">
        <f>AT23+AU23+AV23+AW23+AX23</f>
        <v>0</v>
      </c>
      <c r="AZ23" s="83">
        <f t="shared" si="7"/>
        <v>0</v>
      </c>
    </row>
    <row r="24" spans="1:52" s="66" customFormat="1" ht="21.95" customHeight="1" thickBot="1" x14ac:dyDescent="0.2">
      <c r="A24" s="96"/>
      <c r="B24" s="91"/>
      <c r="C24" s="352" t="s">
        <v>3</v>
      </c>
      <c r="D24" s="353"/>
      <c r="E24" s="353"/>
      <c r="F24" s="353"/>
      <c r="G24" s="354"/>
      <c r="H24" s="67"/>
      <c r="I24" s="84">
        <v>85</v>
      </c>
      <c r="J24" s="84">
        <v>85</v>
      </c>
      <c r="K24" s="84"/>
      <c r="L24" s="84"/>
      <c r="M24" s="84"/>
      <c r="N24" s="168">
        <f>I24*I23+J24*J23+K24*K23+L24*L23+M24*M23</f>
        <v>85</v>
      </c>
      <c r="O24" s="44"/>
      <c r="P24" s="45"/>
      <c r="Q24" s="46"/>
      <c r="R24" s="46"/>
      <c r="S24" s="47"/>
      <c r="T24" s="70"/>
      <c r="U24" s="71"/>
      <c r="V24" s="72"/>
      <c r="W24" s="150"/>
      <c r="X24" s="85"/>
      <c r="Y24" s="151"/>
      <c r="Z24" s="85"/>
      <c r="AA24" s="74"/>
      <c r="AB24" s="75"/>
      <c r="AC24" s="72"/>
      <c r="AD24" s="71"/>
      <c r="AE24" s="71"/>
      <c r="AF24" s="152"/>
      <c r="AG24" s="86"/>
      <c r="AH24" s="77"/>
      <c r="AI24" s="87"/>
      <c r="AJ24" s="46"/>
      <c r="AK24" s="77"/>
      <c r="AL24" s="78"/>
      <c r="AM24" s="79"/>
      <c r="AN24" s="80"/>
      <c r="AO24" s="80"/>
      <c r="AP24" s="61"/>
      <c r="AQ24" s="62"/>
      <c r="AR24" s="81"/>
      <c r="AS24" s="81"/>
      <c r="AT24" s="81"/>
      <c r="AU24" s="81"/>
      <c r="AV24" s="82"/>
      <c r="AW24" s="83"/>
      <c r="AX24" s="83"/>
      <c r="AZ24" s="66">
        <f t="shared" si="7"/>
        <v>0</v>
      </c>
    </row>
    <row r="25" spans="1:52" s="66" customFormat="1" ht="39.75" customHeight="1" thickBot="1" x14ac:dyDescent="0.2">
      <c r="A25" s="96">
        <v>11</v>
      </c>
      <c r="B25" s="91" t="s">
        <v>107</v>
      </c>
      <c r="C25" s="131" t="s">
        <v>66</v>
      </c>
      <c r="D25" s="134" t="s">
        <v>75</v>
      </c>
      <c r="E25" s="105"/>
      <c r="F25" s="108"/>
      <c r="G25" s="170"/>
      <c r="H25" s="158"/>
      <c r="I25" s="111">
        <v>0.51</v>
      </c>
      <c r="J25" s="172">
        <v>0.49</v>
      </c>
      <c r="K25" s="41"/>
      <c r="L25" s="42"/>
      <c r="M25" s="147"/>
      <c r="N25" s="69">
        <f>SUM(I25:M25)</f>
        <v>1</v>
      </c>
      <c r="O25" s="125">
        <v>1</v>
      </c>
      <c r="P25" s="112">
        <v>15</v>
      </c>
      <c r="Q25" s="113">
        <v>15</v>
      </c>
      <c r="R25" s="113"/>
      <c r="S25" s="120"/>
      <c r="T25" s="70"/>
      <c r="U25" s="71">
        <f>ROUND(((P25*I25)+(Q25*J25)+(R25*K25)+(S25*L25)+(T25*M25))*O25,2)</f>
        <v>15</v>
      </c>
      <c r="V25" s="72">
        <f>IF(U25&gt;=15,15,U25)</f>
        <v>15</v>
      </c>
      <c r="W25" s="136">
        <v>46537406000</v>
      </c>
      <c r="X25" s="117">
        <v>7924612000</v>
      </c>
      <c r="Y25" s="136"/>
      <c r="Z25" s="116"/>
      <c r="AA25" s="74"/>
      <c r="AB25" s="75">
        <f>ROUND((((W25*I25)+(X25*J25)+(Y25*K25)+(Z25*L25)+(AA25*M25))/$I$2),2)*13</f>
        <v>21.84</v>
      </c>
      <c r="AC25" s="72">
        <f>IF(AB25&gt;=13,13,AB25)</f>
        <v>13</v>
      </c>
      <c r="AD25" s="124">
        <v>2</v>
      </c>
      <c r="AE25" s="71">
        <f>IF((AC25+AD25)&gt;=15,15,(AC25+AD25))</f>
        <v>15</v>
      </c>
      <c r="AF25" s="53"/>
      <c r="AG25" s="54">
        <v>3.44</v>
      </c>
      <c r="AH25" s="77">
        <f>IF((V25+AE25+AF25)&gt;=30,30,(V25+AE25+AF25))</f>
        <v>30</v>
      </c>
      <c r="AI25" s="56">
        <v>10</v>
      </c>
      <c r="AJ25" s="56">
        <v>10</v>
      </c>
      <c r="AK25" s="56">
        <v>45</v>
      </c>
      <c r="AL25" s="57">
        <f>V25+AE25+AF25+AI25+AJ25+AK25+AG25</f>
        <v>98.44</v>
      </c>
      <c r="AM25" s="55">
        <f>IF(AH25+AI25+AJ25+AK25+AG25&gt;=95,95,AH25+AI25+AJ25+AK25+AG25)</f>
        <v>95</v>
      </c>
      <c r="AN25" s="78">
        <f>-((50-((176+(45+(50-AH25)))))/200)</f>
        <v>0.95499999999999996</v>
      </c>
      <c r="AO25" s="79"/>
      <c r="AP25" s="80">
        <f t="shared" si="9"/>
        <v>1</v>
      </c>
      <c r="AQ25" s="80">
        <f t="shared" si="9"/>
        <v>2</v>
      </c>
      <c r="AR25" s="61"/>
      <c r="AS25" s="62"/>
      <c r="AT25" s="81"/>
      <c r="AU25" s="81"/>
      <c r="AV25" s="81"/>
      <c r="AW25" s="81"/>
      <c r="AX25" s="82"/>
      <c r="AY25" s="83">
        <f>AT25+AU25+AV25+AW25+AX25</f>
        <v>0</v>
      </c>
      <c r="AZ25" s="83">
        <f t="shared" si="7"/>
        <v>0</v>
      </c>
    </row>
    <row r="26" spans="1:52" s="66" customFormat="1" ht="21.95" customHeight="1" thickBot="1" x14ac:dyDescent="0.2">
      <c r="A26" s="96"/>
      <c r="B26" s="91"/>
      <c r="C26" s="352" t="s">
        <v>3</v>
      </c>
      <c r="D26" s="353"/>
      <c r="E26" s="353"/>
      <c r="F26" s="353"/>
      <c r="G26" s="354"/>
      <c r="H26" s="67"/>
      <c r="I26" s="84">
        <v>85</v>
      </c>
      <c r="J26" s="84">
        <v>85</v>
      </c>
      <c r="K26" s="84"/>
      <c r="L26" s="84"/>
      <c r="M26" s="84"/>
      <c r="N26" s="168">
        <f>I26*I25+J26*J25+K26*K25+L26*L25+M26*M25</f>
        <v>85</v>
      </c>
      <c r="O26" s="44"/>
      <c r="P26" s="45"/>
      <c r="Q26" s="46"/>
      <c r="R26" s="46"/>
      <c r="S26" s="47"/>
      <c r="T26" s="70"/>
      <c r="U26" s="71"/>
      <c r="V26" s="72"/>
      <c r="W26" s="150"/>
      <c r="X26" s="85"/>
      <c r="Y26" s="151"/>
      <c r="Z26" s="85"/>
      <c r="AA26" s="74"/>
      <c r="AB26" s="75"/>
      <c r="AC26" s="72"/>
      <c r="AD26" s="71"/>
      <c r="AE26" s="71"/>
      <c r="AF26" s="152"/>
      <c r="AG26" s="86"/>
      <c r="AH26" s="77"/>
      <c r="AI26" s="87"/>
      <c r="AJ26" s="46"/>
      <c r="AK26" s="77"/>
      <c r="AL26" s="78"/>
      <c r="AM26" s="79"/>
      <c r="AN26" s="80"/>
      <c r="AO26" s="80"/>
      <c r="AP26" s="61"/>
      <c r="AQ26" s="62"/>
      <c r="AR26" s="81"/>
      <c r="AS26" s="81"/>
      <c r="AT26" s="81"/>
      <c r="AU26" s="81"/>
      <c r="AV26" s="82"/>
      <c r="AW26" s="83"/>
      <c r="AX26" s="83"/>
      <c r="AZ26" s="66">
        <f t="shared" ref="AZ26" si="10">(AT26*I26)+(AU26*J26)+(AV26*K26)+(AW26*L26)+(AX26*M26)</f>
        <v>0</v>
      </c>
    </row>
    <row r="27" spans="1:52" s="66" customFormat="1" ht="39.75" customHeight="1" thickBot="1" x14ac:dyDescent="0.2">
      <c r="A27" s="96">
        <v>12</v>
      </c>
      <c r="B27" s="91" t="s">
        <v>107</v>
      </c>
      <c r="C27" s="134" t="s">
        <v>67</v>
      </c>
      <c r="D27" s="122" t="s">
        <v>87</v>
      </c>
      <c r="E27" s="105"/>
      <c r="F27" s="131"/>
      <c r="G27" s="170"/>
      <c r="H27" s="158"/>
      <c r="I27" s="92">
        <v>0.51</v>
      </c>
      <c r="J27" s="41">
        <v>0.49</v>
      </c>
      <c r="K27" s="41"/>
      <c r="L27" s="42"/>
      <c r="M27" s="147"/>
      <c r="N27" s="94">
        <f>SUM(I27:M27)</f>
        <v>1</v>
      </c>
      <c r="O27" s="125">
        <v>1</v>
      </c>
      <c r="P27" s="112">
        <v>15</v>
      </c>
      <c r="Q27" s="113">
        <v>15</v>
      </c>
      <c r="R27" s="113"/>
      <c r="S27" s="120"/>
      <c r="T27" s="70"/>
      <c r="U27" s="71">
        <f>ROUND(((P27*I27)+(Q27*J27)+(R27*K27)+(S27*L27)+(T27*M27))*O27,2)</f>
        <v>15</v>
      </c>
      <c r="V27" s="72">
        <f>IF(U27&gt;=15,15,U27)</f>
        <v>15</v>
      </c>
      <c r="W27" s="136">
        <v>5383000000</v>
      </c>
      <c r="X27" s="136">
        <v>78106522000</v>
      </c>
      <c r="Y27" s="85"/>
      <c r="Z27" s="139"/>
      <c r="AA27" s="74"/>
      <c r="AB27" s="75">
        <f>ROUND((((W27*I27)+(X27*J27)+(Y27*K27)+(Z27*L27)+(AA27*M27))/$I$2),2)*13</f>
        <v>32.5</v>
      </c>
      <c r="AC27" s="72">
        <f>IF(AB27&gt;=13,13,AB27)</f>
        <v>13</v>
      </c>
      <c r="AD27" s="124">
        <v>2</v>
      </c>
      <c r="AE27" s="71">
        <f>IF((AC27+AD27)&gt;=15,15,(AC27+AD27))</f>
        <v>15</v>
      </c>
      <c r="AF27" s="76"/>
      <c r="AG27" s="54">
        <v>3.44</v>
      </c>
      <c r="AH27" s="77">
        <f>IF((V27+AE27+AF27)&gt;=30,30,(V27+AE27+AF27))</f>
        <v>30</v>
      </c>
      <c r="AI27" s="56">
        <v>10</v>
      </c>
      <c r="AJ27" s="56">
        <v>10</v>
      </c>
      <c r="AK27" s="56">
        <v>45</v>
      </c>
      <c r="AL27" s="57">
        <f>V27+AE27+AF27+AI27+AJ27+AK27+AG27</f>
        <v>98.44</v>
      </c>
      <c r="AM27" s="55">
        <f>IF(AH27+AI27+AJ27+AK27+AG27&gt;=95,95,AH27+AI27+AJ27+AK27+AG27)</f>
        <v>95</v>
      </c>
      <c r="AN27" s="78">
        <f>-((50-((176+(45+(50-AH27)))))/200)</f>
        <v>0.95499999999999996</v>
      </c>
      <c r="AO27" s="79"/>
      <c r="AP27" s="80">
        <f t="shared" si="9"/>
        <v>1</v>
      </c>
      <c r="AQ27" s="80">
        <f t="shared" si="9"/>
        <v>2</v>
      </c>
      <c r="AR27" s="61"/>
      <c r="AS27" s="62"/>
      <c r="AT27" s="81"/>
      <c r="AU27" s="81"/>
      <c r="AV27" s="81"/>
      <c r="AW27" s="81"/>
      <c r="AX27" s="82"/>
      <c r="AY27" s="83">
        <f>AT27+AU27+AV27+AW27+AX27</f>
        <v>0</v>
      </c>
      <c r="AZ27" s="83">
        <f t="shared" si="7"/>
        <v>0</v>
      </c>
    </row>
    <row r="28" spans="1:52" s="66" customFormat="1" ht="21.95" customHeight="1" thickBot="1" x14ac:dyDescent="0.2">
      <c r="A28" s="96"/>
      <c r="B28" s="91"/>
      <c r="C28" s="352" t="s">
        <v>3</v>
      </c>
      <c r="D28" s="353"/>
      <c r="E28" s="353"/>
      <c r="F28" s="353"/>
      <c r="G28" s="354"/>
      <c r="H28" s="67"/>
      <c r="I28" s="84">
        <v>85</v>
      </c>
      <c r="J28" s="84">
        <v>85</v>
      </c>
      <c r="K28" s="84"/>
      <c r="L28" s="84"/>
      <c r="M28" s="84"/>
      <c r="N28" s="168">
        <f>I28*I27+J28*J27+K28*K27+L28*L27+M28*M27</f>
        <v>85</v>
      </c>
      <c r="O28" s="44"/>
      <c r="P28" s="45"/>
      <c r="Q28" s="46"/>
      <c r="R28" s="46"/>
      <c r="S28" s="47"/>
      <c r="T28" s="70"/>
      <c r="U28" s="71"/>
      <c r="V28" s="72"/>
      <c r="W28" s="150"/>
      <c r="X28" s="85"/>
      <c r="Y28" s="151"/>
      <c r="Z28" s="85"/>
      <c r="AA28" s="74"/>
      <c r="AB28" s="75"/>
      <c r="AC28" s="72"/>
      <c r="AD28" s="71"/>
      <c r="AE28" s="71"/>
      <c r="AF28" s="152"/>
      <c r="AG28" s="86"/>
      <c r="AH28" s="77"/>
      <c r="AI28" s="87"/>
      <c r="AJ28" s="46"/>
      <c r="AK28" s="77"/>
      <c r="AL28" s="78"/>
      <c r="AM28" s="79"/>
      <c r="AN28" s="80"/>
      <c r="AO28" s="80"/>
      <c r="AP28" s="61"/>
      <c r="AQ28" s="62"/>
      <c r="AR28" s="81"/>
      <c r="AS28" s="81"/>
      <c r="AT28" s="81"/>
      <c r="AU28" s="81"/>
      <c r="AV28" s="82"/>
      <c r="AW28" s="83"/>
      <c r="AX28" s="83"/>
      <c r="AZ28" s="66">
        <f t="shared" si="7"/>
        <v>0</v>
      </c>
    </row>
    <row r="29" spans="1:52" s="66" customFormat="1" ht="39.75" customHeight="1" thickBot="1" x14ac:dyDescent="0.2">
      <c r="A29" s="181">
        <v>13</v>
      </c>
      <c r="B29" s="181" t="s">
        <v>88</v>
      </c>
      <c r="C29" s="122" t="s">
        <v>81</v>
      </c>
      <c r="D29" s="122" t="s">
        <v>2</v>
      </c>
      <c r="E29" s="98" t="s">
        <v>82</v>
      </c>
      <c r="F29" s="109"/>
      <c r="G29" s="170"/>
      <c r="H29" s="158"/>
      <c r="I29" s="111">
        <v>0.4</v>
      </c>
      <c r="J29" s="172">
        <v>0.3</v>
      </c>
      <c r="K29" s="41">
        <v>0.3</v>
      </c>
      <c r="L29" s="42"/>
      <c r="M29" s="147"/>
      <c r="N29" s="94">
        <f>SUM(I29:M29)</f>
        <v>1</v>
      </c>
      <c r="O29" s="125">
        <v>1</v>
      </c>
      <c r="P29" s="112">
        <v>15</v>
      </c>
      <c r="Q29" s="113">
        <v>15</v>
      </c>
      <c r="R29" s="113">
        <v>15</v>
      </c>
      <c r="S29" s="120"/>
      <c r="T29" s="70"/>
      <c r="U29" s="71">
        <f>ROUND(((P29*I29)+(Q29*J29)+(R29*K29)+(S29*L29)+(T29*M29))*O29,2)</f>
        <v>15</v>
      </c>
      <c r="V29" s="72">
        <f>IF(U29&gt;=15,15,U29)</f>
        <v>15</v>
      </c>
      <c r="W29" s="136"/>
      <c r="X29" s="136">
        <v>56329120000</v>
      </c>
      <c r="Y29" s="116"/>
      <c r="Z29" s="136"/>
      <c r="AA29" s="74"/>
      <c r="AB29" s="75">
        <f>ROUND((((W29*I29)+(X29*J29)+(Y29*K29)+(Z29*L29)+(AA29*M29))/$I$2),2)*13</f>
        <v>13.39</v>
      </c>
      <c r="AC29" s="72">
        <f>IF(AB29&gt;=13,13,AB29)</f>
        <v>13</v>
      </c>
      <c r="AD29" s="124">
        <v>2</v>
      </c>
      <c r="AE29" s="71">
        <f>IF((AC29+AD29)&gt;=15,15,(AC29+AD29))</f>
        <v>15</v>
      </c>
      <c r="AF29" s="53"/>
      <c r="AG29" s="54">
        <v>3.44</v>
      </c>
      <c r="AH29" s="77">
        <f>IF((V29+AE29+AF29)&gt;=30,30,(V29+AE29+AF29))</f>
        <v>30</v>
      </c>
      <c r="AI29" s="56">
        <v>10</v>
      </c>
      <c r="AJ29" s="56">
        <v>10</v>
      </c>
      <c r="AK29" s="56">
        <v>45</v>
      </c>
      <c r="AL29" s="57">
        <f>V29+AE29+AF29+AI29+AJ29+AK29+AG29</f>
        <v>98.44</v>
      </c>
      <c r="AM29" s="55">
        <f>IF(AH29+AI29+AJ29+AK29+AG29&gt;=95,95,AH29+AI29+AJ29+AK29+AG29)</f>
        <v>95</v>
      </c>
      <c r="AN29" s="78">
        <f>-((50-((176+(45+(50-AH29)))))/200)</f>
        <v>0.95499999999999996</v>
      </c>
      <c r="AO29" s="79"/>
      <c r="AP29" s="80">
        <f t="shared" si="9"/>
        <v>1</v>
      </c>
      <c r="AQ29" s="80">
        <f t="shared" si="9"/>
        <v>2</v>
      </c>
      <c r="AR29" s="61"/>
      <c r="AS29" s="62"/>
      <c r="AT29" s="81"/>
      <c r="AU29" s="81"/>
      <c r="AV29" s="81"/>
      <c r="AW29" s="81"/>
      <c r="AX29" s="82"/>
      <c r="AY29" s="83">
        <f>AT29+AU29+AV29+AW29+AX29</f>
        <v>0</v>
      </c>
      <c r="AZ29" s="83">
        <f t="shared" si="7"/>
        <v>0</v>
      </c>
    </row>
    <row r="30" spans="1:52" s="66" customFormat="1" ht="39.75" customHeight="1" thickBot="1" x14ac:dyDescent="0.2">
      <c r="A30" s="181">
        <v>14</v>
      </c>
      <c r="B30" s="181" t="s">
        <v>89</v>
      </c>
      <c r="C30" s="131" t="s">
        <v>98</v>
      </c>
      <c r="D30" s="131" t="s">
        <v>79</v>
      </c>
      <c r="E30" s="131" t="s">
        <v>99</v>
      </c>
      <c r="F30" s="109"/>
      <c r="G30" s="170"/>
      <c r="H30" s="158"/>
      <c r="I30" s="111">
        <v>0.4</v>
      </c>
      <c r="J30" s="172">
        <v>0.3</v>
      </c>
      <c r="K30" s="41">
        <v>0.3</v>
      </c>
      <c r="L30" s="42"/>
      <c r="M30" s="147"/>
      <c r="N30" s="69">
        <f>SUM(I30:M30)</f>
        <v>1</v>
      </c>
      <c r="O30" s="125">
        <v>1</v>
      </c>
      <c r="P30" s="112">
        <v>15</v>
      </c>
      <c r="Q30" s="113">
        <v>15</v>
      </c>
      <c r="R30" s="113">
        <v>15</v>
      </c>
      <c r="S30" s="120"/>
      <c r="T30" s="70"/>
      <c r="U30" s="71">
        <f>ROUND(((P30*I30)+(Q30*J30)+(R30*K30)+(S30*L30)+(T30*M30))*O30,2)</f>
        <v>15</v>
      </c>
      <c r="V30" s="72">
        <f>IF(U30&gt;=15,15,U30)</f>
        <v>15</v>
      </c>
      <c r="W30" s="144"/>
      <c r="X30" s="136">
        <v>139068887000</v>
      </c>
      <c r="Y30" s="136"/>
      <c r="Z30" s="119"/>
      <c r="AA30" s="74"/>
      <c r="AB30" s="75">
        <f>ROUND((((W30*I30)+(X30*J30)+(Y30*K30)+(Z30*L30)+(AA30*M30))/$I$2),2)*13</f>
        <v>33.020000000000003</v>
      </c>
      <c r="AC30" s="72">
        <f>IF(AB30&gt;=13,13,AB30)</f>
        <v>13</v>
      </c>
      <c r="AD30" s="124">
        <v>2</v>
      </c>
      <c r="AE30" s="71">
        <f>IF((AC30+AD30)&gt;=15,15,(AC30+AD30))</f>
        <v>15</v>
      </c>
      <c r="AF30" s="76"/>
      <c r="AG30" s="54">
        <v>3.44</v>
      </c>
      <c r="AH30" s="77">
        <f>IF((V30+AE30+AF30)&gt;=30,30,(V30+AE30+AF30))</f>
        <v>30</v>
      </c>
      <c r="AI30" s="56">
        <v>10</v>
      </c>
      <c r="AJ30" s="56">
        <v>10</v>
      </c>
      <c r="AK30" s="56">
        <v>45</v>
      </c>
      <c r="AL30" s="57">
        <f>V30+AE30+AF30+AI30+AJ30+AK30+AG30</f>
        <v>98.44</v>
      </c>
      <c r="AM30" s="55">
        <f>IF(AH30+AI30+AJ30+AK30+AG30&gt;=95,95,AH30+AI30+AJ30+AK30+AG30)</f>
        <v>95</v>
      </c>
      <c r="AN30" s="78">
        <f>-((50-((176+(45+(50-AH30)))))/200)</f>
        <v>0.95499999999999996</v>
      </c>
      <c r="AO30" s="79"/>
      <c r="AP30" s="80">
        <f t="shared" si="9"/>
        <v>1</v>
      </c>
      <c r="AQ30" s="80">
        <f t="shared" si="9"/>
        <v>2</v>
      </c>
      <c r="AR30" s="61"/>
      <c r="AS30" s="62"/>
      <c r="AT30" s="81"/>
      <c r="AU30" s="81"/>
      <c r="AV30" s="81"/>
      <c r="AW30" s="81"/>
      <c r="AX30" s="82"/>
      <c r="AY30" s="83">
        <f>AT30+AU30+AV30+AW30+AX30</f>
        <v>0</v>
      </c>
      <c r="AZ30" s="83">
        <f t="shared" si="7"/>
        <v>0</v>
      </c>
    </row>
    <row r="31" spans="1:52" s="66" customFormat="1" ht="39.75" customHeight="1" thickBot="1" x14ac:dyDescent="0.2">
      <c r="A31" s="96">
        <v>15</v>
      </c>
      <c r="B31" s="91" t="s">
        <v>107</v>
      </c>
      <c r="C31" s="131" t="s">
        <v>112</v>
      </c>
      <c r="D31" s="134" t="s">
        <v>97</v>
      </c>
      <c r="E31" s="132" t="s">
        <v>106</v>
      </c>
      <c r="F31" s="109"/>
      <c r="G31" s="170"/>
      <c r="H31" s="158" t="s">
        <v>113</v>
      </c>
      <c r="I31" s="92">
        <v>0.7</v>
      </c>
      <c r="J31" s="153">
        <v>0.1288</v>
      </c>
      <c r="K31" s="153">
        <v>9.4799999999999995E-2</v>
      </c>
      <c r="L31" s="42"/>
      <c r="M31" s="68"/>
      <c r="N31" s="94">
        <f t="shared" ref="N31:N60" si="11">SUM(I31:M31)</f>
        <v>0.92359999999999998</v>
      </c>
      <c r="O31" s="125">
        <v>1</v>
      </c>
      <c r="P31" s="112">
        <v>15</v>
      </c>
      <c r="Q31" s="120">
        <v>15</v>
      </c>
      <c r="R31" s="89">
        <v>15</v>
      </c>
      <c r="S31" s="120">
        <v>15</v>
      </c>
      <c r="T31" s="70"/>
      <c r="U31" s="71">
        <f t="shared" ref="U31:U97" si="12">ROUND(((P31*I31)+(Q31*J31)+(R31*K31)+(S31*L31)+(T31*M31))*O31,2)</f>
        <v>13.85</v>
      </c>
      <c r="V31" s="72">
        <f t="shared" ref="V31:V97" si="13">IF(U31&gt;=15,15,U31)</f>
        <v>13.85</v>
      </c>
      <c r="W31" s="137">
        <v>52502259000</v>
      </c>
      <c r="X31" s="136">
        <v>1258217000</v>
      </c>
      <c r="Y31" s="85">
        <v>1300244000</v>
      </c>
      <c r="Z31" s="139"/>
      <c r="AA31" s="85"/>
      <c r="AB31" s="71">
        <f t="shared" ref="AB31:AB97" si="14">ROUND((((W31*I31)+(X31*J31)+(Y31*K31)+(Z31*L31)+(AA31*M31))/$I$2),2)*13</f>
        <v>29.379999999999995</v>
      </c>
      <c r="AC31" s="72">
        <f t="shared" ref="AC31:AC97" si="15">IF(AB31&gt;=13,13,AB31)</f>
        <v>13</v>
      </c>
      <c r="AD31" s="149">
        <v>0</v>
      </c>
      <c r="AE31" s="71">
        <f t="shared" ref="AE31:AE97" si="16">IF((AC31+AD31)&gt;=15,15,(AC31+AD31))</f>
        <v>13</v>
      </c>
      <c r="AF31" s="76"/>
      <c r="AG31" s="54">
        <v>3.44</v>
      </c>
      <c r="AH31" s="77">
        <f t="shared" ref="AH31:AH97" si="17">IF((V31+AE31+AF31)&gt;=30,30,(V31+AE31+AF31))</f>
        <v>26.85</v>
      </c>
      <c r="AI31" s="56">
        <v>10</v>
      </c>
      <c r="AJ31" s="56">
        <v>10</v>
      </c>
      <c r="AK31" s="56">
        <v>45</v>
      </c>
      <c r="AL31" s="57">
        <f t="shared" ref="AL31:AL97" si="18">V31+AE31+AF31+AI31+AJ31+AK31+AG31</f>
        <v>95.289999999999992</v>
      </c>
      <c r="AM31" s="55">
        <f t="shared" ref="AM31:AM97" si="19">IF(AH31+AI31+AJ31+AK31+AG31&gt;=95,95,AH31+AI31+AJ31+AK31+AG31)</f>
        <v>95</v>
      </c>
      <c r="AN31" s="78">
        <f t="shared" ref="AN31:AN97" si="20">-((50-((176+(45+(50-AH31)))))/200)</f>
        <v>0.97075</v>
      </c>
      <c r="AO31" s="79"/>
      <c r="AP31" s="80">
        <f t="shared" si="9"/>
        <v>1</v>
      </c>
      <c r="AQ31" s="80">
        <f t="shared" si="9"/>
        <v>2</v>
      </c>
      <c r="AR31" s="61"/>
      <c r="AS31" s="62"/>
      <c r="AT31" s="81"/>
      <c r="AU31" s="81"/>
      <c r="AV31" s="81"/>
      <c r="AW31" s="81"/>
      <c r="AX31" s="82"/>
      <c r="AY31" s="83">
        <f t="shared" ref="AY31:AY97" si="21">AT31+AU31+AV31+AW31+AX31</f>
        <v>0</v>
      </c>
      <c r="AZ31" s="83">
        <f t="shared" si="7"/>
        <v>0</v>
      </c>
    </row>
    <row r="32" spans="1:52" s="66" customFormat="1" ht="21.95" customHeight="1" thickBot="1" x14ac:dyDescent="0.2">
      <c r="A32" s="96"/>
      <c r="B32" s="91"/>
      <c r="C32" s="352" t="s">
        <v>3</v>
      </c>
      <c r="D32" s="353"/>
      <c r="E32" s="353"/>
      <c r="F32" s="353"/>
      <c r="G32" s="354"/>
      <c r="H32" s="67"/>
      <c r="I32" s="84">
        <v>85</v>
      </c>
      <c r="J32" s="84">
        <v>85</v>
      </c>
      <c r="K32" s="84">
        <v>85</v>
      </c>
      <c r="L32" s="84"/>
      <c r="M32" s="84"/>
      <c r="N32" s="168">
        <f>I32*I31+J32*J31+K32*K31+L32*L31+M32*M31</f>
        <v>78.506</v>
      </c>
      <c r="O32" s="44"/>
      <c r="P32" s="45"/>
      <c r="Q32" s="46"/>
      <c r="R32" s="46"/>
      <c r="S32" s="47"/>
      <c r="T32" s="70"/>
      <c r="U32" s="71"/>
      <c r="V32" s="72"/>
      <c r="W32" s="150"/>
      <c r="X32" s="85"/>
      <c r="Y32" s="151"/>
      <c r="Z32" s="85"/>
      <c r="AA32" s="74"/>
      <c r="AB32" s="75"/>
      <c r="AC32" s="72"/>
      <c r="AD32" s="71"/>
      <c r="AE32" s="71"/>
      <c r="AF32" s="152"/>
      <c r="AG32" s="86"/>
      <c r="AH32" s="77"/>
      <c r="AI32" s="87"/>
      <c r="AJ32" s="46"/>
      <c r="AK32" s="77"/>
      <c r="AL32" s="78"/>
      <c r="AM32" s="79"/>
      <c r="AN32" s="80"/>
      <c r="AO32" s="80"/>
      <c r="AP32" s="61"/>
      <c r="AQ32" s="62"/>
      <c r="AR32" s="81"/>
      <c r="AS32" s="81"/>
      <c r="AT32" s="81"/>
      <c r="AU32" s="81"/>
      <c r="AV32" s="82"/>
      <c r="AW32" s="83"/>
      <c r="AX32" s="83"/>
      <c r="AZ32" s="66">
        <f t="shared" ref="AZ32" si="22">(AT32*I32)+(AU32*J32)+(AV32*K32)+(AW32*L32)+(AX32*M32)</f>
        <v>0</v>
      </c>
    </row>
    <row r="33" spans="1:52" s="66" customFormat="1" ht="39.75" customHeight="1" thickBot="1" x14ac:dyDescent="0.2">
      <c r="A33" s="96">
        <v>16</v>
      </c>
      <c r="B33" s="91" t="s">
        <v>107</v>
      </c>
      <c r="C33" s="131" t="s">
        <v>101</v>
      </c>
      <c r="D33" s="134" t="s">
        <v>109</v>
      </c>
      <c r="E33" s="131"/>
      <c r="F33" s="108"/>
      <c r="G33" s="170"/>
      <c r="H33" s="158"/>
      <c r="I33" s="92">
        <v>0.56000000000000005</v>
      </c>
      <c r="J33" s="41">
        <v>0.44</v>
      </c>
      <c r="K33" s="41"/>
      <c r="L33" s="42"/>
      <c r="M33" s="147"/>
      <c r="N33" s="94">
        <f>SUM(I33:M33)</f>
        <v>1</v>
      </c>
      <c r="O33" s="125">
        <v>1</v>
      </c>
      <c r="P33" s="112">
        <v>15</v>
      </c>
      <c r="Q33" s="113">
        <v>15</v>
      </c>
      <c r="R33" s="120"/>
      <c r="S33" s="120"/>
      <c r="T33" s="70"/>
      <c r="U33" s="71">
        <f>ROUND(((P33*I33)+(Q33*J33)+(R33*K33)+(S33*L33)+(T33*M33))*O33,2)</f>
        <v>15</v>
      </c>
      <c r="V33" s="72">
        <f>IF(U33&gt;=15,15,U33)</f>
        <v>15</v>
      </c>
      <c r="W33" s="136">
        <v>41028772000</v>
      </c>
      <c r="X33" s="85">
        <v>5348852000</v>
      </c>
      <c r="Y33" s="146"/>
      <c r="Z33" s="117"/>
      <c r="AA33" s="74"/>
      <c r="AB33" s="75">
        <f>ROUND((((W33*I33)+(X33*J33)+(Y33*K33)+(Z33*L33)+(AA33*M33))/$I$2),2)*13</f>
        <v>20.02</v>
      </c>
      <c r="AC33" s="72">
        <f>IF(AB33&gt;=13,13,AB33)</f>
        <v>13</v>
      </c>
      <c r="AD33" s="124">
        <v>2</v>
      </c>
      <c r="AE33" s="71">
        <f>IF((AC33+AD33)&gt;=15,15,(AC33+AD33))</f>
        <v>15</v>
      </c>
      <c r="AF33" s="76"/>
      <c r="AG33" s="54">
        <v>3.44</v>
      </c>
      <c r="AH33" s="77">
        <f>IF((V33+AE33+AF33)&gt;=30,30,(V33+AE33+AF33))</f>
        <v>30</v>
      </c>
      <c r="AI33" s="56">
        <v>10</v>
      </c>
      <c r="AJ33" s="56">
        <v>10</v>
      </c>
      <c r="AK33" s="56">
        <v>45</v>
      </c>
      <c r="AL33" s="57">
        <f>V33+AE33+AF33+AI33+AJ33+AK33+AG33</f>
        <v>98.44</v>
      </c>
      <c r="AM33" s="55">
        <f>IF(AH33+AI33+AJ33+AK33+AG33&gt;=95,95,AH33+AI33+AJ33+AK33+AG33)</f>
        <v>95</v>
      </c>
      <c r="AN33" s="78">
        <f>-((50-((176+(45+(50-AH33)))))/200)</f>
        <v>0.95499999999999996</v>
      </c>
      <c r="AO33" s="79"/>
      <c r="AP33" s="80">
        <f>100%+AO33</f>
        <v>1</v>
      </c>
      <c r="AQ33" s="80">
        <f>100%+AP33</f>
        <v>2</v>
      </c>
      <c r="AR33" s="61"/>
      <c r="AS33" s="62"/>
      <c r="AT33" s="81"/>
      <c r="AU33" s="81"/>
      <c r="AV33" s="81"/>
      <c r="AW33" s="81"/>
      <c r="AX33" s="82"/>
      <c r="AY33" s="83">
        <f>AT33+AU33+AV33+AW33+AX33</f>
        <v>0</v>
      </c>
      <c r="AZ33" s="83">
        <f>(AT33*I33)+(AU33*J33)+(AV33*K33)+(AW33*L33)+(AX33*M33)</f>
        <v>0</v>
      </c>
    </row>
    <row r="34" spans="1:52" s="66" customFormat="1" ht="39.75" customHeight="1" thickBot="1" x14ac:dyDescent="0.2">
      <c r="A34" s="96">
        <v>17</v>
      </c>
      <c r="B34" s="91" t="s">
        <v>107</v>
      </c>
      <c r="C34" s="131" t="s">
        <v>86</v>
      </c>
      <c r="D34" s="187" t="s">
        <v>110</v>
      </c>
      <c r="E34" s="142" t="s">
        <v>108</v>
      </c>
      <c r="F34" s="109"/>
      <c r="G34" s="170"/>
      <c r="H34" s="158"/>
      <c r="I34" s="92">
        <v>0.61</v>
      </c>
      <c r="J34" s="41">
        <v>0.27</v>
      </c>
      <c r="K34" s="41">
        <v>0.12</v>
      </c>
      <c r="L34" s="42"/>
      <c r="M34" s="147"/>
      <c r="N34" s="94">
        <f t="shared" si="11"/>
        <v>1</v>
      </c>
      <c r="O34" s="125">
        <v>1</v>
      </c>
      <c r="P34" s="112">
        <v>15</v>
      </c>
      <c r="Q34" s="113">
        <v>15</v>
      </c>
      <c r="R34" s="186">
        <v>14.93</v>
      </c>
      <c r="S34" s="120"/>
      <c r="T34" s="70"/>
      <c r="U34" s="71">
        <f t="shared" si="12"/>
        <v>14.99</v>
      </c>
      <c r="V34" s="72">
        <f t="shared" si="13"/>
        <v>14.99</v>
      </c>
      <c r="W34" s="137">
        <v>816103333000</v>
      </c>
      <c r="X34" s="148">
        <v>3754511000</v>
      </c>
      <c r="Y34" s="136">
        <v>45650000</v>
      </c>
      <c r="Z34" s="136"/>
      <c r="AA34" s="74"/>
      <c r="AB34" s="75">
        <f t="shared" si="14"/>
        <v>395.33</v>
      </c>
      <c r="AC34" s="72">
        <f t="shared" si="15"/>
        <v>13</v>
      </c>
      <c r="AD34" s="124">
        <v>2</v>
      </c>
      <c r="AE34" s="71">
        <f t="shared" si="16"/>
        <v>15</v>
      </c>
      <c r="AF34" s="76"/>
      <c r="AG34" s="54">
        <v>3.44</v>
      </c>
      <c r="AH34" s="77">
        <f t="shared" si="17"/>
        <v>29.990000000000002</v>
      </c>
      <c r="AI34" s="56">
        <v>10</v>
      </c>
      <c r="AJ34" s="56">
        <v>10</v>
      </c>
      <c r="AK34" s="56">
        <v>45</v>
      </c>
      <c r="AL34" s="57">
        <f t="shared" si="18"/>
        <v>98.43</v>
      </c>
      <c r="AM34" s="55">
        <f t="shared" si="19"/>
        <v>95</v>
      </c>
      <c r="AN34" s="78">
        <f t="shared" si="20"/>
        <v>0.95504999999999995</v>
      </c>
      <c r="AO34" s="79"/>
      <c r="AP34" s="80">
        <f t="shared" si="9"/>
        <v>1</v>
      </c>
      <c r="AQ34" s="80">
        <f t="shared" si="9"/>
        <v>2</v>
      </c>
      <c r="AR34" s="61"/>
      <c r="AS34" s="62"/>
      <c r="AT34" s="81"/>
      <c r="AU34" s="81"/>
      <c r="AV34" s="81"/>
      <c r="AW34" s="81"/>
      <c r="AX34" s="82"/>
      <c r="AY34" s="83">
        <f t="shared" si="21"/>
        <v>0</v>
      </c>
      <c r="AZ34" s="83">
        <f t="shared" si="7"/>
        <v>0</v>
      </c>
    </row>
    <row r="35" spans="1:52" s="66" customFormat="1" ht="39.75" customHeight="1" thickBot="1" x14ac:dyDescent="0.2">
      <c r="A35" s="96">
        <v>18</v>
      </c>
      <c r="B35" s="91" t="s">
        <v>107</v>
      </c>
      <c r="C35" s="131" t="s">
        <v>116</v>
      </c>
      <c r="D35" s="185" t="s">
        <v>114</v>
      </c>
      <c r="E35" s="131" t="s">
        <v>111</v>
      </c>
      <c r="F35" s="131"/>
      <c r="G35" s="170"/>
      <c r="H35" s="158" t="s">
        <v>115</v>
      </c>
      <c r="I35" s="92">
        <v>0.4</v>
      </c>
      <c r="J35" s="153">
        <v>0.21890000000000001</v>
      </c>
      <c r="K35" s="41">
        <v>0.3</v>
      </c>
      <c r="L35" s="42"/>
      <c r="M35" s="147"/>
      <c r="N35" s="94">
        <f t="shared" si="11"/>
        <v>0.91890000000000005</v>
      </c>
      <c r="O35" s="125">
        <v>1</v>
      </c>
      <c r="P35" s="112">
        <v>15</v>
      </c>
      <c r="Q35" s="135">
        <v>14.83</v>
      </c>
      <c r="R35" s="114">
        <v>15</v>
      </c>
      <c r="S35" s="120"/>
      <c r="T35" s="70"/>
      <c r="U35" s="71">
        <f t="shared" si="12"/>
        <v>13.75</v>
      </c>
      <c r="V35" s="72">
        <f t="shared" si="13"/>
        <v>13.75</v>
      </c>
      <c r="W35" s="136">
        <v>233566701000</v>
      </c>
      <c r="X35" s="148"/>
      <c r="Y35" s="117">
        <v>3664456000</v>
      </c>
      <c r="Z35" s="136"/>
      <c r="AA35" s="74"/>
      <c r="AB35" s="75">
        <f t="shared" si="14"/>
        <v>74.88</v>
      </c>
      <c r="AC35" s="72">
        <f t="shared" si="15"/>
        <v>13</v>
      </c>
      <c r="AD35" s="149">
        <v>0</v>
      </c>
      <c r="AE35" s="71">
        <f t="shared" si="16"/>
        <v>13</v>
      </c>
      <c r="AF35" s="76"/>
      <c r="AG35" s="54">
        <v>3.44</v>
      </c>
      <c r="AH35" s="77">
        <f t="shared" si="17"/>
        <v>26.75</v>
      </c>
      <c r="AI35" s="56">
        <v>10</v>
      </c>
      <c r="AJ35" s="56">
        <v>10</v>
      </c>
      <c r="AK35" s="56">
        <v>45</v>
      </c>
      <c r="AL35" s="57">
        <f t="shared" si="18"/>
        <v>95.19</v>
      </c>
      <c r="AM35" s="55">
        <f t="shared" si="19"/>
        <v>95</v>
      </c>
      <c r="AN35" s="78">
        <f t="shared" si="20"/>
        <v>0.97124999999999995</v>
      </c>
      <c r="AO35" s="79"/>
      <c r="AP35" s="80">
        <f t="shared" si="9"/>
        <v>1</v>
      </c>
      <c r="AQ35" s="80">
        <f t="shared" si="9"/>
        <v>2</v>
      </c>
      <c r="AR35" s="61"/>
      <c r="AS35" s="62"/>
      <c r="AT35" s="81"/>
      <c r="AU35" s="81"/>
      <c r="AV35" s="81"/>
      <c r="AW35" s="81"/>
      <c r="AX35" s="82"/>
      <c r="AY35" s="83">
        <f t="shared" si="21"/>
        <v>0</v>
      </c>
      <c r="AZ35" s="83">
        <f t="shared" si="7"/>
        <v>0</v>
      </c>
    </row>
    <row r="36" spans="1:52" s="66" customFormat="1" ht="21.95" customHeight="1" thickBot="1" x14ac:dyDescent="0.2">
      <c r="A36" s="96"/>
      <c r="B36" s="91"/>
      <c r="C36" s="352" t="s">
        <v>3</v>
      </c>
      <c r="D36" s="353"/>
      <c r="E36" s="353"/>
      <c r="F36" s="353"/>
      <c r="G36" s="354"/>
      <c r="H36" s="67"/>
      <c r="I36" s="84">
        <v>85</v>
      </c>
      <c r="J36" s="84">
        <v>85</v>
      </c>
      <c r="K36" s="84">
        <v>85</v>
      </c>
      <c r="L36" s="84"/>
      <c r="M36" s="84"/>
      <c r="N36" s="168">
        <f>I36*I35+J36*J35+K36*K35+L36*L35+M36*M35</f>
        <v>78.106499999999997</v>
      </c>
      <c r="O36" s="44"/>
      <c r="P36" s="45"/>
      <c r="Q36" s="46"/>
      <c r="R36" s="46"/>
      <c r="S36" s="47"/>
      <c r="T36" s="70"/>
      <c r="U36" s="71"/>
      <c r="V36" s="72"/>
      <c r="W36" s="150"/>
      <c r="X36" s="85"/>
      <c r="Y36" s="151"/>
      <c r="Z36" s="85"/>
      <c r="AA36" s="74"/>
      <c r="AB36" s="75"/>
      <c r="AC36" s="72"/>
      <c r="AD36" s="71"/>
      <c r="AE36" s="71"/>
      <c r="AF36" s="152"/>
      <c r="AG36" s="86"/>
      <c r="AH36" s="77"/>
      <c r="AI36" s="87"/>
      <c r="AJ36" s="46"/>
      <c r="AK36" s="77"/>
      <c r="AL36" s="78"/>
      <c r="AM36" s="79"/>
      <c r="AN36" s="80"/>
      <c r="AO36" s="80"/>
      <c r="AP36" s="61"/>
      <c r="AQ36" s="62"/>
      <c r="AR36" s="81"/>
      <c r="AS36" s="81"/>
      <c r="AT36" s="81"/>
      <c r="AU36" s="81"/>
      <c r="AV36" s="82"/>
      <c r="AW36" s="83"/>
      <c r="AX36" s="83"/>
      <c r="AZ36" s="66">
        <f t="shared" si="7"/>
        <v>0</v>
      </c>
    </row>
    <row r="37" spans="1:52" s="66" customFormat="1" ht="39.75" customHeight="1" thickBot="1" x14ac:dyDescent="0.2">
      <c r="A37" s="96">
        <v>19</v>
      </c>
      <c r="B37" s="91" t="s">
        <v>121</v>
      </c>
      <c r="C37" s="131" t="s">
        <v>118</v>
      </c>
      <c r="D37" s="131" t="s">
        <v>119</v>
      </c>
      <c r="E37" s="131" t="s">
        <v>120</v>
      </c>
      <c r="F37" s="131" t="s">
        <v>102</v>
      </c>
      <c r="G37" s="170"/>
      <c r="H37" s="158"/>
      <c r="I37" s="92">
        <v>0.3</v>
      </c>
      <c r="J37" s="41">
        <v>0.3</v>
      </c>
      <c r="K37" s="41">
        <v>0.15</v>
      </c>
      <c r="L37" s="42">
        <v>0.25</v>
      </c>
      <c r="M37" s="147"/>
      <c r="N37" s="94">
        <f t="shared" si="11"/>
        <v>1</v>
      </c>
      <c r="O37" s="125">
        <v>1</v>
      </c>
      <c r="P37" s="112">
        <v>15</v>
      </c>
      <c r="Q37" s="113">
        <v>15</v>
      </c>
      <c r="R37" s="114">
        <v>15</v>
      </c>
      <c r="S37" s="120">
        <v>15</v>
      </c>
      <c r="T37" s="70"/>
      <c r="U37" s="71">
        <f t="shared" si="12"/>
        <v>15</v>
      </c>
      <c r="V37" s="72">
        <f t="shared" si="13"/>
        <v>15</v>
      </c>
      <c r="W37" s="137"/>
      <c r="X37" s="138"/>
      <c r="Y37" s="136"/>
      <c r="Z37" s="136">
        <v>101360213000</v>
      </c>
      <c r="AA37" s="74"/>
      <c r="AB37" s="75">
        <f t="shared" si="14"/>
        <v>20.02</v>
      </c>
      <c r="AC37" s="72">
        <f t="shared" si="15"/>
        <v>13</v>
      </c>
      <c r="AD37" s="124">
        <v>2</v>
      </c>
      <c r="AE37" s="71">
        <f t="shared" si="16"/>
        <v>15</v>
      </c>
      <c r="AF37" s="76"/>
      <c r="AG37" s="54">
        <v>3.44</v>
      </c>
      <c r="AH37" s="77">
        <f t="shared" si="17"/>
        <v>30</v>
      </c>
      <c r="AI37" s="56">
        <v>10</v>
      </c>
      <c r="AJ37" s="56">
        <v>10</v>
      </c>
      <c r="AK37" s="56">
        <v>45</v>
      </c>
      <c r="AL37" s="57">
        <f t="shared" si="18"/>
        <v>98.44</v>
      </c>
      <c r="AM37" s="55">
        <f t="shared" si="19"/>
        <v>95</v>
      </c>
      <c r="AN37" s="78">
        <f t="shared" si="20"/>
        <v>0.95499999999999996</v>
      </c>
      <c r="AO37" s="79"/>
      <c r="AP37" s="80">
        <f t="shared" si="9"/>
        <v>1</v>
      </c>
      <c r="AQ37" s="80">
        <f t="shared" si="9"/>
        <v>2</v>
      </c>
      <c r="AR37" s="61"/>
      <c r="AS37" s="62"/>
      <c r="AT37" s="81"/>
      <c r="AU37" s="81"/>
      <c r="AV37" s="81"/>
      <c r="AW37" s="81"/>
      <c r="AX37" s="82"/>
      <c r="AY37" s="83">
        <f t="shared" si="21"/>
        <v>0</v>
      </c>
      <c r="AZ37" s="83">
        <f t="shared" si="7"/>
        <v>0</v>
      </c>
    </row>
    <row r="38" spans="1:52" s="66" customFormat="1" ht="39.75" customHeight="1" thickBot="1" x14ac:dyDescent="0.2">
      <c r="A38" s="96"/>
      <c r="B38" s="91"/>
      <c r="C38" s="131"/>
      <c r="D38" s="109"/>
      <c r="E38" s="105"/>
      <c r="F38" s="109"/>
      <c r="G38" s="170"/>
      <c r="H38" s="158"/>
      <c r="I38" s="92">
        <v>0.7</v>
      </c>
      <c r="J38" s="41">
        <v>0.3</v>
      </c>
      <c r="K38" s="41"/>
      <c r="L38" s="42"/>
      <c r="M38" s="147"/>
      <c r="N38" s="94">
        <f>SUM(I38:M38)</f>
        <v>1</v>
      </c>
      <c r="O38" s="125">
        <v>1</v>
      </c>
      <c r="P38" s="126">
        <v>15</v>
      </c>
      <c r="Q38" s="89">
        <v>15</v>
      </c>
      <c r="R38" s="89"/>
      <c r="S38" s="114"/>
      <c r="T38" s="70"/>
      <c r="U38" s="71">
        <f>ROUND(((P38*I38)+(Q38*J38)+(R38*K38)+(S38*L38)+(T38*M38))*O38,2)</f>
        <v>15</v>
      </c>
      <c r="V38" s="72">
        <f>IF(U38&gt;=15,15,U38)</f>
        <v>15</v>
      </c>
      <c r="W38" s="136"/>
      <c r="X38" s="146"/>
      <c r="Y38" s="136"/>
      <c r="Z38" s="117"/>
      <c r="AA38" s="74"/>
      <c r="AB38" s="75">
        <f>ROUND((((W38*I38)+(X38*J38)+(Y38*K38)+(Z38*L38)+(AA38*M38))/$I$2),2)*13</f>
        <v>0</v>
      </c>
      <c r="AC38" s="72">
        <f>IF(AB38&gt;=13,13,AB38)</f>
        <v>0</v>
      </c>
      <c r="AD38" s="124">
        <v>2</v>
      </c>
      <c r="AE38" s="71">
        <f>IF((AC38+AD38)&gt;=15,15,(AC38+AD38))</f>
        <v>2</v>
      </c>
      <c r="AF38" s="76"/>
      <c r="AG38" s="54"/>
      <c r="AH38" s="77">
        <f>IF((V38+AE38+AF38)&gt;=30,30,(V38+AE38+AF38))</f>
        <v>17</v>
      </c>
      <c r="AI38" s="56">
        <v>10</v>
      </c>
      <c r="AJ38" s="56">
        <v>10</v>
      </c>
      <c r="AK38" s="56">
        <v>45</v>
      </c>
      <c r="AL38" s="57">
        <f>V38+AE38+AF38+AI38+AJ38+AK38+AG38</f>
        <v>82</v>
      </c>
      <c r="AM38" s="55">
        <f>IF(AH38+AI38+AJ38+AK38+AG38&gt;=95,95,AH38+AI38+AJ38+AK38+AG38)</f>
        <v>82</v>
      </c>
      <c r="AN38" s="78">
        <f>-((50-((176+(45+(50-AH38)))))/200)</f>
        <v>1.02</v>
      </c>
      <c r="AO38" s="79"/>
      <c r="AP38" s="80">
        <f>100%+AO38</f>
        <v>1</v>
      </c>
      <c r="AQ38" s="80">
        <f>100%+AP38</f>
        <v>2</v>
      </c>
      <c r="AR38" s="61"/>
      <c r="AS38" s="62"/>
      <c r="AT38" s="81"/>
      <c r="AU38" s="81"/>
      <c r="AV38" s="81"/>
      <c r="AW38" s="81"/>
      <c r="AX38" s="82"/>
      <c r="AY38" s="83">
        <f>AT38+AU38+AV38+AW38+AX38</f>
        <v>0</v>
      </c>
      <c r="AZ38" s="83">
        <f>(AT38*I38)+(AU38*J38)+(AV38*K38)+(AW38*L38)+(AX38*M38)</f>
        <v>0</v>
      </c>
    </row>
    <row r="39" spans="1:52" s="66" customFormat="1" ht="39.75" customHeight="1" thickBot="1" x14ac:dyDescent="0.2">
      <c r="A39" s="96"/>
      <c r="B39" s="91"/>
      <c r="C39" s="122" t="s">
        <v>100</v>
      </c>
      <c r="D39" s="122"/>
      <c r="E39" s="131"/>
      <c r="F39" s="110"/>
      <c r="G39" s="170"/>
      <c r="H39" s="158"/>
      <c r="I39" s="92">
        <v>0.7</v>
      </c>
      <c r="J39" s="41">
        <v>0.3</v>
      </c>
      <c r="K39" s="41"/>
      <c r="L39" s="42"/>
      <c r="M39" s="147"/>
      <c r="N39" s="94">
        <f t="shared" si="11"/>
        <v>1</v>
      </c>
      <c r="O39" s="125">
        <v>1</v>
      </c>
      <c r="P39" s="112">
        <v>15</v>
      </c>
      <c r="Q39" s="113">
        <v>15</v>
      </c>
      <c r="R39" s="114"/>
      <c r="S39" s="120"/>
      <c r="T39" s="70"/>
      <c r="U39" s="71">
        <f t="shared" si="12"/>
        <v>15</v>
      </c>
      <c r="V39" s="72">
        <f t="shared" si="13"/>
        <v>15</v>
      </c>
      <c r="W39" s="139">
        <v>39814172000</v>
      </c>
      <c r="X39" s="136"/>
      <c r="Y39" s="146"/>
      <c r="Z39" s="117"/>
      <c r="AA39" s="74"/>
      <c r="AB39" s="75">
        <f t="shared" si="14"/>
        <v>22.099999999999998</v>
      </c>
      <c r="AC39" s="72">
        <f t="shared" si="15"/>
        <v>13</v>
      </c>
      <c r="AD39" s="124">
        <v>2</v>
      </c>
      <c r="AE39" s="71">
        <f t="shared" si="16"/>
        <v>15</v>
      </c>
      <c r="AF39" s="76"/>
      <c r="AG39" s="54"/>
      <c r="AH39" s="77">
        <f t="shared" si="17"/>
        <v>30</v>
      </c>
      <c r="AI39" s="56">
        <v>10</v>
      </c>
      <c r="AJ39" s="56">
        <v>10</v>
      </c>
      <c r="AK39" s="56">
        <v>45</v>
      </c>
      <c r="AL39" s="57">
        <f t="shared" si="18"/>
        <v>95</v>
      </c>
      <c r="AM39" s="55">
        <f t="shared" si="19"/>
        <v>95</v>
      </c>
      <c r="AN39" s="78">
        <f t="shared" si="20"/>
        <v>0.95499999999999996</v>
      </c>
      <c r="AO39" s="79"/>
      <c r="AP39" s="80">
        <f t="shared" si="9"/>
        <v>1</v>
      </c>
      <c r="AQ39" s="80">
        <f t="shared" si="9"/>
        <v>2</v>
      </c>
      <c r="AR39" s="61"/>
      <c r="AS39" s="62"/>
      <c r="AT39" s="81"/>
      <c r="AU39" s="81"/>
      <c r="AV39" s="81"/>
      <c r="AW39" s="81"/>
      <c r="AX39" s="82"/>
      <c r="AY39" s="83">
        <f t="shared" si="21"/>
        <v>0</v>
      </c>
      <c r="AZ39" s="83">
        <f t="shared" si="7"/>
        <v>0</v>
      </c>
    </row>
    <row r="40" spans="1:52" s="66" customFormat="1" ht="39.75" customHeight="1" thickBot="1" x14ac:dyDescent="0.2">
      <c r="A40" s="96"/>
      <c r="B40" s="91"/>
      <c r="C40" s="122"/>
      <c r="D40" s="131"/>
      <c r="E40" s="105"/>
      <c r="F40" s="105"/>
      <c r="G40" s="170"/>
      <c r="H40" s="158"/>
      <c r="I40" s="92">
        <v>0.7</v>
      </c>
      <c r="J40" s="41">
        <v>0.3</v>
      </c>
      <c r="K40" s="41"/>
      <c r="L40" s="42"/>
      <c r="M40" s="147"/>
      <c r="N40" s="94">
        <f t="shared" si="11"/>
        <v>1</v>
      </c>
      <c r="O40" s="125">
        <v>1</v>
      </c>
      <c r="P40" s="126">
        <v>15</v>
      </c>
      <c r="Q40" s="89">
        <v>15</v>
      </c>
      <c r="R40" s="89"/>
      <c r="S40" s="114"/>
      <c r="T40" s="70"/>
      <c r="U40" s="71">
        <f t="shared" si="12"/>
        <v>15</v>
      </c>
      <c r="V40" s="72">
        <f t="shared" si="13"/>
        <v>15</v>
      </c>
      <c r="W40" s="144"/>
      <c r="X40" s="85"/>
      <c r="Y40" s="148"/>
      <c r="Z40" s="85"/>
      <c r="AA40" s="74"/>
      <c r="AB40" s="75">
        <f t="shared" si="14"/>
        <v>0</v>
      </c>
      <c r="AC40" s="72">
        <f t="shared" si="15"/>
        <v>0</v>
      </c>
      <c r="AD40" s="124">
        <v>2</v>
      </c>
      <c r="AE40" s="71">
        <f t="shared" si="16"/>
        <v>2</v>
      </c>
      <c r="AF40" s="76"/>
      <c r="AG40" s="54"/>
      <c r="AH40" s="77">
        <f t="shared" si="17"/>
        <v>17</v>
      </c>
      <c r="AI40" s="56">
        <v>10</v>
      </c>
      <c r="AJ40" s="56">
        <v>10</v>
      </c>
      <c r="AK40" s="56">
        <v>45</v>
      </c>
      <c r="AL40" s="57">
        <f t="shared" si="18"/>
        <v>82</v>
      </c>
      <c r="AM40" s="55">
        <f t="shared" si="19"/>
        <v>82</v>
      </c>
      <c r="AN40" s="78">
        <f t="shared" si="20"/>
        <v>1.02</v>
      </c>
      <c r="AO40" s="79"/>
      <c r="AP40" s="80">
        <f t="shared" si="9"/>
        <v>1</v>
      </c>
      <c r="AQ40" s="80">
        <f t="shared" si="9"/>
        <v>2</v>
      </c>
      <c r="AR40" s="61"/>
      <c r="AS40" s="62"/>
      <c r="AT40" s="81"/>
      <c r="AU40" s="81"/>
      <c r="AV40" s="81"/>
      <c r="AW40" s="81"/>
      <c r="AX40" s="82"/>
      <c r="AY40" s="83">
        <f t="shared" si="21"/>
        <v>0</v>
      </c>
      <c r="AZ40" s="83">
        <f t="shared" si="7"/>
        <v>0</v>
      </c>
    </row>
    <row r="41" spans="1:52" s="66" customFormat="1" ht="21.95" customHeight="1" thickBot="1" x14ac:dyDescent="0.2">
      <c r="A41" s="96"/>
      <c r="B41" s="91"/>
      <c r="C41" s="352" t="s">
        <v>3</v>
      </c>
      <c r="D41" s="353"/>
      <c r="E41" s="353"/>
      <c r="F41" s="353"/>
      <c r="G41" s="354"/>
      <c r="H41" s="67"/>
      <c r="I41" s="84">
        <v>85</v>
      </c>
      <c r="J41" s="84">
        <v>85</v>
      </c>
      <c r="K41" s="84"/>
      <c r="L41" s="84"/>
      <c r="M41" s="84"/>
      <c r="N41" s="168">
        <f>I41*I40+J41*J40+K41*K40+L41*L40+M41*M40</f>
        <v>85</v>
      </c>
      <c r="O41" s="44"/>
      <c r="P41" s="45"/>
      <c r="Q41" s="46"/>
      <c r="R41" s="46"/>
      <c r="S41" s="47"/>
      <c r="T41" s="70"/>
      <c r="U41" s="71"/>
      <c r="V41" s="72"/>
      <c r="W41" s="150"/>
      <c r="X41" s="85"/>
      <c r="Y41" s="151"/>
      <c r="Z41" s="85"/>
      <c r="AA41" s="74"/>
      <c r="AB41" s="75"/>
      <c r="AC41" s="72"/>
      <c r="AD41" s="71"/>
      <c r="AE41" s="71"/>
      <c r="AF41" s="152"/>
      <c r="AG41" s="86"/>
      <c r="AH41" s="77"/>
      <c r="AI41" s="87"/>
      <c r="AJ41" s="46"/>
      <c r="AK41" s="77"/>
      <c r="AL41" s="78"/>
      <c r="AM41" s="79"/>
      <c r="AN41" s="80"/>
      <c r="AO41" s="80"/>
      <c r="AP41" s="61"/>
      <c r="AQ41" s="62"/>
      <c r="AR41" s="81"/>
      <c r="AS41" s="81"/>
      <c r="AT41" s="81"/>
      <c r="AU41" s="81"/>
      <c r="AV41" s="82"/>
      <c r="AW41" s="83"/>
      <c r="AX41" s="83"/>
      <c r="AZ41" s="66">
        <f t="shared" si="7"/>
        <v>0</v>
      </c>
    </row>
    <row r="42" spans="1:52" s="66" customFormat="1" ht="39.75" customHeight="1" thickBot="1" x14ac:dyDescent="0.2">
      <c r="A42" s="96"/>
      <c r="B42" s="91"/>
      <c r="C42" s="105"/>
      <c r="D42" s="131"/>
      <c r="E42" s="105"/>
      <c r="F42" s="105"/>
      <c r="G42" s="170"/>
      <c r="H42" s="158"/>
      <c r="I42" s="92">
        <v>0.7</v>
      </c>
      <c r="J42" s="41">
        <v>0.3</v>
      </c>
      <c r="K42" s="41"/>
      <c r="L42" s="42"/>
      <c r="M42" s="147"/>
      <c r="N42" s="94">
        <f t="shared" si="11"/>
        <v>1</v>
      </c>
      <c r="O42" s="125">
        <v>1</v>
      </c>
      <c r="P42" s="126">
        <v>15</v>
      </c>
      <c r="Q42" s="89">
        <v>15</v>
      </c>
      <c r="R42" s="89"/>
      <c r="S42" s="114"/>
      <c r="T42" s="70"/>
      <c r="U42" s="71">
        <f t="shared" si="12"/>
        <v>15</v>
      </c>
      <c r="V42" s="72">
        <f t="shared" si="13"/>
        <v>15</v>
      </c>
      <c r="W42" s="136"/>
      <c r="X42" s="148"/>
      <c r="Y42" s="105"/>
      <c r="Z42" s="117"/>
      <c r="AA42" s="74"/>
      <c r="AB42" s="75">
        <f t="shared" si="14"/>
        <v>0</v>
      </c>
      <c r="AC42" s="72">
        <f t="shared" si="15"/>
        <v>0</v>
      </c>
      <c r="AD42" s="124">
        <v>2</v>
      </c>
      <c r="AE42" s="71">
        <f t="shared" si="16"/>
        <v>2</v>
      </c>
      <c r="AF42" s="76"/>
      <c r="AG42" s="54"/>
      <c r="AH42" s="77">
        <f t="shared" si="17"/>
        <v>17</v>
      </c>
      <c r="AI42" s="56">
        <v>10</v>
      </c>
      <c r="AJ42" s="56">
        <v>10</v>
      </c>
      <c r="AK42" s="56">
        <v>45</v>
      </c>
      <c r="AL42" s="57">
        <f t="shared" si="18"/>
        <v>82</v>
      </c>
      <c r="AM42" s="55">
        <f t="shared" si="19"/>
        <v>82</v>
      </c>
      <c r="AN42" s="78">
        <f t="shared" si="20"/>
        <v>1.02</v>
      </c>
      <c r="AO42" s="79"/>
      <c r="AP42" s="80">
        <f t="shared" si="9"/>
        <v>1</v>
      </c>
      <c r="AQ42" s="80">
        <f t="shared" si="9"/>
        <v>2</v>
      </c>
      <c r="AR42" s="61"/>
      <c r="AS42" s="62"/>
      <c r="AT42" s="81"/>
      <c r="AU42" s="81"/>
      <c r="AV42" s="81"/>
      <c r="AW42" s="81"/>
      <c r="AX42" s="82"/>
      <c r="AY42" s="83">
        <f t="shared" si="21"/>
        <v>0</v>
      </c>
      <c r="AZ42" s="83">
        <f t="shared" si="7"/>
        <v>0</v>
      </c>
    </row>
    <row r="43" spans="1:52" s="66" customFormat="1" ht="39.75" customHeight="1" thickBot="1" x14ac:dyDescent="0.2">
      <c r="A43" s="96"/>
      <c r="B43" s="91"/>
      <c r="C43" s="131"/>
      <c r="D43" s="131"/>
      <c r="E43" s="131"/>
      <c r="F43" s="110"/>
      <c r="G43" s="170"/>
      <c r="H43" s="158"/>
      <c r="I43" s="92">
        <v>0.7</v>
      </c>
      <c r="J43" s="41">
        <v>0.3</v>
      </c>
      <c r="K43" s="41"/>
      <c r="L43" s="42"/>
      <c r="M43" s="147"/>
      <c r="N43" s="94">
        <f t="shared" si="11"/>
        <v>1</v>
      </c>
      <c r="O43" s="125">
        <v>1</v>
      </c>
      <c r="P43" s="112">
        <v>15</v>
      </c>
      <c r="Q43" s="113">
        <v>15</v>
      </c>
      <c r="R43" s="114"/>
      <c r="S43" s="120"/>
      <c r="T43" s="70"/>
      <c r="U43" s="71">
        <f t="shared" si="12"/>
        <v>15</v>
      </c>
      <c r="V43" s="72">
        <f t="shared" si="13"/>
        <v>15</v>
      </c>
      <c r="W43" s="137"/>
      <c r="X43" s="146"/>
      <c r="Y43" s="117"/>
      <c r="Z43" s="117"/>
      <c r="AA43" s="74"/>
      <c r="AB43" s="75">
        <f t="shared" si="14"/>
        <v>0</v>
      </c>
      <c r="AC43" s="72">
        <f t="shared" si="15"/>
        <v>0</v>
      </c>
      <c r="AD43" s="124">
        <v>2</v>
      </c>
      <c r="AE43" s="71">
        <f t="shared" si="16"/>
        <v>2</v>
      </c>
      <c r="AF43" s="76"/>
      <c r="AG43" s="54"/>
      <c r="AH43" s="77">
        <f t="shared" si="17"/>
        <v>17</v>
      </c>
      <c r="AI43" s="56">
        <v>10</v>
      </c>
      <c r="AJ43" s="56">
        <v>10</v>
      </c>
      <c r="AK43" s="56">
        <v>45</v>
      </c>
      <c r="AL43" s="57">
        <f t="shared" si="18"/>
        <v>82</v>
      </c>
      <c r="AM43" s="55">
        <f t="shared" si="19"/>
        <v>82</v>
      </c>
      <c r="AN43" s="78">
        <f t="shared" si="20"/>
        <v>1.02</v>
      </c>
      <c r="AO43" s="79"/>
      <c r="AP43" s="80">
        <f t="shared" si="9"/>
        <v>1</v>
      </c>
      <c r="AQ43" s="80">
        <f t="shared" si="9"/>
        <v>2</v>
      </c>
      <c r="AR43" s="61"/>
      <c r="AS43" s="62"/>
      <c r="AT43" s="81"/>
      <c r="AU43" s="81"/>
      <c r="AV43" s="81"/>
      <c r="AW43" s="81"/>
      <c r="AX43" s="82"/>
      <c r="AY43" s="83">
        <f t="shared" si="21"/>
        <v>0</v>
      </c>
      <c r="AZ43" s="83">
        <f t="shared" si="7"/>
        <v>0</v>
      </c>
    </row>
    <row r="44" spans="1:52" s="66" customFormat="1" ht="39.75" customHeight="1" thickBot="1" x14ac:dyDescent="0.2">
      <c r="A44" s="96"/>
      <c r="B44" s="91"/>
      <c r="C44" s="131"/>
      <c r="D44" s="131"/>
      <c r="E44" s="131"/>
      <c r="F44" s="131"/>
      <c r="G44" s="170"/>
      <c r="H44" s="158"/>
      <c r="I44" s="92">
        <v>0.7</v>
      </c>
      <c r="J44" s="41">
        <v>0.3</v>
      </c>
      <c r="K44" s="41"/>
      <c r="L44" s="42"/>
      <c r="M44" s="147"/>
      <c r="N44" s="94">
        <f t="shared" si="11"/>
        <v>1</v>
      </c>
      <c r="O44" s="125">
        <v>1</v>
      </c>
      <c r="P44" s="112">
        <v>15</v>
      </c>
      <c r="Q44" s="113">
        <v>15</v>
      </c>
      <c r="R44" s="114"/>
      <c r="S44" s="120"/>
      <c r="T44" s="70"/>
      <c r="U44" s="71">
        <f t="shared" si="12"/>
        <v>15</v>
      </c>
      <c r="V44" s="72">
        <f t="shared" si="13"/>
        <v>15</v>
      </c>
      <c r="W44" s="136"/>
      <c r="X44" s="139"/>
      <c r="Y44" s="136"/>
      <c r="Z44" s="117"/>
      <c r="AA44" s="74"/>
      <c r="AB44" s="75">
        <f t="shared" si="14"/>
        <v>0</v>
      </c>
      <c r="AC44" s="72">
        <f t="shared" si="15"/>
        <v>0</v>
      </c>
      <c r="AD44" s="124">
        <v>2</v>
      </c>
      <c r="AE44" s="71">
        <f t="shared" si="16"/>
        <v>2</v>
      </c>
      <c r="AF44" s="76"/>
      <c r="AG44" s="54"/>
      <c r="AH44" s="77">
        <f t="shared" si="17"/>
        <v>17</v>
      </c>
      <c r="AI44" s="56">
        <v>10</v>
      </c>
      <c r="AJ44" s="56">
        <v>10</v>
      </c>
      <c r="AK44" s="56">
        <v>45</v>
      </c>
      <c r="AL44" s="57">
        <f t="shared" si="18"/>
        <v>82</v>
      </c>
      <c r="AM44" s="55">
        <f t="shared" si="19"/>
        <v>82</v>
      </c>
      <c r="AN44" s="78">
        <f t="shared" si="20"/>
        <v>1.02</v>
      </c>
      <c r="AO44" s="79"/>
      <c r="AP44" s="80">
        <f t="shared" si="9"/>
        <v>1</v>
      </c>
      <c r="AQ44" s="80">
        <f t="shared" si="9"/>
        <v>2</v>
      </c>
      <c r="AR44" s="61"/>
      <c r="AS44" s="62"/>
      <c r="AT44" s="81"/>
      <c r="AU44" s="81"/>
      <c r="AV44" s="81"/>
      <c r="AW44" s="81"/>
      <c r="AX44" s="82"/>
      <c r="AY44" s="83">
        <f t="shared" si="21"/>
        <v>0</v>
      </c>
      <c r="AZ44" s="83">
        <f t="shared" si="7"/>
        <v>0</v>
      </c>
    </row>
    <row r="45" spans="1:52" s="66" customFormat="1" ht="39.75" customHeight="1" thickBot="1" x14ac:dyDescent="0.2">
      <c r="A45" s="96"/>
      <c r="B45" s="91"/>
      <c r="C45" s="131"/>
      <c r="D45" s="122"/>
      <c r="E45" s="131"/>
      <c r="F45" s="131"/>
      <c r="G45" s="170"/>
      <c r="H45" s="158"/>
      <c r="I45" s="92">
        <v>0.7</v>
      </c>
      <c r="J45" s="41">
        <v>0.3</v>
      </c>
      <c r="K45" s="41"/>
      <c r="L45" s="42"/>
      <c r="M45" s="147"/>
      <c r="N45" s="94">
        <f t="shared" si="11"/>
        <v>1</v>
      </c>
      <c r="O45" s="125">
        <v>1</v>
      </c>
      <c r="P45" s="112">
        <v>15</v>
      </c>
      <c r="Q45" s="113">
        <v>15</v>
      </c>
      <c r="R45" s="114"/>
      <c r="S45" s="120"/>
      <c r="T45" s="70"/>
      <c r="U45" s="71">
        <f t="shared" si="12"/>
        <v>15</v>
      </c>
      <c r="V45" s="72">
        <f t="shared" si="13"/>
        <v>15</v>
      </c>
      <c r="W45" s="136"/>
      <c r="X45" s="136"/>
      <c r="Y45" s="136"/>
      <c r="Z45" s="85"/>
      <c r="AA45" s="74"/>
      <c r="AB45" s="75">
        <f t="shared" si="14"/>
        <v>0</v>
      </c>
      <c r="AC45" s="72">
        <f t="shared" si="15"/>
        <v>0</v>
      </c>
      <c r="AD45" s="124">
        <v>2</v>
      </c>
      <c r="AE45" s="71">
        <f t="shared" si="16"/>
        <v>2</v>
      </c>
      <c r="AF45" s="76"/>
      <c r="AG45" s="54"/>
      <c r="AH45" s="77">
        <f t="shared" si="17"/>
        <v>17</v>
      </c>
      <c r="AI45" s="56">
        <v>10</v>
      </c>
      <c r="AJ45" s="56">
        <v>10</v>
      </c>
      <c r="AK45" s="56">
        <v>45</v>
      </c>
      <c r="AL45" s="57">
        <f t="shared" si="18"/>
        <v>82</v>
      </c>
      <c r="AM45" s="55">
        <f t="shared" si="19"/>
        <v>82</v>
      </c>
      <c r="AN45" s="78">
        <f t="shared" si="20"/>
        <v>1.02</v>
      </c>
      <c r="AO45" s="79"/>
      <c r="AP45" s="80">
        <f t="shared" ref="AP45:AQ60" si="23">100%+AO45</f>
        <v>1</v>
      </c>
      <c r="AQ45" s="80">
        <f t="shared" si="23"/>
        <v>2</v>
      </c>
      <c r="AR45" s="61"/>
      <c r="AS45" s="62"/>
      <c r="AT45" s="81"/>
      <c r="AU45" s="81"/>
      <c r="AV45" s="81"/>
      <c r="AW45" s="81"/>
      <c r="AX45" s="82"/>
      <c r="AY45" s="83">
        <f t="shared" si="21"/>
        <v>0</v>
      </c>
      <c r="AZ45" s="83">
        <f t="shared" si="7"/>
        <v>0</v>
      </c>
    </row>
    <row r="46" spans="1:52" s="66" customFormat="1" ht="39.75" customHeight="1" thickBot="1" x14ac:dyDescent="0.2">
      <c r="A46" s="96"/>
      <c r="B46" s="91"/>
      <c r="C46" s="131"/>
      <c r="D46" s="131"/>
      <c r="E46" s="131"/>
      <c r="F46" s="131"/>
      <c r="G46" s="170"/>
      <c r="H46" s="158"/>
      <c r="I46" s="92">
        <v>0.7</v>
      </c>
      <c r="J46" s="41">
        <v>0.3</v>
      </c>
      <c r="K46" s="41"/>
      <c r="L46" s="42"/>
      <c r="M46" s="147"/>
      <c r="N46" s="94">
        <f t="shared" si="11"/>
        <v>1</v>
      </c>
      <c r="O46" s="125">
        <v>1</v>
      </c>
      <c r="P46" s="126">
        <v>15</v>
      </c>
      <c r="Q46" s="89">
        <v>15</v>
      </c>
      <c r="R46" s="89"/>
      <c r="S46" s="114"/>
      <c r="T46" s="70"/>
      <c r="U46" s="71">
        <f t="shared" si="12"/>
        <v>15</v>
      </c>
      <c r="V46" s="72">
        <f t="shared" si="13"/>
        <v>15</v>
      </c>
      <c r="W46" s="144"/>
      <c r="X46" s="136"/>
      <c r="Y46" s="148"/>
      <c r="Z46" s="138"/>
      <c r="AA46" s="74"/>
      <c r="AB46" s="75">
        <f t="shared" si="14"/>
        <v>0</v>
      </c>
      <c r="AC46" s="72">
        <f t="shared" si="15"/>
        <v>0</v>
      </c>
      <c r="AD46" s="124">
        <v>2</v>
      </c>
      <c r="AE46" s="71">
        <f t="shared" si="16"/>
        <v>2</v>
      </c>
      <c r="AF46" s="76"/>
      <c r="AG46" s="54"/>
      <c r="AH46" s="77">
        <f t="shared" si="17"/>
        <v>17</v>
      </c>
      <c r="AI46" s="56">
        <v>10</v>
      </c>
      <c r="AJ46" s="56">
        <v>10</v>
      </c>
      <c r="AK46" s="56">
        <v>45</v>
      </c>
      <c r="AL46" s="57">
        <f t="shared" si="18"/>
        <v>82</v>
      </c>
      <c r="AM46" s="55">
        <f t="shared" si="19"/>
        <v>82</v>
      </c>
      <c r="AN46" s="78">
        <f t="shared" si="20"/>
        <v>1.02</v>
      </c>
      <c r="AO46" s="79"/>
      <c r="AP46" s="80">
        <f t="shared" si="23"/>
        <v>1</v>
      </c>
      <c r="AQ46" s="80">
        <f t="shared" si="23"/>
        <v>2</v>
      </c>
      <c r="AR46" s="61"/>
      <c r="AS46" s="62"/>
      <c r="AT46" s="81"/>
      <c r="AU46" s="81"/>
      <c r="AV46" s="81"/>
      <c r="AW46" s="81"/>
      <c r="AX46" s="82"/>
      <c r="AY46" s="83">
        <f t="shared" si="21"/>
        <v>0</v>
      </c>
      <c r="AZ46" s="83">
        <f t="shared" si="7"/>
        <v>0</v>
      </c>
    </row>
    <row r="47" spans="1:52" s="66" customFormat="1" ht="39.75" customHeight="1" thickBot="1" x14ac:dyDescent="0.2">
      <c r="A47" s="96"/>
      <c r="B47" s="91"/>
      <c r="C47" s="122"/>
      <c r="D47" s="131"/>
      <c r="E47" s="131"/>
      <c r="F47" s="131"/>
      <c r="G47" s="97"/>
      <c r="H47" s="158"/>
      <c r="I47" s="92">
        <v>0.7</v>
      </c>
      <c r="J47" s="41">
        <v>0.3</v>
      </c>
      <c r="K47" s="41"/>
      <c r="L47" s="42"/>
      <c r="M47" s="68"/>
      <c r="N47" s="69">
        <f t="shared" si="11"/>
        <v>1</v>
      </c>
      <c r="O47" s="125">
        <v>1</v>
      </c>
      <c r="P47" s="112">
        <v>15</v>
      </c>
      <c r="Q47" s="113">
        <v>15</v>
      </c>
      <c r="R47" s="113"/>
      <c r="S47" s="120"/>
      <c r="T47" s="70"/>
      <c r="U47" s="71">
        <f t="shared" si="12"/>
        <v>15</v>
      </c>
      <c r="V47" s="72">
        <f t="shared" si="13"/>
        <v>15</v>
      </c>
      <c r="W47" s="139"/>
      <c r="X47" s="119"/>
      <c r="Y47" s="136"/>
      <c r="Z47" s="136"/>
      <c r="AA47" s="74"/>
      <c r="AB47" s="75">
        <f t="shared" si="14"/>
        <v>0</v>
      </c>
      <c r="AC47" s="72">
        <f t="shared" si="15"/>
        <v>0</v>
      </c>
      <c r="AD47" s="124">
        <v>2</v>
      </c>
      <c r="AE47" s="71">
        <f t="shared" si="16"/>
        <v>2</v>
      </c>
      <c r="AF47" s="76"/>
      <c r="AG47" s="54"/>
      <c r="AH47" s="77">
        <f t="shared" si="17"/>
        <v>17</v>
      </c>
      <c r="AI47" s="56">
        <v>10</v>
      </c>
      <c r="AJ47" s="56">
        <v>10</v>
      </c>
      <c r="AK47" s="56">
        <v>45</v>
      </c>
      <c r="AL47" s="57">
        <f t="shared" si="18"/>
        <v>82</v>
      </c>
      <c r="AM47" s="55">
        <f t="shared" si="19"/>
        <v>82</v>
      </c>
      <c r="AN47" s="78">
        <f t="shared" si="20"/>
        <v>1.02</v>
      </c>
      <c r="AO47" s="79"/>
      <c r="AP47" s="80">
        <f t="shared" si="23"/>
        <v>1</v>
      </c>
      <c r="AQ47" s="80">
        <f t="shared" si="23"/>
        <v>2</v>
      </c>
      <c r="AR47" s="61"/>
      <c r="AS47" s="62"/>
      <c r="AT47" s="81"/>
      <c r="AU47" s="81"/>
      <c r="AV47" s="81"/>
      <c r="AW47" s="81"/>
      <c r="AX47" s="82"/>
      <c r="AY47" s="83">
        <f t="shared" si="21"/>
        <v>0</v>
      </c>
      <c r="AZ47" s="83">
        <f t="shared" si="7"/>
        <v>0</v>
      </c>
    </row>
    <row r="48" spans="1:52" s="66" customFormat="1" ht="39.75" customHeight="1" thickBot="1" x14ac:dyDescent="0.2">
      <c r="A48" s="96"/>
      <c r="B48" s="91"/>
      <c r="C48" s="110"/>
      <c r="D48" s="110"/>
      <c r="E48" s="105"/>
      <c r="F48" s="123"/>
      <c r="G48" s="170"/>
      <c r="H48" s="158"/>
      <c r="I48" s="92">
        <v>0.7</v>
      </c>
      <c r="J48" s="41">
        <v>0.3</v>
      </c>
      <c r="K48" s="41"/>
      <c r="L48" s="42"/>
      <c r="M48" s="147"/>
      <c r="N48" s="94">
        <f t="shared" si="11"/>
        <v>1</v>
      </c>
      <c r="O48" s="125">
        <v>1</v>
      </c>
      <c r="P48" s="112">
        <v>15</v>
      </c>
      <c r="Q48" s="113">
        <v>15</v>
      </c>
      <c r="R48" s="113"/>
      <c r="S48" s="120"/>
      <c r="T48" s="70"/>
      <c r="U48" s="71">
        <f t="shared" si="12"/>
        <v>15</v>
      </c>
      <c r="V48" s="72">
        <f t="shared" si="13"/>
        <v>15</v>
      </c>
      <c r="W48" s="139"/>
      <c r="X48" s="85"/>
      <c r="Y48" s="136"/>
      <c r="Z48" s="136"/>
      <c r="AA48" s="74"/>
      <c r="AB48" s="75">
        <f t="shared" si="14"/>
        <v>0</v>
      </c>
      <c r="AC48" s="72">
        <f t="shared" si="15"/>
        <v>0</v>
      </c>
      <c r="AD48" s="124">
        <v>2</v>
      </c>
      <c r="AE48" s="71">
        <f t="shared" si="16"/>
        <v>2</v>
      </c>
      <c r="AF48" s="76"/>
      <c r="AG48" s="54"/>
      <c r="AH48" s="77">
        <f t="shared" si="17"/>
        <v>17</v>
      </c>
      <c r="AI48" s="56">
        <v>10</v>
      </c>
      <c r="AJ48" s="56">
        <v>10</v>
      </c>
      <c r="AK48" s="56">
        <v>45</v>
      </c>
      <c r="AL48" s="57">
        <f t="shared" si="18"/>
        <v>82</v>
      </c>
      <c r="AM48" s="55">
        <f t="shared" si="19"/>
        <v>82</v>
      </c>
      <c r="AN48" s="78">
        <f t="shared" si="20"/>
        <v>1.02</v>
      </c>
      <c r="AO48" s="79"/>
      <c r="AP48" s="80">
        <f t="shared" si="23"/>
        <v>1</v>
      </c>
      <c r="AQ48" s="80">
        <f t="shared" si="23"/>
        <v>2</v>
      </c>
      <c r="AR48" s="61"/>
      <c r="AS48" s="62"/>
      <c r="AT48" s="81"/>
      <c r="AU48" s="81"/>
      <c r="AV48" s="81"/>
      <c r="AW48" s="81"/>
      <c r="AX48" s="82"/>
      <c r="AY48" s="83">
        <f t="shared" si="21"/>
        <v>0</v>
      </c>
      <c r="AZ48" s="83">
        <f t="shared" si="7"/>
        <v>0</v>
      </c>
    </row>
    <row r="49" spans="1:52" s="66" customFormat="1" ht="39.75" customHeight="1" thickBot="1" x14ac:dyDescent="0.2">
      <c r="A49" s="96"/>
      <c r="B49" s="105"/>
      <c r="C49" s="110"/>
      <c r="D49" s="110"/>
      <c r="E49" s="105"/>
      <c r="F49" s="123"/>
      <c r="G49" s="170"/>
      <c r="H49" s="158"/>
      <c r="I49" s="92">
        <v>0.7</v>
      </c>
      <c r="J49" s="41">
        <v>0.3</v>
      </c>
      <c r="K49" s="41"/>
      <c r="L49" s="42"/>
      <c r="M49" s="68"/>
      <c r="N49" s="94">
        <f t="shared" si="11"/>
        <v>1</v>
      </c>
      <c r="O49" s="125">
        <v>1</v>
      </c>
      <c r="P49" s="126">
        <v>15</v>
      </c>
      <c r="Q49" s="89">
        <v>15</v>
      </c>
      <c r="R49" s="89"/>
      <c r="S49" s="114"/>
      <c r="T49" s="70"/>
      <c r="U49" s="71">
        <f t="shared" si="12"/>
        <v>15</v>
      </c>
      <c r="V49" s="72">
        <f t="shared" si="13"/>
        <v>15</v>
      </c>
      <c r="W49" s="139"/>
      <c r="X49" s="85"/>
      <c r="Y49" s="105"/>
      <c r="Z49" s="109"/>
      <c r="AA49" s="74"/>
      <c r="AB49" s="75">
        <f t="shared" si="14"/>
        <v>0</v>
      </c>
      <c r="AC49" s="72">
        <f t="shared" si="15"/>
        <v>0</v>
      </c>
      <c r="AD49" s="124">
        <v>2</v>
      </c>
      <c r="AE49" s="71">
        <f t="shared" si="16"/>
        <v>2</v>
      </c>
      <c r="AF49" s="76"/>
      <c r="AG49" s="54"/>
      <c r="AH49" s="77">
        <f t="shared" si="17"/>
        <v>17</v>
      </c>
      <c r="AI49" s="56">
        <v>10</v>
      </c>
      <c r="AJ49" s="56">
        <v>10</v>
      </c>
      <c r="AK49" s="56">
        <v>45</v>
      </c>
      <c r="AL49" s="57">
        <f t="shared" si="18"/>
        <v>82</v>
      </c>
      <c r="AM49" s="55">
        <f t="shared" si="19"/>
        <v>82</v>
      </c>
      <c r="AN49" s="78">
        <f t="shared" si="20"/>
        <v>1.02</v>
      </c>
      <c r="AO49" s="79"/>
      <c r="AP49" s="80">
        <f t="shared" si="23"/>
        <v>1</v>
      </c>
      <c r="AQ49" s="80">
        <f t="shared" si="23"/>
        <v>2</v>
      </c>
      <c r="AR49" s="61"/>
      <c r="AS49" s="62"/>
      <c r="AT49" s="81"/>
      <c r="AU49" s="81"/>
      <c r="AV49" s="81"/>
      <c r="AW49" s="81"/>
      <c r="AX49" s="82"/>
      <c r="AY49" s="83">
        <f t="shared" si="21"/>
        <v>0</v>
      </c>
      <c r="AZ49" s="83">
        <f t="shared" si="7"/>
        <v>0</v>
      </c>
    </row>
    <row r="50" spans="1:52" s="66" customFormat="1" ht="39.75" customHeight="1" thickBot="1" x14ac:dyDescent="0.2">
      <c r="A50" s="96"/>
      <c r="B50" s="91"/>
      <c r="C50" s="131"/>
      <c r="D50" s="110"/>
      <c r="E50" s="108"/>
      <c r="F50" s="108"/>
      <c r="G50" s="170"/>
      <c r="H50" s="158"/>
      <c r="I50" s="92">
        <v>0.7</v>
      </c>
      <c r="J50" s="41">
        <v>0.3</v>
      </c>
      <c r="K50" s="41"/>
      <c r="L50" s="42"/>
      <c r="M50" s="147"/>
      <c r="N50" s="94">
        <f t="shared" si="11"/>
        <v>1</v>
      </c>
      <c r="O50" s="125">
        <v>1</v>
      </c>
      <c r="P50" s="112">
        <v>15</v>
      </c>
      <c r="Q50" s="113">
        <v>15</v>
      </c>
      <c r="R50" s="114"/>
      <c r="S50" s="120"/>
      <c r="T50" s="70"/>
      <c r="U50" s="71">
        <f t="shared" si="12"/>
        <v>15</v>
      </c>
      <c r="V50" s="72">
        <f t="shared" si="13"/>
        <v>15</v>
      </c>
      <c r="W50" s="136"/>
      <c r="X50" s="85"/>
      <c r="Y50" s="136"/>
      <c r="Z50" s="117"/>
      <c r="AA50" s="74"/>
      <c r="AB50" s="75">
        <f t="shared" si="14"/>
        <v>0</v>
      </c>
      <c r="AC50" s="72">
        <f t="shared" si="15"/>
        <v>0</v>
      </c>
      <c r="AD50" s="124">
        <v>2</v>
      </c>
      <c r="AE50" s="71">
        <f t="shared" si="16"/>
        <v>2</v>
      </c>
      <c r="AF50" s="76"/>
      <c r="AG50" s="54"/>
      <c r="AH50" s="77">
        <f t="shared" si="17"/>
        <v>17</v>
      </c>
      <c r="AI50" s="56">
        <v>10</v>
      </c>
      <c r="AJ50" s="56">
        <v>10</v>
      </c>
      <c r="AK50" s="56">
        <v>45</v>
      </c>
      <c r="AL50" s="57">
        <f t="shared" si="18"/>
        <v>82</v>
      </c>
      <c r="AM50" s="55">
        <f t="shared" si="19"/>
        <v>82</v>
      </c>
      <c r="AN50" s="78">
        <f t="shared" si="20"/>
        <v>1.02</v>
      </c>
      <c r="AO50" s="79"/>
      <c r="AP50" s="80">
        <f t="shared" si="23"/>
        <v>1</v>
      </c>
      <c r="AQ50" s="80">
        <f t="shared" si="23"/>
        <v>2</v>
      </c>
      <c r="AR50" s="61"/>
      <c r="AS50" s="62"/>
      <c r="AT50" s="81"/>
      <c r="AU50" s="81"/>
      <c r="AV50" s="81"/>
      <c r="AW50" s="81"/>
      <c r="AX50" s="82"/>
      <c r="AY50" s="83">
        <f t="shared" si="21"/>
        <v>0</v>
      </c>
      <c r="AZ50" s="83">
        <f t="shared" si="7"/>
        <v>0</v>
      </c>
    </row>
    <row r="51" spans="1:52" s="66" customFormat="1" ht="39.75" customHeight="1" thickBot="1" x14ac:dyDescent="0.2">
      <c r="A51" s="96"/>
      <c r="B51" s="91"/>
      <c r="C51" s="110"/>
      <c r="D51" s="131"/>
      <c r="E51" s="105"/>
      <c r="F51" s="105"/>
      <c r="G51" s="170"/>
      <c r="H51" s="158"/>
      <c r="I51" s="92">
        <v>0.7</v>
      </c>
      <c r="J51" s="41">
        <v>0.3</v>
      </c>
      <c r="K51" s="41"/>
      <c r="L51" s="42"/>
      <c r="M51" s="147"/>
      <c r="N51" s="94">
        <f t="shared" si="11"/>
        <v>1</v>
      </c>
      <c r="O51" s="125">
        <v>1</v>
      </c>
      <c r="P51" s="126">
        <v>15</v>
      </c>
      <c r="Q51" s="89">
        <v>15</v>
      </c>
      <c r="R51" s="89"/>
      <c r="S51" s="114"/>
      <c r="T51" s="70"/>
      <c r="U51" s="71">
        <f t="shared" si="12"/>
        <v>15</v>
      </c>
      <c r="V51" s="72">
        <f t="shared" si="13"/>
        <v>15</v>
      </c>
      <c r="W51" s="117"/>
      <c r="X51" s="136"/>
      <c r="Y51" s="136"/>
      <c r="Z51" s="136"/>
      <c r="AA51" s="74"/>
      <c r="AB51" s="75">
        <f t="shared" si="14"/>
        <v>0</v>
      </c>
      <c r="AC51" s="72">
        <f t="shared" si="15"/>
        <v>0</v>
      </c>
      <c r="AD51" s="124">
        <v>2</v>
      </c>
      <c r="AE51" s="71">
        <f t="shared" si="16"/>
        <v>2</v>
      </c>
      <c r="AF51" s="76"/>
      <c r="AG51" s="54"/>
      <c r="AH51" s="77">
        <f t="shared" si="17"/>
        <v>17</v>
      </c>
      <c r="AI51" s="56">
        <v>10</v>
      </c>
      <c r="AJ51" s="56">
        <v>10</v>
      </c>
      <c r="AK51" s="56">
        <v>45</v>
      </c>
      <c r="AL51" s="57">
        <f t="shared" si="18"/>
        <v>82</v>
      </c>
      <c r="AM51" s="55">
        <f t="shared" si="19"/>
        <v>82</v>
      </c>
      <c r="AN51" s="78">
        <f t="shared" si="20"/>
        <v>1.02</v>
      </c>
      <c r="AO51" s="79"/>
      <c r="AP51" s="80">
        <f t="shared" si="23"/>
        <v>1</v>
      </c>
      <c r="AQ51" s="80">
        <f t="shared" si="23"/>
        <v>2</v>
      </c>
      <c r="AR51" s="61"/>
      <c r="AS51" s="62"/>
      <c r="AT51" s="81"/>
      <c r="AU51" s="81"/>
      <c r="AV51" s="81"/>
      <c r="AW51" s="81"/>
      <c r="AX51" s="82"/>
      <c r="AY51" s="83">
        <f t="shared" si="21"/>
        <v>0</v>
      </c>
      <c r="AZ51" s="83">
        <f t="shared" si="7"/>
        <v>0</v>
      </c>
    </row>
    <row r="52" spans="1:52" s="66" customFormat="1" ht="39.75" customHeight="1" thickBot="1" x14ac:dyDescent="0.2">
      <c r="A52" s="107"/>
      <c r="B52" s="91"/>
      <c r="C52" s="131"/>
      <c r="D52" s="105"/>
      <c r="E52" s="131"/>
      <c r="F52" s="110"/>
      <c r="G52" s="170"/>
      <c r="H52" s="158"/>
      <c r="I52" s="92">
        <v>0.7</v>
      </c>
      <c r="J52" s="41">
        <v>0.3</v>
      </c>
      <c r="K52" s="41"/>
      <c r="L52" s="42"/>
      <c r="M52" s="68"/>
      <c r="N52" s="94">
        <f t="shared" si="11"/>
        <v>1</v>
      </c>
      <c r="O52" s="125">
        <v>1</v>
      </c>
      <c r="P52" s="112">
        <v>15</v>
      </c>
      <c r="Q52" s="113">
        <v>15</v>
      </c>
      <c r="R52" s="113"/>
      <c r="S52" s="114"/>
      <c r="T52" s="70"/>
      <c r="U52" s="71">
        <f t="shared" si="12"/>
        <v>15</v>
      </c>
      <c r="V52" s="72">
        <f t="shared" si="13"/>
        <v>15</v>
      </c>
      <c r="W52" s="136"/>
      <c r="X52" s="148"/>
      <c r="Y52" s="148"/>
      <c r="Z52" s="119"/>
      <c r="AA52" s="74"/>
      <c r="AB52" s="75">
        <f t="shared" si="14"/>
        <v>0</v>
      </c>
      <c r="AC52" s="72">
        <f t="shared" si="15"/>
        <v>0</v>
      </c>
      <c r="AD52" s="124">
        <v>2</v>
      </c>
      <c r="AE52" s="71">
        <f t="shared" si="16"/>
        <v>2</v>
      </c>
      <c r="AF52" s="76"/>
      <c r="AG52" s="54"/>
      <c r="AH52" s="77">
        <f t="shared" si="17"/>
        <v>17</v>
      </c>
      <c r="AI52" s="56">
        <v>10</v>
      </c>
      <c r="AJ52" s="56">
        <v>10</v>
      </c>
      <c r="AK52" s="56">
        <v>45</v>
      </c>
      <c r="AL52" s="57">
        <f t="shared" si="18"/>
        <v>82</v>
      </c>
      <c r="AM52" s="55">
        <f t="shared" si="19"/>
        <v>82</v>
      </c>
      <c r="AN52" s="78">
        <f t="shared" si="20"/>
        <v>1.02</v>
      </c>
      <c r="AO52" s="79"/>
      <c r="AP52" s="80">
        <f t="shared" si="23"/>
        <v>1</v>
      </c>
      <c r="AQ52" s="80">
        <f t="shared" si="23"/>
        <v>2</v>
      </c>
      <c r="AR52" s="61"/>
      <c r="AS52" s="62"/>
      <c r="AT52" s="81"/>
      <c r="AU52" s="81"/>
      <c r="AV52" s="81"/>
      <c r="AW52" s="81"/>
      <c r="AX52" s="82"/>
      <c r="AY52" s="83">
        <f t="shared" si="21"/>
        <v>0</v>
      </c>
      <c r="AZ52" s="83">
        <f t="shared" si="7"/>
        <v>0</v>
      </c>
    </row>
    <row r="53" spans="1:52" s="66" customFormat="1" ht="39.75" customHeight="1" thickBot="1" x14ac:dyDescent="0.2">
      <c r="A53" s="96"/>
      <c r="B53" s="91"/>
      <c r="C53" s="131"/>
      <c r="D53" s="131"/>
      <c r="E53" s="131"/>
      <c r="F53" s="131"/>
      <c r="G53" s="170"/>
      <c r="H53" s="158"/>
      <c r="I53" s="92">
        <v>0.7</v>
      </c>
      <c r="J53" s="41">
        <v>0.3</v>
      </c>
      <c r="K53" s="41"/>
      <c r="L53" s="42"/>
      <c r="M53" s="147"/>
      <c r="N53" s="94">
        <f t="shared" si="11"/>
        <v>1</v>
      </c>
      <c r="O53" s="125">
        <v>1</v>
      </c>
      <c r="P53" s="112">
        <v>15</v>
      </c>
      <c r="Q53" s="113">
        <v>15</v>
      </c>
      <c r="R53" s="114"/>
      <c r="S53" s="120"/>
      <c r="T53" s="70"/>
      <c r="U53" s="71">
        <f t="shared" si="12"/>
        <v>15</v>
      </c>
      <c r="V53" s="72">
        <f t="shared" si="13"/>
        <v>15</v>
      </c>
      <c r="W53" s="137"/>
      <c r="X53" s="136"/>
      <c r="Y53" s="119"/>
      <c r="Z53" s="148"/>
      <c r="AA53" s="74"/>
      <c r="AB53" s="75">
        <f t="shared" si="14"/>
        <v>0</v>
      </c>
      <c r="AC53" s="72">
        <f t="shared" si="15"/>
        <v>0</v>
      </c>
      <c r="AD53" s="124">
        <v>2</v>
      </c>
      <c r="AE53" s="71">
        <f t="shared" si="16"/>
        <v>2</v>
      </c>
      <c r="AF53" s="76"/>
      <c r="AG53" s="54"/>
      <c r="AH53" s="77">
        <f t="shared" si="17"/>
        <v>17</v>
      </c>
      <c r="AI53" s="56">
        <v>10</v>
      </c>
      <c r="AJ53" s="56">
        <v>10</v>
      </c>
      <c r="AK53" s="56">
        <v>45</v>
      </c>
      <c r="AL53" s="57">
        <f t="shared" si="18"/>
        <v>82</v>
      </c>
      <c r="AM53" s="55">
        <f t="shared" si="19"/>
        <v>82</v>
      </c>
      <c r="AN53" s="78">
        <f t="shared" si="20"/>
        <v>1.02</v>
      </c>
      <c r="AO53" s="79"/>
      <c r="AP53" s="80">
        <f t="shared" si="23"/>
        <v>1</v>
      </c>
      <c r="AQ53" s="80">
        <f t="shared" si="23"/>
        <v>2</v>
      </c>
      <c r="AR53" s="61"/>
      <c r="AS53" s="62"/>
      <c r="AT53" s="81"/>
      <c r="AU53" s="81"/>
      <c r="AV53" s="81"/>
      <c r="AW53" s="81"/>
      <c r="AX53" s="82"/>
      <c r="AY53" s="83">
        <f t="shared" si="21"/>
        <v>0</v>
      </c>
      <c r="AZ53" s="83">
        <f t="shared" si="7"/>
        <v>0</v>
      </c>
    </row>
    <row r="54" spans="1:52" s="66" customFormat="1" ht="39.75" customHeight="1" thickBot="1" x14ac:dyDescent="0.2">
      <c r="A54" s="96"/>
      <c r="B54" s="91"/>
      <c r="C54" s="131"/>
      <c r="D54" s="131"/>
      <c r="E54" s="131"/>
      <c r="F54" s="131"/>
      <c r="G54" s="97"/>
      <c r="H54" s="158"/>
      <c r="I54" s="92">
        <v>0.7</v>
      </c>
      <c r="J54" s="41">
        <v>0.3</v>
      </c>
      <c r="K54" s="41"/>
      <c r="L54" s="42"/>
      <c r="M54" s="147"/>
      <c r="N54" s="69">
        <f t="shared" si="11"/>
        <v>1</v>
      </c>
      <c r="O54" s="125">
        <v>1</v>
      </c>
      <c r="P54" s="112">
        <v>15</v>
      </c>
      <c r="Q54" s="113">
        <v>15</v>
      </c>
      <c r="R54" s="113"/>
      <c r="S54" s="114"/>
      <c r="T54" s="70"/>
      <c r="U54" s="71">
        <f t="shared" si="12"/>
        <v>15</v>
      </c>
      <c r="V54" s="72">
        <f t="shared" si="13"/>
        <v>15</v>
      </c>
      <c r="W54" s="136"/>
      <c r="X54" s="148"/>
      <c r="Y54" s="136"/>
      <c r="Z54" s="119"/>
      <c r="AA54" s="74"/>
      <c r="AB54" s="75">
        <f t="shared" si="14"/>
        <v>0</v>
      </c>
      <c r="AC54" s="72">
        <f t="shared" si="15"/>
        <v>0</v>
      </c>
      <c r="AD54" s="124">
        <v>2</v>
      </c>
      <c r="AE54" s="71">
        <f t="shared" si="16"/>
        <v>2</v>
      </c>
      <c r="AF54" s="76"/>
      <c r="AG54" s="54"/>
      <c r="AH54" s="77">
        <f t="shared" si="17"/>
        <v>17</v>
      </c>
      <c r="AI54" s="56">
        <v>10</v>
      </c>
      <c r="AJ54" s="56">
        <v>10</v>
      </c>
      <c r="AK54" s="56">
        <v>45</v>
      </c>
      <c r="AL54" s="57">
        <f t="shared" si="18"/>
        <v>82</v>
      </c>
      <c r="AM54" s="55">
        <f t="shared" si="19"/>
        <v>82</v>
      </c>
      <c r="AN54" s="78">
        <f t="shared" si="20"/>
        <v>1.02</v>
      </c>
      <c r="AO54" s="79"/>
      <c r="AP54" s="80">
        <f t="shared" si="23"/>
        <v>1</v>
      </c>
      <c r="AQ54" s="80">
        <f t="shared" si="23"/>
        <v>2</v>
      </c>
      <c r="AR54" s="61"/>
      <c r="AS54" s="62"/>
      <c r="AT54" s="81"/>
      <c r="AU54" s="81"/>
      <c r="AV54" s="81"/>
      <c r="AW54" s="81"/>
      <c r="AX54" s="82"/>
      <c r="AY54" s="83">
        <f t="shared" si="21"/>
        <v>0</v>
      </c>
      <c r="AZ54" s="83">
        <f t="shared" si="7"/>
        <v>0</v>
      </c>
    </row>
    <row r="55" spans="1:52" s="66" customFormat="1" ht="39.75" customHeight="1" thickBot="1" x14ac:dyDescent="0.2">
      <c r="A55" s="96"/>
      <c r="B55" s="91"/>
      <c r="C55" s="131"/>
      <c r="D55" s="131"/>
      <c r="E55" s="131"/>
      <c r="F55" s="131"/>
      <c r="G55" s="97"/>
      <c r="H55" s="158"/>
      <c r="I55" s="92">
        <v>0.7</v>
      </c>
      <c r="J55" s="41">
        <v>0.3</v>
      </c>
      <c r="K55" s="41"/>
      <c r="L55" s="42"/>
      <c r="M55" s="68"/>
      <c r="N55" s="69">
        <f t="shared" si="11"/>
        <v>1</v>
      </c>
      <c r="O55" s="125">
        <v>1</v>
      </c>
      <c r="P55" s="112">
        <v>15</v>
      </c>
      <c r="Q55" s="113">
        <v>15</v>
      </c>
      <c r="R55" s="113"/>
      <c r="S55" s="114"/>
      <c r="T55" s="70"/>
      <c r="U55" s="71">
        <f t="shared" si="12"/>
        <v>15</v>
      </c>
      <c r="V55" s="72">
        <f t="shared" si="13"/>
        <v>15</v>
      </c>
      <c r="W55" s="136"/>
      <c r="X55" s="136"/>
      <c r="Y55" s="117"/>
      <c r="Z55" s="116"/>
      <c r="AA55" s="74"/>
      <c r="AB55" s="75">
        <f t="shared" si="14"/>
        <v>0</v>
      </c>
      <c r="AC55" s="72">
        <f t="shared" si="15"/>
        <v>0</v>
      </c>
      <c r="AD55" s="124">
        <v>2</v>
      </c>
      <c r="AE55" s="71">
        <f t="shared" si="16"/>
        <v>2</v>
      </c>
      <c r="AF55" s="76"/>
      <c r="AG55" s="54"/>
      <c r="AH55" s="77">
        <f t="shared" si="17"/>
        <v>17</v>
      </c>
      <c r="AI55" s="56">
        <v>10</v>
      </c>
      <c r="AJ55" s="56">
        <v>10</v>
      </c>
      <c r="AK55" s="56">
        <v>45</v>
      </c>
      <c r="AL55" s="57">
        <f t="shared" si="18"/>
        <v>82</v>
      </c>
      <c r="AM55" s="55">
        <f t="shared" si="19"/>
        <v>82</v>
      </c>
      <c r="AN55" s="78">
        <f t="shared" si="20"/>
        <v>1.02</v>
      </c>
      <c r="AO55" s="79"/>
      <c r="AP55" s="80">
        <f t="shared" si="23"/>
        <v>1</v>
      </c>
      <c r="AQ55" s="80">
        <f t="shared" si="23"/>
        <v>2</v>
      </c>
      <c r="AR55" s="61"/>
      <c r="AS55" s="62"/>
      <c r="AT55" s="81"/>
      <c r="AU55" s="81"/>
      <c r="AV55" s="81"/>
      <c r="AW55" s="81"/>
      <c r="AX55" s="82"/>
      <c r="AY55" s="83">
        <f t="shared" si="21"/>
        <v>0</v>
      </c>
      <c r="AZ55" s="83">
        <f t="shared" si="7"/>
        <v>0</v>
      </c>
    </row>
    <row r="56" spans="1:52" s="66" customFormat="1" ht="39.75" customHeight="1" thickBot="1" x14ac:dyDescent="0.2">
      <c r="A56" s="96"/>
      <c r="B56" s="91"/>
      <c r="C56" s="131"/>
      <c r="D56" s="131"/>
      <c r="E56" s="110"/>
      <c r="F56" s="110"/>
      <c r="G56" s="170"/>
      <c r="H56" s="157"/>
      <c r="I56" s="92">
        <v>0.7</v>
      </c>
      <c r="J56" s="41">
        <v>0.3</v>
      </c>
      <c r="K56" s="41"/>
      <c r="L56" s="42"/>
      <c r="M56" s="128"/>
      <c r="N56" s="43">
        <f t="shared" si="11"/>
        <v>1</v>
      </c>
      <c r="O56" s="125">
        <v>1</v>
      </c>
      <c r="P56" s="112">
        <v>15</v>
      </c>
      <c r="Q56" s="89">
        <v>15</v>
      </c>
      <c r="R56" s="113"/>
      <c r="S56" s="120"/>
      <c r="T56" s="156"/>
      <c r="U56" s="48">
        <f t="shared" si="12"/>
        <v>15</v>
      </c>
      <c r="V56" s="49">
        <f t="shared" si="13"/>
        <v>15</v>
      </c>
      <c r="W56" s="136"/>
      <c r="X56" s="146"/>
      <c r="Y56" s="148"/>
      <c r="Z56" s="117"/>
      <c r="AA56" s="74"/>
      <c r="AB56" s="75">
        <f t="shared" si="14"/>
        <v>0</v>
      </c>
      <c r="AC56" s="72">
        <f t="shared" si="15"/>
        <v>0</v>
      </c>
      <c r="AD56" s="124">
        <v>2</v>
      </c>
      <c r="AE56" s="71">
        <f t="shared" si="16"/>
        <v>2</v>
      </c>
      <c r="AF56" s="76"/>
      <c r="AG56" s="54"/>
      <c r="AH56" s="77">
        <f t="shared" si="17"/>
        <v>17</v>
      </c>
      <c r="AI56" s="56">
        <v>10</v>
      </c>
      <c r="AJ56" s="56">
        <v>10</v>
      </c>
      <c r="AK56" s="56">
        <v>45</v>
      </c>
      <c r="AL56" s="57">
        <f t="shared" si="18"/>
        <v>82</v>
      </c>
      <c r="AM56" s="55">
        <f t="shared" si="19"/>
        <v>82</v>
      </c>
      <c r="AN56" s="78">
        <f t="shared" si="20"/>
        <v>1.02</v>
      </c>
      <c r="AO56" s="79"/>
      <c r="AP56" s="80">
        <f t="shared" si="23"/>
        <v>1</v>
      </c>
      <c r="AQ56" s="80">
        <f t="shared" si="23"/>
        <v>2</v>
      </c>
      <c r="AR56" s="61"/>
      <c r="AS56" s="62"/>
      <c r="AT56" s="81"/>
      <c r="AU56" s="81"/>
      <c r="AV56" s="81"/>
      <c r="AW56" s="81"/>
      <c r="AX56" s="82"/>
      <c r="AY56" s="83">
        <f t="shared" si="21"/>
        <v>0</v>
      </c>
      <c r="AZ56" s="83">
        <f t="shared" si="7"/>
        <v>0</v>
      </c>
    </row>
    <row r="57" spans="1:52" s="66" customFormat="1" ht="39.75" customHeight="1" thickBot="1" x14ac:dyDescent="0.2">
      <c r="A57" s="160"/>
      <c r="B57" s="91"/>
      <c r="C57" s="131"/>
      <c r="D57" s="105"/>
      <c r="E57" s="110"/>
      <c r="F57" s="131"/>
      <c r="G57" s="170"/>
      <c r="H57" s="158"/>
      <c r="I57" s="92">
        <v>0.7</v>
      </c>
      <c r="J57" s="41">
        <v>0.3</v>
      </c>
      <c r="K57" s="41"/>
      <c r="L57" s="42"/>
      <c r="M57" s="68"/>
      <c r="N57" s="94">
        <f t="shared" si="11"/>
        <v>1</v>
      </c>
      <c r="O57" s="125">
        <v>1</v>
      </c>
      <c r="P57" s="126">
        <v>15</v>
      </c>
      <c r="Q57" s="89">
        <v>15</v>
      </c>
      <c r="R57" s="89"/>
      <c r="S57" s="114"/>
      <c r="T57" s="70"/>
      <c r="U57" s="71">
        <f t="shared" si="12"/>
        <v>15</v>
      </c>
      <c r="V57" s="72">
        <f t="shared" si="13"/>
        <v>15</v>
      </c>
      <c r="W57" s="139"/>
      <c r="X57" s="136"/>
      <c r="Y57" s="148"/>
      <c r="Z57" s="146"/>
      <c r="AA57" s="74"/>
      <c r="AB57" s="75">
        <f t="shared" si="14"/>
        <v>0</v>
      </c>
      <c r="AC57" s="72">
        <f t="shared" si="15"/>
        <v>0</v>
      </c>
      <c r="AD57" s="124">
        <v>2</v>
      </c>
      <c r="AE57" s="71">
        <f t="shared" si="16"/>
        <v>2</v>
      </c>
      <c r="AF57" s="76"/>
      <c r="AG57" s="54"/>
      <c r="AH57" s="77">
        <f t="shared" si="17"/>
        <v>17</v>
      </c>
      <c r="AI57" s="56">
        <v>10</v>
      </c>
      <c r="AJ57" s="56">
        <v>10</v>
      </c>
      <c r="AK57" s="56">
        <v>45</v>
      </c>
      <c r="AL57" s="57">
        <f t="shared" si="18"/>
        <v>82</v>
      </c>
      <c r="AM57" s="55">
        <f t="shared" si="19"/>
        <v>82</v>
      </c>
      <c r="AN57" s="78">
        <f t="shared" si="20"/>
        <v>1.02</v>
      </c>
      <c r="AO57" s="79"/>
      <c r="AP57" s="80">
        <f t="shared" si="23"/>
        <v>1</v>
      </c>
      <c r="AQ57" s="80">
        <f t="shared" si="23"/>
        <v>2</v>
      </c>
      <c r="AR57" s="61"/>
      <c r="AS57" s="62"/>
      <c r="AT57" s="81"/>
      <c r="AU57" s="81"/>
      <c r="AV57" s="81"/>
      <c r="AW57" s="81"/>
      <c r="AX57" s="82"/>
      <c r="AY57" s="83">
        <f t="shared" si="21"/>
        <v>0</v>
      </c>
      <c r="AZ57" s="83">
        <f t="shared" si="7"/>
        <v>0</v>
      </c>
    </row>
    <row r="58" spans="1:52" s="66" customFormat="1" ht="39.75" customHeight="1" thickBot="1" x14ac:dyDescent="0.2">
      <c r="A58" s="96"/>
      <c r="B58" s="91"/>
      <c r="C58" s="131"/>
      <c r="D58" s="131"/>
      <c r="E58" s="105"/>
      <c r="F58" s="131"/>
      <c r="G58" s="170"/>
      <c r="H58" s="158"/>
      <c r="I58" s="92">
        <v>0.7</v>
      </c>
      <c r="J58" s="41">
        <v>0.3</v>
      </c>
      <c r="K58" s="41"/>
      <c r="L58" s="42"/>
      <c r="M58" s="68"/>
      <c r="N58" s="94">
        <f t="shared" si="11"/>
        <v>1</v>
      </c>
      <c r="O58" s="125">
        <v>1</v>
      </c>
      <c r="P58" s="112">
        <v>15</v>
      </c>
      <c r="Q58" s="113">
        <v>15</v>
      </c>
      <c r="R58" s="113"/>
      <c r="S58" s="114"/>
      <c r="T58" s="70"/>
      <c r="U58" s="71">
        <f t="shared" si="12"/>
        <v>15</v>
      </c>
      <c r="V58" s="72">
        <f t="shared" si="13"/>
        <v>15</v>
      </c>
      <c r="W58" s="136"/>
      <c r="X58" s="136"/>
      <c r="Y58" s="148"/>
      <c r="Z58" s="146"/>
      <c r="AA58" s="146"/>
      <c r="AB58" s="71">
        <f t="shared" si="14"/>
        <v>0</v>
      </c>
      <c r="AC58" s="72">
        <f t="shared" si="15"/>
        <v>0</v>
      </c>
      <c r="AD58" s="124">
        <v>2</v>
      </c>
      <c r="AE58" s="71">
        <f t="shared" si="16"/>
        <v>2</v>
      </c>
      <c r="AF58" s="76"/>
      <c r="AG58" s="54"/>
      <c r="AH58" s="77">
        <f t="shared" si="17"/>
        <v>17</v>
      </c>
      <c r="AI58" s="56">
        <v>10</v>
      </c>
      <c r="AJ58" s="56">
        <v>10</v>
      </c>
      <c r="AK58" s="56">
        <v>45</v>
      </c>
      <c r="AL58" s="57">
        <f t="shared" si="18"/>
        <v>82</v>
      </c>
      <c r="AM58" s="55">
        <f t="shared" si="19"/>
        <v>82</v>
      </c>
      <c r="AN58" s="78">
        <f t="shared" si="20"/>
        <v>1.02</v>
      </c>
      <c r="AO58" s="79"/>
      <c r="AP58" s="80">
        <f t="shared" si="23"/>
        <v>1</v>
      </c>
      <c r="AQ58" s="80">
        <f t="shared" si="23"/>
        <v>2</v>
      </c>
      <c r="AR58" s="61"/>
      <c r="AS58" s="62"/>
      <c r="AT58" s="81"/>
      <c r="AU58" s="81"/>
      <c r="AV58" s="81"/>
      <c r="AW58" s="81"/>
      <c r="AX58" s="82"/>
      <c r="AY58" s="83">
        <f t="shared" si="21"/>
        <v>0</v>
      </c>
      <c r="AZ58" s="83">
        <f t="shared" si="7"/>
        <v>0</v>
      </c>
    </row>
    <row r="59" spans="1:52" s="66" customFormat="1" ht="39.75" customHeight="1" thickBot="1" x14ac:dyDescent="0.2">
      <c r="A59" s="160"/>
      <c r="B59" s="91"/>
      <c r="C59" s="105"/>
      <c r="D59" s="171"/>
      <c r="E59" s="110"/>
      <c r="F59" s="109"/>
      <c r="G59" s="170"/>
      <c r="H59" s="158"/>
      <c r="I59" s="92">
        <v>0.7</v>
      </c>
      <c r="J59" s="41">
        <v>0.3</v>
      </c>
      <c r="K59" s="41"/>
      <c r="L59" s="42"/>
      <c r="M59" s="68"/>
      <c r="N59" s="94">
        <f t="shared" si="11"/>
        <v>1</v>
      </c>
      <c r="O59" s="125">
        <v>1</v>
      </c>
      <c r="P59" s="126">
        <v>15</v>
      </c>
      <c r="Q59" s="89">
        <v>15</v>
      </c>
      <c r="R59" s="89"/>
      <c r="S59" s="114"/>
      <c r="T59" s="70"/>
      <c r="U59" s="71">
        <f t="shared" si="12"/>
        <v>15</v>
      </c>
      <c r="V59" s="72">
        <f t="shared" si="13"/>
        <v>15</v>
      </c>
      <c r="W59" s="119"/>
      <c r="X59" s="136"/>
      <c r="Y59" s="148"/>
      <c r="Z59" s="109"/>
      <c r="AA59" s="74"/>
      <c r="AB59" s="75">
        <f t="shared" si="14"/>
        <v>0</v>
      </c>
      <c r="AC59" s="72">
        <f t="shared" si="15"/>
        <v>0</v>
      </c>
      <c r="AD59" s="124">
        <v>2</v>
      </c>
      <c r="AE59" s="71">
        <f t="shared" si="16"/>
        <v>2</v>
      </c>
      <c r="AF59" s="76"/>
      <c r="AG59" s="54"/>
      <c r="AH59" s="77">
        <f t="shared" si="17"/>
        <v>17</v>
      </c>
      <c r="AI59" s="56">
        <v>10</v>
      </c>
      <c r="AJ59" s="56">
        <v>10</v>
      </c>
      <c r="AK59" s="56">
        <v>45</v>
      </c>
      <c r="AL59" s="57">
        <f t="shared" si="18"/>
        <v>82</v>
      </c>
      <c r="AM59" s="55">
        <f t="shared" si="19"/>
        <v>82</v>
      </c>
      <c r="AN59" s="78">
        <f t="shared" si="20"/>
        <v>1.02</v>
      </c>
      <c r="AO59" s="79"/>
      <c r="AP59" s="80">
        <f t="shared" si="23"/>
        <v>1</v>
      </c>
      <c r="AQ59" s="80">
        <f t="shared" si="23"/>
        <v>2</v>
      </c>
      <c r="AR59" s="61"/>
      <c r="AS59" s="62"/>
      <c r="AT59" s="81"/>
      <c r="AU59" s="81"/>
      <c r="AV59" s="81"/>
      <c r="AW59" s="81"/>
      <c r="AX59" s="82"/>
      <c r="AY59" s="83">
        <f t="shared" si="21"/>
        <v>0</v>
      </c>
      <c r="AZ59" s="83">
        <f t="shared" si="7"/>
        <v>0</v>
      </c>
    </row>
    <row r="60" spans="1:52" s="66" customFormat="1" ht="39.75" customHeight="1" thickBot="1" x14ac:dyDescent="0.2">
      <c r="A60" s="131"/>
      <c r="B60" s="131"/>
      <c r="C60" s="131"/>
      <c r="D60" s="131"/>
      <c r="E60" s="131"/>
      <c r="F60" s="109"/>
      <c r="G60" s="170"/>
      <c r="H60" s="158"/>
      <c r="I60" s="92">
        <v>0.7</v>
      </c>
      <c r="J60" s="41">
        <v>0.3</v>
      </c>
      <c r="K60" s="41"/>
      <c r="L60" s="42"/>
      <c r="M60" s="147"/>
      <c r="N60" s="94">
        <f t="shared" si="11"/>
        <v>1</v>
      </c>
      <c r="O60" s="125">
        <v>1</v>
      </c>
      <c r="P60" s="112">
        <v>15</v>
      </c>
      <c r="Q60" s="113">
        <v>15</v>
      </c>
      <c r="R60" s="113"/>
      <c r="S60" s="120"/>
      <c r="T60" s="70"/>
      <c r="U60" s="71">
        <f t="shared" si="12"/>
        <v>15</v>
      </c>
      <c r="V60" s="72">
        <f t="shared" si="13"/>
        <v>15</v>
      </c>
      <c r="W60" s="119"/>
      <c r="X60" s="148"/>
      <c r="Y60" s="136"/>
      <c r="Z60" s="139"/>
      <c r="AA60" s="74"/>
      <c r="AB60" s="75">
        <f t="shared" si="14"/>
        <v>0</v>
      </c>
      <c r="AC60" s="72">
        <f t="shared" si="15"/>
        <v>0</v>
      </c>
      <c r="AD60" s="124">
        <v>2</v>
      </c>
      <c r="AE60" s="71">
        <f t="shared" si="16"/>
        <v>2</v>
      </c>
      <c r="AF60" s="76"/>
      <c r="AG60" s="54"/>
      <c r="AH60" s="77">
        <f t="shared" si="17"/>
        <v>17</v>
      </c>
      <c r="AI60" s="56">
        <v>10</v>
      </c>
      <c r="AJ60" s="56">
        <v>10</v>
      </c>
      <c r="AK60" s="56">
        <v>45</v>
      </c>
      <c r="AL60" s="57">
        <f t="shared" si="18"/>
        <v>82</v>
      </c>
      <c r="AM60" s="55">
        <f t="shared" si="19"/>
        <v>82</v>
      </c>
      <c r="AN60" s="78">
        <f t="shared" si="20"/>
        <v>1.02</v>
      </c>
      <c r="AO60" s="79"/>
      <c r="AP60" s="80">
        <f t="shared" si="23"/>
        <v>1</v>
      </c>
      <c r="AQ60" s="80">
        <f t="shared" si="23"/>
        <v>2</v>
      </c>
      <c r="AR60" s="61"/>
      <c r="AS60" s="62"/>
      <c r="AT60" s="81"/>
      <c r="AU60" s="81"/>
      <c r="AV60" s="81"/>
      <c r="AW60" s="81"/>
      <c r="AX60" s="82"/>
      <c r="AY60" s="83">
        <f t="shared" si="21"/>
        <v>0</v>
      </c>
      <c r="AZ60" s="83">
        <f t="shared" si="7"/>
        <v>0</v>
      </c>
    </row>
    <row r="61" spans="1:52" s="66" customFormat="1" ht="39.75" customHeight="1" thickBot="1" x14ac:dyDescent="0.2">
      <c r="A61" s="105"/>
      <c r="B61" s="105"/>
      <c r="C61" s="105"/>
      <c r="D61" s="105"/>
      <c r="E61" s="131"/>
      <c r="F61" s="105"/>
      <c r="G61" s="170"/>
      <c r="H61" s="158"/>
      <c r="I61" s="92">
        <v>0.7</v>
      </c>
      <c r="J61" s="41">
        <v>0.3</v>
      </c>
      <c r="K61" s="41"/>
      <c r="L61" s="42"/>
      <c r="M61" s="68"/>
      <c r="N61" s="94">
        <f t="shared" ref="N61:N124" si="24">SUM(I61:M61)</f>
        <v>1</v>
      </c>
      <c r="O61" s="125">
        <v>1</v>
      </c>
      <c r="P61" s="126">
        <v>15</v>
      </c>
      <c r="Q61" s="89">
        <v>15</v>
      </c>
      <c r="R61" s="89"/>
      <c r="S61" s="114"/>
      <c r="T61" s="70"/>
      <c r="U61" s="71">
        <f t="shared" si="12"/>
        <v>15</v>
      </c>
      <c r="V61" s="72">
        <f t="shared" si="13"/>
        <v>15</v>
      </c>
      <c r="W61" s="136"/>
      <c r="X61" s="136"/>
      <c r="Y61" s="85"/>
      <c r="Z61" s="139"/>
      <c r="AA61" s="74"/>
      <c r="AB61" s="71">
        <f t="shared" si="14"/>
        <v>0</v>
      </c>
      <c r="AC61" s="72">
        <f t="shared" si="15"/>
        <v>0</v>
      </c>
      <c r="AD61" s="124">
        <v>2</v>
      </c>
      <c r="AE61" s="71">
        <f t="shared" si="16"/>
        <v>2</v>
      </c>
      <c r="AF61" s="76"/>
      <c r="AG61" s="54"/>
      <c r="AH61" s="77">
        <f t="shared" si="17"/>
        <v>17</v>
      </c>
      <c r="AI61" s="56">
        <v>10</v>
      </c>
      <c r="AJ61" s="56">
        <v>10</v>
      </c>
      <c r="AK61" s="56">
        <v>45</v>
      </c>
      <c r="AL61" s="57">
        <f t="shared" si="18"/>
        <v>82</v>
      </c>
      <c r="AM61" s="55">
        <f t="shared" si="19"/>
        <v>82</v>
      </c>
      <c r="AN61" s="78">
        <f t="shared" si="20"/>
        <v>1.02</v>
      </c>
      <c r="AO61" s="79"/>
      <c r="AP61" s="80">
        <f t="shared" ref="AP61:AQ80" si="25">100%+AO61</f>
        <v>1</v>
      </c>
      <c r="AQ61" s="80">
        <f t="shared" si="25"/>
        <v>2</v>
      </c>
      <c r="AR61" s="61"/>
      <c r="AS61" s="62"/>
      <c r="AT61" s="81"/>
      <c r="AU61" s="81"/>
      <c r="AV61" s="81"/>
      <c r="AW61" s="81"/>
      <c r="AX61" s="82"/>
      <c r="AY61" s="83">
        <f t="shared" si="21"/>
        <v>0</v>
      </c>
      <c r="AZ61" s="83">
        <f t="shared" si="7"/>
        <v>0</v>
      </c>
    </row>
    <row r="62" spans="1:52" s="66" customFormat="1" ht="39.75" customHeight="1" thickBot="1" x14ac:dyDescent="0.2">
      <c r="A62" s="96"/>
      <c r="B62" s="91"/>
      <c r="C62" s="131"/>
      <c r="D62" s="122"/>
      <c r="E62" s="110"/>
      <c r="F62" s="110"/>
      <c r="G62" s="97"/>
      <c r="H62" s="158"/>
      <c r="I62" s="92">
        <v>0.7</v>
      </c>
      <c r="J62" s="41">
        <v>0.3</v>
      </c>
      <c r="K62" s="41"/>
      <c r="L62" s="42"/>
      <c r="M62" s="68"/>
      <c r="N62" s="69">
        <f t="shared" si="24"/>
        <v>1</v>
      </c>
      <c r="O62" s="125">
        <v>1</v>
      </c>
      <c r="P62" s="112">
        <v>15</v>
      </c>
      <c r="Q62" s="113">
        <v>15</v>
      </c>
      <c r="R62" s="133"/>
      <c r="S62" s="120"/>
      <c r="T62" s="70"/>
      <c r="U62" s="71">
        <f t="shared" si="12"/>
        <v>15</v>
      </c>
      <c r="V62" s="72">
        <f t="shared" si="13"/>
        <v>15</v>
      </c>
      <c r="W62" s="136"/>
      <c r="X62" s="136"/>
      <c r="Y62" s="136"/>
      <c r="Z62" s="146"/>
      <c r="AA62" s="74"/>
      <c r="AB62" s="75">
        <f t="shared" si="14"/>
        <v>0</v>
      </c>
      <c r="AC62" s="72">
        <f t="shared" si="15"/>
        <v>0</v>
      </c>
      <c r="AD62" s="124">
        <v>2</v>
      </c>
      <c r="AE62" s="71">
        <f t="shared" si="16"/>
        <v>2</v>
      </c>
      <c r="AF62" s="76"/>
      <c r="AG62" s="54"/>
      <c r="AH62" s="77">
        <f t="shared" si="17"/>
        <v>17</v>
      </c>
      <c r="AI62" s="56">
        <v>10</v>
      </c>
      <c r="AJ62" s="56">
        <v>10</v>
      </c>
      <c r="AK62" s="56">
        <v>45</v>
      </c>
      <c r="AL62" s="57">
        <f t="shared" si="18"/>
        <v>82</v>
      </c>
      <c r="AM62" s="55">
        <f t="shared" si="19"/>
        <v>82</v>
      </c>
      <c r="AN62" s="78">
        <f t="shared" si="20"/>
        <v>1.02</v>
      </c>
      <c r="AO62" s="79"/>
      <c r="AP62" s="80">
        <f t="shared" si="25"/>
        <v>1</v>
      </c>
      <c r="AQ62" s="80">
        <f t="shared" si="25"/>
        <v>2</v>
      </c>
      <c r="AR62" s="61"/>
      <c r="AS62" s="62"/>
      <c r="AT62" s="81"/>
      <c r="AU62" s="81"/>
      <c r="AV62" s="81"/>
      <c r="AW62" s="81"/>
      <c r="AX62" s="82"/>
      <c r="AY62" s="83">
        <f t="shared" si="21"/>
        <v>0</v>
      </c>
      <c r="AZ62" s="83">
        <f t="shared" si="7"/>
        <v>0</v>
      </c>
    </row>
    <row r="63" spans="1:52" s="66" customFormat="1" ht="39.75" customHeight="1" thickBot="1" x14ac:dyDescent="0.2">
      <c r="A63" s="96"/>
      <c r="B63" s="91"/>
      <c r="C63" s="131"/>
      <c r="D63" s="131"/>
      <c r="E63" s="131"/>
      <c r="F63" s="131"/>
      <c r="G63" s="170"/>
      <c r="H63" s="158"/>
      <c r="I63" s="92">
        <v>0.7</v>
      </c>
      <c r="J63" s="41">
        <v>0.3</v>
      </c>
      <c r="K63" s="41"/>
      <c r="L63" s="42"/>
      <c r="M63" s="147"/>
      <c r="N63" s="94">
        <f t="shared" si="24"/>
        <v>1</v>
      </c>
      <c r="O63" s="125">
        <v>1</v>
      </c>
      <c r="P63" s="112">
        <v>15</v>
      </c>
      <c r="Q63" s="113">
        <v>15</v>
      </c>
      <c r="R63" s="114"/>
      <c r="S63" s="120"/>
      <c r="T63" s="70"/>
      <c r="U63" s="71">
        <f t="shared" si="12"/>
        <v>15</v>
      </c>
      <c r="V63" s="72">
        <f t="shared" si="13"/>
        <v>15</v>
      </c>
      <c r="W63" s="137"/>
      <c r="X63" s="136"/>
      <c r="Y63" s="85"/>
      <c r="Z63" s="117"/>
      <c r="AA63" s="74"/>
      <c r="AB63" s="75">
        <f t="shared" si="14"/>
        <v>0</v>
      </c>
      <c r="AC63" s="72">
        <f t="shared" si="15"/>
        <v>0</v>
      </c>
      <c r="AD63" s="124">
        <v>2</v>
      </c>
      <c r="AE63" s="71">
        <f t="shared" si="16"/>
        <v>2</v>
      </c>
      <c r="AF63" s="76"/>
      <c r="AG63" s="54"/>
      <c r="AH63" s="77">
        <f t="shared" si="17"/>
        <v>17</v>
      </c>
      <c r="AI63" s="56">
        <v>10</v>
      </c>
      <c r="AJ63" s="56">
        <v>10</v>
      </c>
      <c r="AK63" s="56">
        <v>45</v>
      </c>
      <c r="AL63" s="57">
        <f t="shared" si="18"/>
        <v>82</v>
      </c>
      <c r="AM63" s="55">
        <f t="shared" si="19"/>
        <v>82</v>
      </c>
      <c r="AN63" s="78">
        <f t="shared" si="20"/>
        <v>1.02</v>
      </c>
      <c r="AO63" s="79"/>
      <c r="AP63" s="80">
        <f t="shared" si="25"/>
        <v>1</v>
      </c>
      <c r="AQ63" s="80">
        <f t="shared" si="25"/>
        <v>2</v>
      </c>
      <c r="AR63" s="61"/>
      <c r="AS63" s="62"/>
      <c r="AT63" s="81"/>
      <c r="AU63" s="81"/>
      <c r="AV63" s="81"/>
      <c r="AW63" s="81"/>
      <c r="AX63" s="82"/>
      <c r="AY63" s="83">
        <f t="shared" si="21"/>
        <v>0</v>
      </c>
      <c r="AZ63" s="83">
        <f t="shared" si="7"/>
        <v>0</v>
      </c>
    </row>
    <row r="64" spans="1:52" s="66" customFormat="1" ht="39.75" customHeight="1" thickBot="1" x14ac:dyDescent="0.2">
      <c r="A64" s="96"/>
      <c r="B64" s="91"/>
      <c r="C64" s="131"/>
      <c r="D64" s="131"/>
      <c r="E64" s="131"/>
      <c r="F64" s="131"/>
      <c r="G64" s="170"/>
      <c r="H64" s="158"/>
      <c r="I64" s="92">
        <v>0.7</v>
      </c>
      <c r="J64" s="41">
        <v>0.3</v>
      </c>
      <c r="K64" s="41"/>
      <c r="L64" s="42"/>
      <c r="M64" s="68"/>
      <c r="N64" s="94">
        <f t="shared" si="24"/>
        <v>1</v>
      </c>
      <c r="O64" s="125">
        <v>1</v>
      </c>
      <c r="P64" s="112">
        <v>15</v>
      </c>
      <c r="Q64" s="113">
        <v>15</v>
      </c>
      <c r="R64" s="113"/>
      <c r="S64" s="114"/>
      <c r="T64" s="70"/>
      <c r="U64" s="71">
        <f t="shared" si="12"/>
        <v>15</v>
      </c>
      <c r="V64" s="72">
        <f t="shared" si="13"/>
        <v>15</v>
      </c>
      <c r="W64" s="136"/>
      <c r="X64" s="117"/>
      <c r="Y64" s="136"/>
      <c r="Z64" s="117"/>
      <c r="AA64" s="74"/>
      <c r="AB64" s="75">
        <f t="shared" si="14"/>
        <v>0</v>
      </c>
      <c r="AC64" s="72">
        <f t="shared" si="15"/>
        <v>0</v>
      </c>
      <c r="AD64" s="124">
        <v>2</v>
      </c>
      <c r="AE64" s="71">
        <f t="shared" si="16"/>
        <v>2</v>
      </c>
      <c r="AF64" s="76"/>
      <c r="AG64" s="54"/>
      <c r="AH64" s="77">
        <f t="shared" si="17"/>
        <v>17</v>
      </c>
      <c r="AI64" s="56">
        <v>10</v>
      </c>
      <c r="AJ64" s="56">
        <v>10</v>
      </c>
      <c r="AK64" s="56">
        <v>45</v>
      </c>
      <c r="AL64" s="57">
        <f t="shared" si="18"/>
        <v>82</v>
      </c>
      <c r="AM64" s="55">
        <f t="shared" si="19"/>
        <v>82</v>
      </c>
      <c r="AN64" s="78">
        <f t="shared" si="20"/>
        <v>1.02</v>
      </c>
      <c r="AO64" s="79"/>
      <c r="AP64" s="80">
        <f t="shared" si="25"/>
        <v>1</v>
      </c>
      <c r="AQ64" s="80">
        <f t="shared" si="25"/>
        <v>2</v>
      </c>
      <c r="AR64" s="61"/>
      <c r="AS64" s="62"/>
      <c r="AT64" s="81"/>
      <c r="AU64" s="81"/>
      <c r="AV64" s="81"/>
      <c r="AW64" s="81"/>
      <c r="AX64" s="82"/>
      <c r="AY64" s="83">
        <f t="shared" si="21"/>
        <v>0</v>
      </c>
      <c r="AZ64" s="83">
        <f t="shared" si="7"/>
        <v>0</v>
      </c>
    </row>
    <row r="65" spans="1:52" s="66" customFormat="1" ht="39.75" customHeight="1" thickBot="1" x14ac:dyDescent="0.2">
      <c r="A65" s="96"/>
      <c r="B65" s="91"/>
      <c r="C65" s="108"/>
      <c r="D65" s="122"/>
      <c r="E65" s="122"/>
      <c r="F65" s="131"/>
      <c r="G65" s="170"/>
      <c r="H65" s="158"/>
      <c r="I65" s="92">
        <v>0.7</v>
      </c>
      <c r="J65" s="41">
        <v>0.3</v>
      </c>
      <c r="K65" s="41"/>
      <c r="L65" s="42"/>
      <c r="M65" s="68"/>
      <c r="N65" s="69">
        <f t="shared" si="24"/>
        <v>1</v>
      </c>
      <c r="O65" s="125">
        <v>1</v>
      </c>
      <c r="P65" s="112">
        <v>15</v>
      </c>
      <c r="Q65" s="113">
        <v>15</v>
      </c>
      <c r="R65" s="113"/>
      <c r="S65" s="120"/>
      <c r="T65" s="70"/>
      <c r="U65" s="71">
        <f t="shared" si="12"/>
        <v>15</v>
      </c>
      <c r="V65" s="72">
        <f t="shared" si="13"/>
        <v>15</v>
      </c>
      <c r="W65" s="117"/>
      <c r="X65" s="136"/>
      <c r="Y65" s="136"/>
      <c r="Z65" s="148"/>
      <c r="AA65" s="74"/>
      <c r="AB65" s="75">
        <f t="shared" si="14"/>
        <v>0</v>
      </c>
      <c r="AC65" s="72">
        <f t="shared" si="15"/>
        <v>0</v>
      </c>
      <c r="AD65" s="124">
        <v>2</v>
      </c>
      <c r="AE65" s="71">
        <f t="shared" si="16"/>
        <v>2</v>
      </c>
      <c r="AF65" s="76"/>
      <c r="AG65" s="54"/>
      <c r="AH65" s="77">
        <f t="shared" si="17"/>
        <v>17</v>
      </c>
      <c r="AI65" s="56">
        <v>10</v>
      </c>
      <c r="AJ65" s="56">
        <v>10</v>
      </c>
      <c r="AK65" s="56">
        <v>45</v>
      </c>
      <c r="AL65" s="57">
        <f t="shared" si="18"/>
        <v>82</v>
      </c>
      <c r="AM65" s="55">
        <f t="shared" si="19"/>
        <v>82</v>
      </c>
      <c r="AN65" s="78">
        <f t="shared" si="20"/>
        <v>1.02</v>
      </c>
      <c r="AO65" s="79"/>
      <c r="AP65" s="80">
        <f t="shared" si="25"/>
        <v>1</v>
      </c>
      <c r="AQ65" s="80">
        <f t="shared" si="25"/>
        <v>2</v>
      </c>
      <c r="AR65" s="61"/>
      <c r="AS65" s="62"/>
      <c r="AT65" s="81"/>
      <c r="AU65" s="81"/>
      <c r="AV65" s="81"/>
      <c r="AW65" s="81"/>
      <c r="AX65" s="82"/>
      <c r="AY65" s="83">
        <f t="shared" si="21"/>
        <v>0</v>
      </c>
      <c r="AZ65" s="83">
        <f t="shared" si="7"/>
        <v>0</v>
      </c>
    </row>
    <row r="66" spans="1:52" s="66" customFormat="1" ht="39.75" customHeight="1" thickBot="1" x14ac:dyDescent="0.2">
      <c r="A66" s="108"/>
      <c r="B66" s="108"/>
      <c r="C66" s="131"/>
      <c r="D66" s="109"/>
      <c r="E66" s="110"/>
      <c r="F66" s="129"/>
      <c r="G66" s="170"/>
      <c r="H66" s="158"/>
      <c r="I66" s="92">
        <v>0.7</v>
      </c>
      <c r="J66" s="41">
        <v>0.3</v>
      </c>
      <c r="K66" s="41"/>
      <c r="L66" s="42"/>
      <c r="M66" s="68"/>
      <c r="N66" s="94">
        <f t="shared" si="24"/>
        <v>1</v>
      </c>
      <c r="O66" s="125">
        <v>1</v>
      </c>
      <c r="P66" s="112">
        <v>15</v>
      </c>
      <c r="Q66" s="113">
        <v>15</v>
      </c>
      <c r="R66" s="113"/>
      <c r="S66" s="114"/>
      <c r="T66" s="70"/>
      <c r="U66" s="71">
        <f t="shared" si="12"/>
        <v>15</v>
      </c>
      <c r="V66" s="72">
        <f t="shared" si="13"/>
        <v>15</v>
      </c>
      <c r="W66" s="136"/>
      <c r="X66" s="119"/>
      <c r="Y66" s="85"/>
      <c r="Z66" s="139"/>
      <c r="AA66" s="74"/>
      <c r="AB66" s="75">
        <f t="shared" si="14"/>
        <v>0</v>
      </c>
      <c r="AC66" s="72">
        <f t="shared" si="15"/>
        <v>0</v>
      </c>
      <c r="AD66" s="124">
        <v>2</v>
      </c>
      <c r="AE66" s="71">
        <f t="shared" si="16"/>
        <v>2</v>
      </c>
      <c r="AF66" s="76"/>
      <c r="AG66" s="54"/>
      <c r="AH66" s="77">
        <f t="shared" si="17"/>
        <v>17</v>
      </c>
      <c r="AI66" s="56">
        <v>10</v>
      </c>
      <c r="AJ66" s="56">
        <v>10</v>
      </c>
      <c r="AK66" s="56">
        <v>45</v>
      </c>
      <c r="AL66" s="57">
        <f t="shared" si="18"/>
        <v>82</v>
      </c>
      <c r="AM66" s="55">
        <f t="shared" si="19"/>
        <v>82</v>
      </c>
      <c r="AN66" s="78">
        <f t="shared" si="20"/>
        <v>1.02</v>
      </c>
      <c r="AO66" s="79"/>
      <c r="AP66" s="80">
        <f t="shared" si="25"/>
        <v>1</v>
      </c>
      <c r="AQ66" s="80">
        <f t="shared" si="25"/>
        <v>2</v>
      </c>
      <c r="AR66" s="61"/>
      <c r="AS66" s="62"/>
      <c r="AT66" s="81"/>
      <c r="AU66" s="81"/>
      <c r="AV66" s="81"/>
      <c r="AW66" s="81"/>
      <c r="AX66" s="82"/>
      <c r="AY66" s="83">
        <f t="shared" si="21"/>
        <v>0</v>
      </c>
      <c r="AZ66" s="83">
        <f t="shared" si="7"/>
        <v>0</v>
      </c>
    </row>
    <row r="67" spans="1:52" s="66" customFormat="1" ht="39.75" customHeight="1" thickBot="1" x14ac:dyDescent="0.2">
      <c r="A67" s="155"/>
      <c r="B67" s="91"/>
      <c r="C67" s="129"/>
      <c r="D67" s="131"/>
      <c r="E67" s="109"/>
      <c r="F67" s="110"/>
      <c r="G67" s="170"/>
      <c r="H67" s="158"/>
      <c r="I67" s="92">
        <v>0.7</v>
      </c>
      <c r="J67" s="41">
        <v>0.3</v>
      </c>
      <c r="K67" s="41"/>
      <c r="L67" s="42"/>
      <c r="M67" s="147"/>
      <c r="N67" s="94">
        <f t="shared" si="24"/>
        <v>1</v>
      </c>
      <c r="O67" s="125">
        <v>1</v>
      </c>
      <c r="P67" s="112">
        <v>15</v>
      </c>
      <c r="Q67" s="113">
        <v>15</v>
      </c>
      <c r="R67" s="113"/>
      <c r="S67" s="114"/>
      <c r="T67" s="70"/>
      <c r="U67" s="71">
        <f t="shared" si="12"/>
        <v>15</v>
      </c>
      <c r="V67" s="72">
        <f t="shared" si="13"/>
        <v>15</v>
      </c>
      <c r="W67" s="136"/>
      <c r="X67" s="136"/>
      <c r="Y67" s="117"/>
      <c r="Z67" s="119"/>
      <c r="AA67" s="74"/>
      <c r="AB67" s="71">
        <f t="shared" si="14"/>
        <v>0</v>
      </c>
      <c r="AC67" s="72">
        <f t="shared" si="15"/>
        <v>0</v>
      </c>
      <c r="AD67" s="124">
        <v>2</v>
      </c>
      <c r="AE67" s="71">
        <f t="shared" si="16"/>
        <v>2</v>
      </c>
      <c r="AF67" s="76"/>
      <c r="AG67" s="54"/>
      <c r="AH67" s="77">
        <f t="shared" si="17"/>
        <v>17</v>
      </c>
      <c r="AI67" s="56">
        <v>10</v>
      </c>
      <c r="AJ67" s="56">
        <v>10</v>
      </c>
      <c r="AK67" s="56">
        <v>45</v>
      </c>
      <c r="AL67" s="57">
        <f t="shared" si="18"/>
        <v>82</v>
      </c>
      <c r="AM67" s="55">
        <f t="shared" si="19"/>
        <v>82</v>
      </c>
      <c r="AN67" s="78">
        <f t="shared" si="20"/>
        <v>1.02</v>
      </c>
      <c r="AO67" s="79"/>
      <c r="AP67" s="80">
        <f t="shared" si="25"/>
        <v>1</v>
      </c>
      <c r="AQ67" s="80">
        <f t="shared" si="25"/>
        <v>2</v>
      </c>
      <c r="AR67" s="61"/>
      <c r="AS67" s="62"/>
      <c r="AT67" s="81"/>
      <c r="AU67" s="81"/>
      <c r="AV67" s="81"/>
      <c r="AW67" s="81"/>
      <c r="AX67" s="82"/>
      <c r="AY67" s="83">
        <f t="shared" si="21"/>
        <v>0</v>
      </c>
      <c r="AZ67" s="83">
        <f t="shared" si="7"/>
        <v>0</v>
      </c>
    </row>
    <row r="68" spans="1:52" s="66" customFormat="1" ht="39.75" customHeight="1" thickBot="1" x14ac:dyDescent="0.2">
      <c r="A68" s="96"/>
      <c r="B68" s="91"/>
      <c r="C68" s="105"/>
      <c r="D68" s="131"/>
      <c r="E68" s="131"/>
      <c r="F68" s="131"/>
      <c r="G68" s="131"/>
      <c r="H68" s="158"/>
      <c r="I68" s="92">
        <v>0.7</v>
      </c>
      <c r="J68" s="41">
        <v>0.3</v>
      </c>
      <c r="K68" s="41"/>
      <c r="L68" s="42"/>
      <c r="M68" s="68"/>
      <c r="N68" s="94">
        <f t="shared" si="24"/>
        <v>1</v>
      </c>
      <c r="O68" s="125">
        <v>1</v>
      </c>
      <c r="P68" s="112">
        <v>15</v>
      </c>
      <c r="Q68" s="89">
        <v>15</v>
      </c>
      <c r="R68" s="114"/>
      <c r="S68" s="120"/>
      <c r="T68" s="70"/>
      <c r="U68" s="71">
        <f t="shared" si="12"/>
        <v>15</v>
      </c>
      <c r="V68" s="72">
        <f t="shared" si="13"/>
        <v>15</v>
      </c>
      <c r="W68" s="137"/>
      <c r="X68" s="139"/>
      <c r="Y68" s="148"/>
      <c r="Z68" s="116"/>
      <c r="AA68" s="139"/>
      <c r="AB68" s="71">
        <f t="shared" si="14"/>
        <v>0</v>
      </c>
      <c r="AC68" s="72">
        <f t="shared" si="15"/>
        <v>0</v>
      </c>
      <c r="AD68" s="124">
        <v>2</v>
      </c>
      <c r="AE68" s="71">
        <f t="shared" si="16"/>
        <v>2</v>
      </c>
      <c r="AF68" s="76"/>
      <c r="AG68" s="54"/>
      <c r="AH68" s="77">
        <f t="shared" si="17"/>
        <v>17</v>
      </c>
      <c r="AI68" s="56">
        <v>10</v>
      </c>
      <c r="AJ68" s="56">
        <v>10</v>
      </c>
      <c r="AK68" s="56">
        <v>45</v>
      </c>
      <c r="AL68" s="57">
        <f t="shared" si="18"/>
        <v>82</v>
      </c>
      <c r="AM68" s="55">
        <f t="shared" si="19"/>
        <v>82</v>
      </c>
      <c r="AN68" s="78">
        <f t="shared" si="20"/>
        <v>1.02</v>
      </c>
      <c r="AO68" s="79"/>
      <c r="AP68" s="80">
        <f t="shared" si="25"/>
        <v>1</v>
      </c>
      <c r="AQ68" s="80">
        <f t="shared" si="25"/>
        <v>2</v>
      </c>
      <c r="AR68" s="61"/>
      <c r="AS68" s="62"/>
      <c r="AT68" s="81"/>
      <c r="AU68" s="81"/>
      <c r="AV68" s="81"/>
      <c r="AW68" s="81"/>
      <c r="AX68" s="82"/>
      <c r="AY68" s="83">
        <f t="shared" si="21"/>
        <v>0</v>
      </c>
      <c r="AZ68" s="83">
        <f t="shared" si="7"/>
        <v>0</v>
      </c>
    </row>
    <row r="69" spans="1:52" s="66" customFormat="1" ht="39.75" customHeight="1" thickBot="1" x14ac:dyDescent="0.2">
      <c r="A69" s="96"/>
      <c r="B69" s="91"/>
      <c r="C69" s="131"/>
      <c r="D69" s="105"/>
      <c r="E69" s="98"/>
      <c r="F69" s="110"/>
      <c r="G69" s="170"/>
      <c r="H69" s="158"/>
      <c r="I69" s="92">
        <v>0.7</v>
      </c>
      <c r="J69" s="41">
        <v>0.3</v>
      </c>
      <c r="K69" s="41"/>
      <c r="L69" s="42"/>
      <c r="M69" s="68"/>
      <c r="N69" s="69">
        <f t="shared" si="24"/>
        <v>1</v>
      </c>
      <c r="O69" s="125">
        <v>1</v>
      </c>
      <c r="P69" s="112">
        <v>15</v>
      </c>
      <c r="Q69" s="113">
        <v>15</v>
      </c>
      <c r="R69" s="113"/>
      <c r="S69" s="114"/>
      <c r="T69" s="70"/>
      <c r="U69" s="71">
        <f t="shared" si="12"/>
        <v>15</v>
      </c>
      <c r="V69" s="72">
        <f t="shared" si="13"/>
        <v>15</v>
      </c>
      <c r="W69" s="139"/>
      <c r="X69" s="136"/>
      <c r="Y69" s="116"/>
      <c r="Z69" s="85"/>
      <c r="AA69" s="74"/>
      <c r="AB69" s="75">
        <f t="shared" si="14"/>
        <v>0</v>
      </c>
      <c r="AC69" s="72">
        <f t="shared" si="15"/>
        <v>0</v>
      </c>
      <c r="AD69" s="124">
        <v>2</v>
      </c>
      <c r="AE69" s="71">
        <f t="shared" si="16"/>
        <v>2</v>
      </c>
      <c r="AF69" s="76"/>
      <c r="AG69" s="54"/>
      <c r="AH69" s="77">
        <f t="shared" si="17"/>
        <v>17</v>
      </c>
      <c r="AI69" s="56">
        <v>10</v>
      </c>
      <c r="AJ69" s="56">
        <v>10</v>
      </c>
      <c r="AK69" s="56">
        <v>45</v>
      </c>
      <c r="AL69" s="57">
        <f t="shared" si="18"/>
        <v>82</v>
      </c>
      <c r="AM69" s="55">
        <f t="shared" si="19"/>
        <v>82</v>
      </c>
      <c r="AN69" s="78">
        <f t="shared" si="20"/>
        <v>1.02</v>
      </c>
      <c r="AO69" s="79"/>
      <c r="AP69" s="80">
        <f t="shared" si="25"/>
        <v>1</v>
      </c>
      <c r="AQ69" s="80">
        <f t="shared" si="25"/>
        <v>2</v>
      </c>
      <c r="AR69" s="61"/>
      <c r="AS69" s="62"/>
      <c r="AT69" s="81"/>
      <c r="AU69" s="81"/>
      <c r="AV69" s="81"/>
      <c r="AW69" s="81"/>
      <c r="AX69" s="82"/>
      <c r="AY69" s="83">
        <f t="shared" si="21"/>
        <v>0</v>
      </c>
      <c r="AZ69" s="83">
        <f t="shared" si="7"/>
        <v>0</v>
      </c>
    </row>
    <row r="70" spans="1:52" s="66" customFormat="1" ht="39.75" customHeight="1" thickBot="1" x14ac:dyDescent="0.2">
      <c r="A70" s="105"/>
      <c r="B70" s="105"/>
      <c r="C70" s="105"/>
      <c r="D70" s="105"/>
      <c r="E70" s="109"/>
      <c r="F70" s="110"/>
      <c r="G70" s="170"/>
      <c r="H70" s="158"/>
      <c r="I70" s="92">
        <v>0.7</v>
      </c>
      <c r="J70" s="41">
        <v>0.3</v>
      </c>
      <c r="K70" s="41"/>
      <c r="L70" s="42"/>
      <c r="M70" s="68"/>
      <c r="N70" s="94">
        <f t="shared" si="24"/>
        <v>1</v>
      </c>
      <c r="O70" s="125">
        <v>1</v>
      </c>
      <c r="P70" s="126">
        <v>15</v>
      </c>
      <c r="Q70" s="127">
        <v>15</v>
      </c>
      <c r="R70" s="89"/>
      <c r="S70" s="114"/>
      <c r="T70" s="70"/>
      <c r="U70" s="71">
        <f t="shared" si="12"/>
        <v>15</v>
      </c>
      <c r="V70" s="72">
        <f t="shared" si="13"/>
        <v>15</v>
      </c>
      <c r="W70" s="118"/>
      <c r="X70" s="117"/>
      <c r="Y70" s="119"/>
      <c r="Z70" s="85"/>
      <c r="AA70" s="74"/>
      <c r="AB70" s="75">
        <f t="shared" si="14"/>
        <v>0</v>
      </c>
      <c r="AC70" s="72">
        <f t="shared" si="15"/>
        <v>0</v>
      </c>
      <c r="AD70" s="124">
        <v>2</v>
      </c>
      <c r="AE70" s="71">
        <f t="shared" si="16"/>
        <v>2</v>
      </c>
      <c r="AF70" s="76"/>
      <c r="AG70" s="54"/>
      <c r="AH70" s="77">
        <f t="shared" si="17"/>
        <v>17</v>
      </c>
      <c r="AI70" s="56">
        <v>10</v>
      </c>
      <c r="AJ70" s="56">
        <v>10</v>
      </c>
      <c r="AK70" s="56">
        <v>45</v>
      </c>
      <c r="AL70" s="57">
        <f t="shared" si="18"/>
        <v>82</v>
      </c>
      <c r="AM70" s="55">
        <f t="shared" si="19"/>
        <v>82</v>
      </c>
      <c r="AN70" s="78">
        <f t="shared" si="20"/>
        <v>1.02</v>
      </c>
      <c r="AO70" s="79"/>
      <c r="AP70" s="80">
        <f t="shared" si="25"/>
        <v>1</v>
      </c>
      <c r="AQ70" s="80">
        <f t="shared" si="25"/>
        <v>2</v>
      </c>
      <c r="AR70" s="61"/>
      <c r="AS70" s="62"/>
      <c r="AT70" s="81"/>
      <c r="AU70" s="81"/>
      <c r="AV70" s="81"/>
      <c r="AW70" s="81"/>
      <c r="AX70" s="82"/>
      <c r="AY70" s="83">
        <f t="shared" si="21"/>
        <v>0</v>
      </c>
      <c r="AZ70" s="83">
        <f t="shared" si="7"/>
        <v>0</v>
      </c>
    </row>
    <row r="71" spans="1:52" s="66" customFormat="1" ht="39.75" customHeight="1" thickBot="1" x14ac:dyDescent="0.2">
      <c r="A71" s="96"/>
      <c r="B71" s="91"/>
      <c r="C71" s="105"/>
      <c r="D71" s="108"/>
      <c r="E71" s="108"/>
      <c r="F71" s="109"/>
      <c r="G71" s="170"/>
      <c r="H71" s="158"/>
      <c r="I71" s="92">
        <v>0.7</v>
      </c>
      <c r="J71" s="41">
        <v>0.3</v>
      </c>
      <c r="K71" s="41"/>
      <c r="L71" s="42"/>
      <c r="M71" s="68"/>
      <c r="N71" s="94">
        <f t="shared" si="24"/>
        <v>1</v>
      </c>
      <c r="O71" s="125">
        <v>1</v>
      </c>
      <c r="P71" s="112">
        <v>15</v>
      </c>
      <c r="Q71" s="113">
        <v>15</v>
      </c>
      <c r="R71" s="113"/>
      <c r="S71" s="120"/>
      <c r="T71" s="70"/>
      <c r="U71" s="71">
        <f t="shared" si="12"/>
        <v>15</v>
      </c>
      <c r="V71" s="72">
        <f t="shared" si="13"/>
        <v>15</v>
      </c>
      <c r="W71" s="136"/>
      <c r="X71" s="136"/>
      <c r="Y71" s="136"/>
      <c r="Z71" s="119"/>
      <c r="AA71" s="74"/>
      <c r="AB71" s="75">
        <f t="shared" si="14"/>
        <v>0</v>
      </c>
      <c r="AC71" s="72">
        <f t="shared" si="15"/>
        <v>0</v>
      </c>
      <c r="AD71" s="124">
        <v>2</v>
      </c>
      <c r="AE71" s="71">
        <f t="shared" si="16"/>
        <v>2</v>
      </c>
      <c r="AF71" s="76"/>
      <c r="AG71" s="54"/>
      <c r="AH71" s="77">
        <f t="shared" si="17"/>
        <v>17</v>
      </c>
      <c r="AI71" s="56">
        <v>10</v>
      </c>
      <c r="AJ71" s="56">
        <v>10</v>
      </c>
      <c r="AK71" s="56">
        <v>45</v>
      </c>
      <c r="AL71" s="57">
        <f t="shared" si="18"/>
        <v>82</v>
      </c>
      <c r="AM71" s="55">
        <f t="shared" si="19"/>
        <v>82</v>
      </c>
      <c r="AN71" s="78">
        <f t="shared" si="20"/>
        <v>1.02</v>
      </c>
      <c r="AO71" s="79"/>
      <c r="AP71" s="80">
        <f t="shared" si="25"/>
        <v>1</v>
      </c>
      <c r="AQ71" s="80">
        <f t="shared" si="25"/>
        <v>2</v>
      </c>
      <c r="AR71" s="61"/>
      <c r="AS71" s="62"/>
      <c r="AT71" s="81"/>
      <c r="AU71" s="81"/>
      <c r="AV71" s="81"/>
      <c r="AW71" s="81"/>
      <c r="AX71" s="82"/>
      <c r="AY71" s="83">
        <f t="shared" si="21"/>
        <v>0</v>
      </c>
      <c r="AZ71" s="83">
        <f t="shared" si="7"/>
        <v>0</v>
      </c>
    </row>
    <row r="72" spans="1:52" s="66" customFormat="1" ht="39.75" customHeight="1" thickBot="1" x14ac:dyDescent="0.2">
      <c r="A72" s="108"/>
      <c r="B72" s="108"/>
      <c r="C72" s="108"/>
      <c r="D72" s="108"/>
      <c r="E72" s="108"/>
      <c r="F72" s="109"/>
      <c r="G72" s="170"/>
      <c r="H72" s="158"/>
      <c r="I72" s="92">
        <v>0.7</v>
      </c>
      <c r="J72" s="41">
        <v>0.3</v>
      </c>
      <c r="K72" s="41"/>
      <c r="L72" s="42"/>
      <c r="M72" s="68"/>
      <c r="N72" s="94">
        <f t="shared" si="24"/>
        <v>1</v>
      </c>
      <c r="O72" s="125">
        <v>1</v>
      </c>
      <c r="P72" s="115">
        <v>15</v>
      </c>
      <c r="Q72" s="113">
        <v>14.48</v>
      </c>
      <c r="R72" s="113"/>
      <c r="S72" s="114"/>
      <c r="T72" s="70"/>
      <c r="U72" s="71">
        <f t="shared" si="12"/>
        <v>14.84</v>
      </c>
      <c r="V72" s="72">
        <f t="shared" si="13"/>
        <v>14.84</v>
      </c>
      <c r="W72" s="117"/>
      <c r="X72" s="117"/>
      <c r="Y72" s="118"/>
      <c r="Z72" s="117"/>
      <c r="AA72" s="74"/>
      <c r="AB72" s="75">
        <f t="shared" si="14"/>
        <v>0</v>
      </c>
      <c r="AC72" s="72">
        <f t="shared" si="15"/>
        <v>0</v>
      </c>
      <c r="AD72" s="124">
        <v>2</v>
      </c>
      <c r="AE72" s="71">
        <f t="shared" si="16"/>
        <v>2</v>
      </c>
      <c r="AF72" s="76"/>
      <c r="AG72" s="54"/>
      <c r="AH72" s="77">
        <f t="shared" si="17"/>
        <v>16.84</v>
      </c>
      <c r="AI72" s="56">
        <v>10</v>
      </c>
      <c r="AJ72" s="56">
        <v>10</v>
      </c>
      <c r="AK72" s="56">
        <v>45</v>
      </c>
      <c r="AL72" s="57">
        <f t="shared" si="18"/>
        <v>81.84</v>
      </c>
      <c r="AM72" s="55">
        <f t="shared" si="19"/>
        <v>81.84</v>
      </c>
      <c r="AN72" s="78">
        <f t="shared" si="20"/>
        <v>1.0207999999999999</v>
      </c>
      <c r="AO72" s="79"/>
      <c r="AP72" s="80">
        <f t="shared" si="25"/>
        <v>1</v>
      </c>
      <c r="AQ72" s="80">
        <f t="shared" si="25"/>
        <v>2</v>
      </c>
      <c r="AR72" s="61"/>
      <c r="AS72" s="62"/>
      <c r="AT72" s="81"/>
      <c r="AU72" s="81"/>
      <c r="AV72" s="81"/>
      <c r="AW72" s="81"/>
      <c r="AX72" s="82"/>
      <c r="AY72" s="83">
        <f t="shared" si="21"/>
        <v>0</v>
      </c>
      <c r="AZ72" s="83">
        <f t="shared" si="7"/>
        <v>0</v>
      </c>
    </row>
    <row r="73" spans="1:52" s="66" customFormat="1" ht="39.75" customHeight="1" thickBot="1" x14ac:dyDescent="0.2">
      <c r="A73" s="108"/>
      <c r="B73" s="108"/>
      <c r="C73" s="108"/>
      <c r="D73" s="108"/>
      <c r="E73" s="108"/>
      <c r="F73" s="109"/>
      <c r="G73" s="170"/>
      <c r="H73" s="158"/>
      <c r="I73" s="92">
        <v>0.7</v>
      </c>
      <c r="J73" s="41">
        <v>0.3</v>
      </c>
      <c r="K73" s="41"/>
      <c r="L73" s="42"/>
      <c r="M73" s="68"/>
      <c r="N73" s="94">
        <f t="shared" si="24"/>
        <v>1</v>
      </c>
      <c r="O73" s="125">
        <v>1</v>
      </c>
      <c r="P73" s="45">
        <v>15</v>
      </c>
      <c r="Q73" s="46">
        <v>15</v>
      </c>
      <c r="R73" s="46"/>
      <c r="S73" s="121"/>
      <c r="T73" s="70"/>
      <c r="U73" s="71">
        <f t="shared" si="12"/>
        <v>15</v>
      </c>
      <c r="V73" s="72">
        <f t="shared" si="13"/>
        <v>15</v>
      </c>
      <c r="W73" s="117"/>
      <c r="X73" s="117"/>
      <c r="Y73" s="117"/>
      <c r="Z73" s="116"/>
      <c r="AA73" s="74"/>
      <c r="AB73" s="75">
        <f t="shared" si="14"/>
        <v>0</v>
      </c>
      <c r="AC73" s="72">
        <f t="shared" si="15"/>
        <v>0</v>
      </c>
      <c r="AD73" s="52">
        <v>2</v>
      </c>
      <c r="AE73" s="71">
        <f t="shared" si="16"/>
        <v>2</v>
      </c>
      <c r="AF73" s="76"/>
      <c r="AG73" s="86"/>
      <c r="AH73" s="77">
        <f t="shared" si="17"/>
        <v>17</v>
      </c>
      <c r="AI73" s="56">
        <v>10</v>
      </c>
      <c r="AJ73" s="56">
        <v>10</v>
      </c>
      <c r="AK73" s="56">
        <v>45</v>
      </c>
      <c r="AL73" s="57">
        <f t="shared" si="18"/>
        <v>82</v>
      </c>
      <c r="AM73" s="55">
        <f t="shared" si="19"/>
        <v>82</v>
      </c>
      <c r="AN73" s="78">
        <f t="shared" si="20"/>
        <v>1.02</v>
      </c>
      <c r="AO73" s="79"/>
      <c r="AP73" s="80">
        <f t="shared" si="25"/>
        <v>1</v>
      </c>
      <c r="AQ73" s="80">
        <f t="shared" si="25"/>
        <v>2</v>
      </c>
      <c r="AR73" s="61"/>
      <c r="AS73" s="62"/>
      <c r="AT73" s="81"/>
      <c r="AU73" s="81"/>
      <c r="AV73" s="81"/>
      <c r="AW73" s="81"/>
      <c r="AX73" s="82"/>
      <c r="AY73" s="83">
        <f t="shared" si="21"/>
        <v>0</v>
      </c>
      <c r="AZ73" s="83">
        <f t="shared" si="7"/>
        <v>0</v>
      </c>
    </row>
    <row r="74" spans="1:52" s="66" customFormat="1" ht="39.75" customHeight="1" thickBot="1" x14ac:dyDescent="0.2">
      <c r="A74" s="108"/>
      <c r="B74" s="108"/>
      <c r="C74" s="108"/>
      <c r="D74" s="108"/>
      <c r="E74" s="108"/>
      <c r="F74" s="109"/>
      <c r="G74" s="170"/>
      <c r="H74" s="158"/>
      <c r="I74" s="92">
        <v>0.7</v>
      </c>
      <c r="J74" s="41">
        <v>0.3</v>
      </c>
      <c r="K74" s="41"/>
      <c r="L74" s="42"/>
      <c r="M74" s="68"/>
      <c r="N74" s="94">
        <f t="shared" si="24"/>
        <v>1</v>
      </c>
      <c r="O74" s="44">
        <v>1</v>
      </c>
      <c r="P74" s="45">
        <v>15</v>
      </c>
      <c r="Q74" s="46">
        <v>15</v>
      </c>
      <c r="R74" s="46"/>
      <c r="S74" s="121"/>
      <c r="T74" s="70"/>
      <c r="U74" s="71">
        <f t="shared" si="12"/>
        <v>15</v>
      </c>
      <c r="V74" s="72">
        <f t="shared" si="13"/>
        <v>15</v>
      </c>
      <c r="W74" s="117"/>
      <c r="X74" s="117"/>
      <c r="Y74" s="117"/>
      <c r="Z74" s="119"/>
      <c r="AA74" s="74"/>
      <c r="AB74" s="75">
        <f t="shared" si="14"/>
        <v>0</v>
      </c>
      <c r="AC74" s="72">
        <f t="shared" si="15"/>
        <v>0</v>
      </c>
      <c r="AD74" s="52">
        <v>2</v>
      </c>
      <c r="AE74" s="71">
        <f t="shared" si="16"/>
        <v>2</v>
      </c>
      <c r="AF74" s="76"/>
      <c r="AG74" s="86"/>
      <c r="AH74" s="77">
        <f t="shared" si="17"/>
        <v>17</v>
      </c>
      <c r="AI74" s="56">
        <v>10</v>
      </c>
      <c r="AJ74" s="56">
        <v>10</v>
      </c>
      <c r="AK74" s="56">
        <v>45</v>
      </c>
      <c r="AL74" s="57">
        <f t="shared" si="18"/>
        <v>82</v>
      </c>
      <c r="AM74" s="55">
        <f t="shared" si="19"/>
        <v>82</v>
      </c>
      <c r="AN74" s="78">
        <f t="shared" si="20"/>
        <v>1.02</v>
      </c>
      <c r="AO74" s="79"/>
      <c r="AP74" s="80">
        <f t="shared" si="25"/>
        <v>1</v>
      </c>
      <c r="AQ74" s="80">
        <f t="shared" si="25"/>
        <v>2</v>
      </c>
      <c r="AR74" s="61"/>
      <c r="AS74" s="62"/>
      <c r="AT74" s="81"/>
      <c r="AU74" s="81"/>
      <c r="AV74" s="81"/>
      <c r="AW74" s="81"/>
      <c r="AX74" s="82"/>
      <c r="AY74" s="83">
        <f t="shared" si="21"/>
        <v>0</v>
      </c>
      <c r="AZ74" s="83">
        <f t="shared" si="7"/>
        <v>0</v>
      </c>
    </row>
    <row r="75" spans="1:52" s="66" customFormat="1" ht="39.75" customHeight="1" thickBot="1" x14ac:dyDescent="0.2">
      <c r="A75" s="108"/>
      <c r="B75" s="108"/>
      <c r="C75" s="108"/>
      <c r="D75" s="108"/>
      <c r="E75" s="108"/>
      <c r="F75" s="109"/>
      <c r="G75" s="170"/>
      <c r="H75" s="158"/>
      <c r="I75" s="92">
        <v>0.7</v>
      </c>
      <c r="J75" s="41">
        <v>0.3</v>
      </c>
      <c r="K75" s="41"/>
      <c r="L75" s="42"/>
      <c r="M75" s="68"/>
      <c r="N75" s="94">
        <f t="shared" si="24"/>
        <v>1</v>
      </c>
      <c r="O75" s="44">
        <v>1</v>
      </c>
      <c r="P75" s="45">
        <v>15</v>
      </c>
      <c r="Q75" s="46">
        <v>15</v>
      </c>
      <c r="R75" s="46"/>
      <c r="S75" s="121"/>
      <c r="T75" s="70"/>
      <c r="U75" s="71">
        <f t="shared" si="12"/>
        <v>15</v>
      </c>
      <c r="V75" s="72">
        <f t="shared" si="13"/>
        <v>15</v>
      </c>
      <c r="W75" s="99"/>
      <c r="X75" s="100"/>
      <c r="Y75" s="85"/>
      <c r="Z75" s="95"/>
      <c r="AA75" s="74"/>
      <c r="AB75" s="75">
        <f t="shared" si="14"/>
        <v>0</v>
      </c>
      <c r="AC75" s="72">
        <f t="shared" si="15"/>
        <v>0</v>
      </c>
      <c r="AD75" s="52">
        <v>2</v>
      </c>
      <c r="AE75" s="71">
        <f t="shared" si="16"/>
        <v>2</v>
      </c>
      <c r="AF75" s="76"/>
      <c r="AG75" s="86"/>
      <c r="AH75" s="77">
        <f t="shared" si="17"/>
        <v>17</v>
      </c>
      <c r="AI75" s="56">
        <v>10</v>
      </c>
      <c r="AJ75" s="56">
        <v>10</v>
      </c>
      <c r="AK75" s="56">
        <v>45</v>
      </c>
      <c r="AL75" s="57">
        <f t="shared" si="18"/>
        <v>82</v>
      </c>
      <c r="AM75" s="55">
        <f t="shared" si="19"/>
        <v>82</v>
      </c>
      <c r="AN75" s="78">
        <f t="shared" si="20"/>
        <v>1.02</v>
      </c>
      <c r="AO75" s="79"/>
      <c r="AP75" s="80">
        <f t="shared" si="25"/>
        <v>1</v>
      </c>
      <c r="AQ75" s="80">
        <f t="shared" si="25"/>
        <v>2</v>
      </c>
      <c r="AR75" s="61"/>
      <c r="AS75" s="62"/>
      <c r="AT75" s="81"/>
      <c r="AU75" s="81"/>
      <c r="AV75" s="81"/>
      <c r="AW75" s="81"/>
      <c r="AX75" s="82"/>
      <c r="AY75" s="83">
        <f t="shared" si="21"/>
        <v>0</v>
      </c>
      <c r="AZ75" s="83">
        <f t="shared" si="7"/>
        <v>0</v>
      </c>
    </row>
    <row r="76" spans="1:52" s="66" customFormat="1" ht="39.75" customHeight="1" thickBot="1" x14ac:dyDescent="0.2">
      <c r="A76" s="108"/>
      <c r="B76" s="108"/>
      <c r="C76" s="108"/>
      <c r="D76" s="108"/>
      <c r="E76" s="108"/>
      <c r="F76" s="109"/>
      <c r="G76" s="170"/>
      <c r="H76" s="158"/>
      <c r="I76" s="92">
        <v>0.7</v>
      </c>
      <c r="J76" s="41">
        <v>0.3</v>
      </c>
      <c r="K76" s="41"/>
      <c r="L76" s="42"/>
      <c r="M76" s="68"/>
      <c r="N76" s="94">
        <f t="shared" si="24"/>
        <v>1</v>
      </c>
      <c r="O76" s="44">
        <v>1</v>
      </c>
      <c r="P76" s="45">
        <v>15</v>
      </c>
      <c r="Q76" s="46">
        <v>15</v>
      </c>
      <c r="R76" s="46"/>
      <c r="S76" s="121"/>
      <c r="T76" s="70"/>
      <c r="U76" s="71">
        <f t="shared" si="12"/>
        <v>15</v>
      </c>
      <c r="V76" s="72">
        <f t="shared" si="13"/>
        <v>15</v>
      </c>
      <c r="W76" s="99"/>
      <c r="X76" s="100"/>
      <c r="Y76" s="85"/>
      <c r="Z76" s="95"/>
      <c r="AA76" s="74"/>
      <c r="AB76" s="75">
        <f t="shared" si="14"/>
        <v>0</v>
      </c>
      <c r="AC76" s="72">
        <f t="shared" si="15"/>
        <v>0</v>
      </c>
      <c r="AD76" s="52">
        <v>2</v>
      </c>
      <c r="AE76" s="71">
        <f t="shared" si="16"/>
        <v>2</v>
      </c>
      <c r="AF76" s="76"/>
      <c r="AG76" s="86"/>
      <c r="AH76" s="77">
        <f t="shared" si="17"/>
        <v>17</v>
      </c>
      <c r="AI76" s="56">
        <v>10</v>
      </c>
      <c r="AJ76" s="56">
        <v>10</v>
      </c>
      <c r="AK76" s="56">
        <v>45</v>
      </c>
      <c r="AL76" s="57">
        <f t="shared" si="18"/>
        <v>82</v>
      </c>
      <c r="AM76" s="55">
        <f t="shared" si="19"/>
        <v>82</v>
      </c>
      <c r="AN76" s="78">
        <f t="shared" si="20"/>
        <v>1.02</v>
      </c>
      <c r="AO76" s="79"/>
      <c r="AP76" s="80">
        <f t="shared" si="25"/>
        <v>1</v>
      </c>
      <c r="AQ76" s="80">
        <f t="shared" si="25"/>
        <v>2</v>
      </c>
      <c r="AR76" s="61"/>
      <c r="AS76" s="62"/>
      <c r="AT76" s="81"/>
      <c r="AU76" s="81"/>
      <c r="AV76" s="81"/>
      <c r="AW76" s="81"/>
      <c r="AX76" s="82"/>
      <c r="AY76" s="83">
        <f t="shared" si="21"/>
        <v>0</v>
      </c>
      <c r="AZ76" s="83">
        <f t="shared" si="7"/>
        <v>0</v>
      </c>
    </row>
    <row r="77" spans="1:52" s="66" customFormat="1" ht="39.75" customHeight="1" thickBot="1" x14ac:dyDescent="0.2">
      <c r="A77" s="108"/>
      <c r="B77" s="108"/>
      <c r="C77" s="108"/>
      <c r="D77" s="108"/>
      <c r="E77" s="108"/>
      <c r="F77" s="105"/>
      <c r="G77" s="170"/>
      <c r="H77" s="158"/>
      <c r="I77" s="92">
        <v>0.7</v>
      </c>
      <c r="J77" s="41">
        <v>0.3</v>
      </c>
      <c r="K77" s="41"/>
      <c r="L77" s="42"/>
      <c r="M77" s="68"/>
      <c r="N77" s="94">
        <f t="shared" si="24"/>
        <v>1</v>
      </c>
      <c r="O77" s="44">
        <v>1</v>
      </c>
      <c r="P77" s="45">
        <v>15</v>
      </c>
      <c r="Q77" s="46">
        <v>15</v>
      </c>
      <c r="R77" s="46"/>
      <c r="S77" s="121"/>
      <c r="T77" s="70"/>
      <c r="U77" s="71">
        <f t="shared" si="12"/>
        <v>15</v>
      </c>
      <c r="V77" s="72">
        <f t="shared" si="13"/>
        <v>15</v>
      </c>
      <c r="W77" s="99"/>
      <c r="X77" s="100"/>
      <c r="Y77" s="85"/>
      <c r="Z77" s="95"/>
      <c r="AA77" s="74"/>
      <c r="AB77" s="75">
        <f t="shared" si="14"/>
        <v>0</v>
      </c>
      <c r="AC77" s="72">
        <f t="shared" si="15"/>
        <v>0</v>
      </c>
      <c r="AD77" s="52">
        <v>2</v>
      </c>
      <c r="AE77" s="71">
        <f t="shared" si="16"/>
        <v>2</v>
      </c>
      <c r="AF77" s="76"/>
      <c r="AG77" s="86"/>
      <c r="AH77" s="77">
        <f t="shared" si="17"/>
        <v>17</v>
      </c>
      <c r="AI77" s="56">
        <v>10</v>
      </c>
      <c r="AJ77" s="56">
        <v>10</v>
      </c>
      <c r="AK77" s="56">
        <v>45</v>
      </c>
      <c r="AL77" s="57">
        <f t="shared" si="18"/>
        <v>82</v>
      </c>
      <c r="AM77" s="55">
        <f t="shared" si="19"/>
        <v>82</v>
      </c>
      <c r="AN77" s="78">
        <f t="shared" si="20"/>
        <v>1.02</v>
      </c>
      <c r="AO77" s="79"/>
      <c r="AP77" s="80">
        <f t="shared" si="25"/>
        <v>1</v>
      </c>
      <c r="AQ77" s="80">
        <f t="shared" si="25"/>
        <v>2</v>
      </c>
      <c r="AR77" s="61"/>
      <c r="AS77" s="62"/>
      <c r="AT77" s="81"/>
      <c r="AU77" s="81"/>
      <c r="AV77" s="81"/>
      <c r="AW77" s="81"/>
      <c r="AX77" s="82"/>
      <c r="AY77" s="83">
        <f t="shared" si="21"/>
        <v>0</v>
      </c>
      <c r="AZ77" s="83">
        <f t="shared" si="7"/>
        <v>0</v>
      </c>
    </row>
    <row r="78" spans="1:52" s="66" customFormat="1" ht="39.75" customHeight="1" thickBot="1" x14ac:dyDescent="0.2">
      <c r="A78" s="108"/>
      <c r="B78" s="108"/>
      <c r="C78" s="108"/>
      <c r="D78" s="108"/>
      <c r="E78" s="108"/>
      <c r="F78" s="105"/>
      <c r="G78" s="170"/>
      <c r="H78" s="158"/>
      <c r="I78" s="92">
        <v>0.7</v>
      </c>
      <c r="J78" s="41">
        <v>0.3</v>
      </c>
      <c r="K78" s="41"/>
      <c r="L78" s="42"/>
      <c r="M78" s="68"/>
      <c r="N78" s="94">
        <f t="shared" si="24"/>
        <v>1</v>
      </c>
      <c r="O78" s="44">
        <v>1</v>
      </c>
      <c r="P78" s="45">
        <v>15</v>
      </c>
      <c r="Q78" s="46">
        <v>15</v>
      </c>
      <c r="R78" s="46"/>
      <c r="S78" s="121"/>
      <c r="T78" s="70"/>
      <c r="U78" s="71">
        <f t="shared" si="12"/>
        <v>15</v>
      </c>
      <c r="V78" s="72">
        <f t="shared" si="13"/>
        <v>15</v>
      </c>
      <c r="W78" s="99"/>
      <c r="X78" s="100"/>
      <c r="Y78" s="85"/>
      <c r="Z78" s="95"/>
      <c r="AA78" s="74"/>
      <c r="AB78" s="75">
        <f t="shared" si="14"/>
        <v>0</v>
      </c>
      <c r="AC78" s="72">
        <f t="shared" si="15"/>
        <v>0</v>
      </c>
      <c r="AD78" s="52">
        <v>2</v>
      </c>
      <c r="AE78" s="71">
        <f t="shared" si="16"/>
        <v>2</v>
      </c>
      <c r="AF78" s="76"/>
      <c r="AG78" s="86"/>
      <c r="AH78" s="77">
        <f t="shared" si="17"/>
        <v>17</v>
      </c>
      <c r="AI78" s="56">
        <v>10</v>
      </c>
      <c r="AJ78" s="56">
        <v>10</v>
      </c>
      <c r="AK78" s="56">
        <v>45</v>
      </c>
      <c r="AL78" s="57">
        <f t="shared" si="18"/>
        <v>82</v>
      </c>
      <c r="AM78" s="55">
        <f t="shared" si="19"/>
        <v>82</v>
      </c>
      <c r="AN78" s="78">
        <f t="shared" si="20"/>
        <v>1.02</v>
      </c>
      <c r="AO78" s="79"/>
      <c r="AP78" s="80">
        <f t="shared" si="25"/>
        <v>1</v>
      </c>
      <c r="AQ78" s="80">
        <f t="shared" si="25"/>
        <v>2</v>
      </c>
      <c r="AR78" s="61"/>
      <c r="AS78" s="62"/>
      <c r="AT78" s="81"/>
      <c r="AU78" s="81"/>
      <c r="AV78" s="81"/>
      <c r="AW78" s="81"/>
      <c r="AX78" s="82"/>
      <c r="AY78" s="83">
        <f t="shared" si="21"/>
        <v>0</v>
      </c>
      <c r="AZ78" s="83">
        <f t="shared" si="7"/>
        <v>0</v>
      </c>
    </row>
    <row r="79" spans="1:52" s="66" customFormat="1" ht="39.75" customHeight="1" thickBot="1" x14ac:dyDescent="0.2">
      <c r="A79" s="108"/>
      <c r="B79" s="108"/>
      <c r="C79" s="108"/>
      <c r="D79" s="108"/>
      <c r="E79" s="108"/>
      <c r="F79" s="105"/>
      <c r="G79" s="170"/>
      <c r="H79" s="158"/>
      <c r="I79" s="92">
        <v>0.7</v>
      </c>
      <c r="J79" s="41">
        <v>0.3</v>
      </c>
      <c r="K79" s="41"/>
      <c r="L79" s="42"/>
      <c r="M79" s="68"/>
      <c r="N79" s="94">
        <f t="shared" si="24"/>
        <v>1</v>
      </c>
      <c r="O79" s="44">
        <v>1</v>
      </c>
      <c r="P79" s="45">
        <v>15</v>
      </c>
      <c r="Q79" s="46">
        <v>15</v>
      </c>
      <c r="R79" s="46"/>
      <c r="S79" s="121"/>
      <c r="T79" s="70"/>
      <c r="U79" s="71">
        <f t="shared" si="12"/>
        <v>15</v>
      </c>
      <c r="V79" s="72">
        <f t="shared" si="13"/>
        <v>15</v>
      </c>
      <c r="W79" s="99"/>
      <c r="X79" s="100"/>
      <c r="Y79" s="85"/>
      <c r="Z79" s="95"/>
      <c r="AA79" s="74"/>
      <c r="AB79" s="75">
        <f t="shared" si="14"/>
        <v>0</v>
      </c>
      <c r="AC79" s="72">
        <f t="shared" si="15"/>
        <v>0</v>
      </c>
      <c r="AD79" s="52">
        <v>2</v>
      </c>
      <c r="AE79" s="71">
        <f t="shared" si="16"/>
        <v>2</v>
      </c>
      <c r="AF79" s="76"/>
      <c r="AG79" s="86"/>
      <c r="AH79" s="77">
        <f t="shared" si="17"/>
        <v>17</v>
      </c>
      <c r="AI79" s="56">
        <v>10</v>
      </c>
      <c r="AJ79" s="56">
        <v>10</v>
      </c>
      <c r="AK79" s="56">
        <v>45</v>
      </c>
      <c r="AL79" s="57">
        <f t="shared" si="18"/>
        <v>82</v>
      </c>
      <c r="AM79" s="55">
        <f t="shared" si="19"/>
        <v>82</v>
      </c>
      <c r="AN79" s="78">
        <f t="shared" si="20"/>
        <v>1.02</v>
      </c>
      <c r="AO79" s="79"/>
      <c r="AP79" s="80">
        <f t="shared" si="25"/>
        <v>1</v>
      </c>
      <c r="AQ79" s="80">
        <f t="shared" si="25"/>
        <v>2</v>
      </c>
      <c r="AR79" s="61"/>
      <c r="AS79" s="62"/>
      <c r="AT79" s="81"/>
      <c r="AU79" s="81"/>
      <c r="AV79" s="81"/>
      <c r="AW79" s="81"/>
      <c r="AX79" s="82"/>
      <c r="AY79" s="83">
        <f t="shared" si="21"/>
        <v>0</v>
      </c>
      <c r="AZ79" s="83">
        <f t="shared" si="7"/>
        <v>0</v>
      </c>
    </row>
    <row r="80" spans="1:52" s="66" customFormat="1" ht="39.75" customHeight="1" thickBot="1" x14ac:dyDescent="0.2">
      <c r="A80" s="108"/>
      <c r="B80" s="108"/>
      <c r="C80" s="108"/>
      <c r="D80" s="108"/>
      <c r="E80" s="108"/>
      <c r="F80" s="105"/>
      <c r="G80" s="170"/>
      <c r="H80" s="158"/>
      <c r="I80" s="92">
        <v>0.7</v>
      </c>
      <c r="J80" s="41">
        <v>0.3</v>
      </c>
      <c r="K80" s="41"/>
      <c r="L80" s="42"/>
      <c r="M80" s="68"/>
      <c r="N80" s="94">
        <f t="shared" si="24"/>
        <v>1</v>
      </c>
      <c r="O80" s="44">
        <v>1</v>
      </c>
      <c r="P80" s="45">
        <v>15</v>
      </c>
      <c r="Q80" s="46">
        <v>15</v>
      </c>
      <c r="R80" s="46"/>
      <c r="S80" s="121"/>
      <c r="T80" s="70"/>
      <c r="U80" s="71">
        <f t="shared" si="12"/>
        <v>15</v>
      </c>
      <c r="V80" s="72">
        <f t="shared" si="13"/>
        <v>15</v>
      </c>
      <c r="W80" s="99"/>
      <c r="X80" s="100"/>
      <c r="Y80" s="85"/>
      <c r="Z80" s="95"/>
      <c r="AA80" s="74"/>
      <c r="AB80" s="75">
        <f t="shared" si="14"/>
        <v>0</v>
      </c>
      <c r="AC80" s="72">
        <f t="shared" si="15"/>
        <v>0</v>
      </c>
      <c r="AD80" s="52">
        <v>2</v>
      </c>
      <c r="AE80" s="71">
        <f t="shared" si="16"/>
        <v>2</v>
      </c>
      <c r="AF80" s="76"/>
      <c r="AG80" s="86"/>
      <c r="AH80" s="77">
        <f t="shared" si="17"/>
        <v>17</v>
      </c>
      <c r="AI80" s="56">
        <v>10</v>
      </c>
      <c r="AJ80" s="56">
        <v>10</v>
      </c>
      <c r="AK80" s="56">
        <v>45</v>
      </c>
      <c r="AL80" s="57">
        <f t="shared" si="18"/>
        <v>82</v>
      </c>
      <c r="AM80" s="55">
        <f t="shared" si="19"/>
        <v>82</v>
      </c>
      <c r="AN80" s="78">
        <f t="shared" si="20"/>
        <v>1.02</v>
      </c>
      <c r="AO80" s="79"/>
      <c r="AP80" s="80">
        <f t="shared" si="25"/>
        <v>1</v>
      </c>
      <c r="AQ80" s="80">
        <f t="shared" si="25"/>
        <v>2</v>
      </c>
      <c r="AR80" s="61"/>
      <c r="AS80" s="62"/>
      <c r="AT80" s="81"/>
      <c r="AU80" s="81"/>
      <c r="AV80" s="81"/>
      <c r="AW80" s="81"/>
      <c r="AX80" s="82"/>
      <c r="AY80" s="83">
        <f t="shared" si="21"/>
        <v>0</v>
      </c>
      <c r="AZ80" s="83">
        <f t="shared" si="7"/>
        <v>0</v>
      </c>
    </row>
    <row r="81" spans="1:52" s="66" customFormat="1" ht="39.75" customHeight="1" thickBot="1" x14ac:dyDescent="0.2">
      <c r="A81" s="108"/>
      <c r="B81" s="108"/>
      <c r="C81" s="108"/>
      <c r="D81" s="108"/>
      <c r="E81" s="108"/>
      <c r="F81" s="105"/>
      <c r="G81" s="170"/>
      <c r="H81" s="158"/>
      <c r="I81" s="92">
        <v>0.7</v>
      </c>
      <c r="J81" s="41">
        <v>0.3</v>
      </c>
      <c r="K81" s="41"/>
      <c r="L81" s="42"/>
      <c r="M81" s="68"/>
      <c r="N81" s="94">
        <f t="shared" si="24"/>
        <v>1</v>
      </c>
      <c r="O81" s="44">
        <v>1</v>
      </c>
      <c r="P81" s="45">
        <v>15</v>
      </c>
      <c r="Q81" s="46">
        <v>15</v>
      </c>
      <c r="R81" s="46"/>
      <c r="S81" s="121"/>
      <c r="T81" s="70"/>
      <c r="U81" s="71">
        <f t="shared" si="12"/>
        <v>15</v>
      </c>
      <c r="V81" s="72">
        <f t="shared" si="13"/>
        <v>15</v>
      </c>
      <c r="W81" s="99"/>
      <c r="X81" s="100"/>
      <c r="Y81" s="85"/>
      <c r="Z81" s="95"/>
      <c r="AA81" s="74"/>
      <c r="AB81" s="75">
        <f t="shared" si="14"/>
        <v>0</v>
      </c>
      <c r="AC81" s="72">
        <f t="shared" si="15"/>
        <v>0</v>
      </c>
      <c r="AD81" s="52">
        <v>2</v>
      </c>
      <c r="AE81" s="71">
        <f t="shared" si="16"/>
        <v>2</v>
      </c>
      <c r="AF81" s="76"/>
      <c r="AG81" s="86"/>
      <c r="AH81" s="77">
        <f t="shared" si="17"/>
        <v>17</v>
      </c>
      <c r="AI81" s="56">
        <v>10</v>
      </c>
      <c r="AJ81" s="56">
        <v>10</v>
      </c>
      <c r="AK81" s="56">
        <v>45</v>
      </c>
      <c r="AL81" s="57">
        <f t="shared" si="18"/>
        <v>82</v>
      </c>
      <c r="AM81" s="55">
        <f t="shared" si="19"/>
        <v>82</v>
      </c>
      <c r="AN81" s="78">
        <f t="shared" si="20"/>
        <v>1.02</v>
      </c>
      <c r="AO81" s="79"/>
      <c r="AP81" s="80">
        <f t="shared" ref="AP81:AQ100" si="26">100%+AO81</f>
        <v>1</v>
      </c>
      <c r="AQ81" s="80">
        <f t="shared" si="26"/>
        <v>2</v>
      </c>
      <c r="AR81" s="61"/>
      <c r="AS81" s="62"/>
      <c r="AT81" s="81"/>
      <c r="AU81" s="81"/>
      <c r="AV81" s="81"/>
      <c r="AW81" s="81"/>
      <c r="AX81" s="82"/>
      <c r="AY81" s="83">
        <f t="shared" si="21"/>
        <v>0</v>
      </c>
      <c r="AZ81" s="83">
        <f t="shared" si="7"/>
        <v>0</v>
      </c>
    </row>
    <row r="82" spans="1:52" s="66" customFormat="1" ht="39.75" customHeight="1" thickBot="1" x14ac:dyDescent="0.2">
      <c r="A82" s="108"/>
      <c r="B82" s="108"/>
      <c r="C82" s="108"/>
      <c r="D82" s="108"/>
      <c r="E82" s="108"/>
      <c r="F82" s="105"/>
      <c r="G82" s="170"/>
      <c r="H82" s="158"/>
      <c r="I82" s="92">
        <v>0.7</v>
      </c>
      <c r="J82" s="41">
        <v>0.3</v>
      </c>
      <c r="K82" s="41"/>
      <c r="L82" s="42"/>
      <c r="M82" s="68"/>
      <c r="N82" s="94">
        <f t="shared" si="24"/>
        <v>1</v>
      </c>
      <c r="O82" s="44">
        <v>1</v>
      </c>
      <c r="P82" s="45">
        <v>15</v>
      </c>
      <c r="Q82" s="46">
        <v>15</v>
      </c>
      <c r="R82" s="46"/>
      <c r="S82" s="121"/>
      <c r="T82" s="70"/>
      <c r="U82" s="71">
        <f t="shared" si="12"/>
        <v>15</v>
      </c>
      <c r="V82" s="72">
        <f t="shared" si="13"/>
        <v>15</v>
      </c>
      <c r="W82" s="99"/>
      <c r="X82" s="100"/>
      <c r="Y82" s="85"/>
      <c r="Z82" s="95"/>
      <c r="AA82" s="74"/>
      <c r="AB82" s="75">
        <f t="shared" si="14"/>
        <v>0</v>
      </c>
      <c r="AC82" s="72">
        <f t="shared" si="15"/>
        <v>0</v>
      </c>
      <c r="AD82" s="52">
        <v>2</v>
      </c>
      <c r="AE82" s="71">
        <f t="shared" si="16"/>
        <v>2</v>
      </c>
      <c r="AF82" s="76"/>
      <c r="AG82" s="86"/>
      <c r="AH82" s="77">
        <f t="shared" si="17"/>
        <v>17</v>
      </c>
      <c r="AI82" s="56">
        <v>10</v>
      </c>
      <c r="AJ82" s="56">
        <v>10</v>
      </c>
      <c r="AK82" s="56">
        <v>45</v>
      </c>
      <c r="AL82" s="57">
        <f t="shared" si="18"/>
        <v>82</v>
      </c>
      <c r="AM82" s="55">
        <f t="shared" si="19"/>
        <v>82</v>
      </c>
      <c r="AN82" s="78">
        <f t="shared" si="20"/>
        <v>1.02</v>
      </c>
      <c r="AO82" s="79"/>
      <c r="AP82" s="80">
        <f t="shared" si="26"/>
        <v>1</v>
      </c>
      <c r="AQ82" s="80">
        <f t="shared" si="26"/>
        <v>2</v>
      </c>
      <c r="AR82" s="61"/>
      <c r="AS82" s="62"/>
      <c r="AT82" s="81"/>
      <c r="AU82" s="81"/>
      <c r="AV82" s="81"/>
      <c r="AW82" s="81"/>
      <c r="AX82" s="82"/>
      <c r="AY82" s="83">
        <f t="shared" si="21"/>
        <v>0</v>
      </c>
      <c r="AZ82" s="83">
        <f t="shared" si="7"/>
        <v>0</v>
      </c>
    </row>
    <row r="83" spans="1:52" s="66" customFormat="1" ht="39.75" customHeight="1" thickBot="1" x14ac:dyDescent="0.2">
      <c r="A83" s="106"/>
      <c r="B83" s="106"/>
      <c r="C83" s="106"/>
      <c r="D83" s="106"/>
      <c r="E83" s="106"/>
      <c r="F83" s="105"/>
      <c r="G83" s="170"/>
      <c r="H83" s="158"/>
      <c r="I83" s="92">
        <v>0.7</v>
      </c>
      <c r="J83" s="41">
        <v>0.3</v>
      </c>
      <c r="K83" s="41"/>
      <c r="L83" s="42"/>
      <c r="M83" s="68"/>
      <c r="N83" s="94">
        <f t="shared" si="24"/>
        <v>1</v>
      </c>
      <c r="O83" s="44">
        <v>1</v>
      </c>
      <c r="P83" s="45">
        <v>15</v>
      </c>
      <c r="Q83" s="46">
        <v>15</v>
      </c>
      <c r="R83" s="46"/>
      <c r="S83" s="121"/>
      <c r="T83" s="70"/>
      <c r="U83" s="71">
        <f t="shared" si="12"/>
        <v>15</v>
      </c>
      <c r="V83" s="72">
        <f t="shared" si="13"/>
        <v>15</v>
      </c>
      <c r="W83" s="99"/>
      <c r="X83" s="100"/>
      <c r="Y83" s="85"/>
      <c r="Z83" s="95"/>
      <c r="AA83" s="74"/>
      <c r="AB83" s="75">
        <f t="shared" si="14"/>
        <v>0</v>
      </c>
      <c r="AC83" s="72">
        <f t="shared" si="15"/>
        <v>0</v>
      </c>
      <c r="AD83" s="52">
        <v>2</v>
      </c>
      <c r="AE83" s="71">
        <f t="shared" si="16"/>
        <v>2</v>
      </c>
      <c r="AF83" s="76"/>
      <c r="AG83" s="86"/>
      <c r="AH83" s="77">
        <f t="shared" si="17"/>
        <v>17</v>
      </c>
      <c r="AI83" s="56">
        <v>10</v>
      </c>
      <c r="AJ83" s="56">
        <v>10</v>
      </c>
      <c r="AK83" s="56">
        <v>45</v>
      </c>
      <c r="AL83" s="57">
        <f t="shared" si="18"/>
        <v>82</v>
      </c>
      <c r="AM83" s="55">
        <f t="shared" si="19"/>
        <v>82</v>
      </c>
      <c r="AN83" s="78">
        <f t="shared" si="20"/>
        <v>1.02</v>
      </c>
      <c r="AO83" s="79"/>
      <c r="AP83" s="80">
        <f t="shared" si="26"/>
        <v>1</v>
      </c>
      <c r="AQ83" s="80">
        <f t="shared" si="26"/>
        <v>2</v>
      </c>
      <c r="AR83" s="61"/>
      <c r="AS83" s="62"/>
      <c r="AT83" s="81"/>
      <c r="AU83" s="81"/>
      <c r="AV83" s="81"/>
      <c r="AW83" s="81"/>
      <c r="AX83" s="82"/>
      <c r="AY83" s="83">
        <f t="shared" si="21"/>
        <v>0</v>
      </c>
      <c r="AZ83" s="83">
        <f t="shared" si="7"/>
        <v>0</v>
      </c>
    </row>
    <row r="84" spans="1:52" s="66" customFormat="1" ht="39.75" customHeight="1" thickBot="1" x14ac:dyDescent="0.2">
      <c r="A84" s="106"/>
      <c r="B84" s="106"/>
      <c r="C84" s="106"/>
      <c r="D84" s="106"/>
      <c r="E84" s="106"/>
      <c r="F84" s="105"/>
      <c r="G84" s="170"/>
      <c r="H84" s="158"/>
      <c r="I84" s="92">
        <v>0.7</v>
      </c>
      <c r="J84" s="41">
        <v>0.3</v>
      </c>
      <c r="K84" s="41"/>
      <c r="L84" s="42"/>
      <c r="M84" s="68"/>
      <c r="N84" s="94">
        <f t="shared" si="24"/>
        <v>1</v>
      </c>
      <c r="O84" s="44">
        <v>1</v>
      </c>
      <c r="P84" s="45">
        <v>15</v>
      </c>
      <c r="Q84" s="46">
        <v>15</v>
      </c>
      <c r="R84" s="46"/>
      <c r="S84" s="121"/>
      <c r="T84" s="70"/>
      <c r="U84" s="71">
        <f t="shared" si="12"/>
        <v>15</v>
      </c>
      <c r="V84" s="72">
        <f t="shared" si="13"/>
        <v>15</v>
      </c>
      <c r="W84" s="99"/>
      <c r="X84" s="100"/>
      <c r="Y84" s="85"/>
      <c r="Z84" s="95"/>
      <c r="AA84" s="74"/>
      <c r="AB84" s="75">
        <f t="shared" si="14"/>
        <v>0</v>
      </c>
      <c r="AC84" s="72">
        <f t="shared" si="15"/>
        <v>0</v>
      </c>
      <c r="AD84" s="52">
        <v>2</v>
      </c>
      <c r="AE84" s="71">
        <f t="shared" si="16"/>
        <v>2</v>
      </c>
      <c r="AF84" s="76"/>
      <c r="AG84" s="86"/>
      <c r="AH84" s="77">
        <f t="shared" si="17"/>
        <v>17</v>
      </c>
      <c r="AI84" s="56">
        <v>10</v>
      </c>
      <c r="AJ84" s="56">
        <v>10</v>
      </c>
      <c r="AK84" s="56">
        <v>45</v>
      </c>
      <c r="AL84" s="57">
        <f t="shared" si="18"/>
        <v>82</v>
      </c>
      <c r="AM84" s="55">
        <f t="shared" si="19"/>
        <v>82</v>
      </c>
      <c r="AN84" s="78">
        <f t="shared" si="20"/>
        <v>1.02</v>
      </c>
      <c r="AO84" s="79"/>
      <c r="AP84" s="80">
        <f t="shared" si="26"/>
        <v>1</v>
      </c>
      <c r="AQ84" s="80">
        <f t="shared" si="26"/>
        <v>2</v>
      </c>
      <c r="AR84" s="61"/>
      <c r="AS84" s="62"/>
      <c r="AT84" s="81"/>
      <c r="AU84" s="81"/>
      <c r="AV84" s="81"/>
      <c r="AW84" s="81"/>
      <c r="AX84" s="82"/>
      <c r="AY84" s="83">
        <f t="shared" si="21"/>
        <v>0</v>
      </c>
      <c r="AZ84" s="83">
        <f t="shared" si="7"/>
        <v>0</v>
      </c>
    </row>
    <row r="85" spans="1:52" s="66" customFormat="1" ht="39.75" customHeight="1" thickBot="1" x14ac:dyDescent="0.2">
      <c r="A85" s="101"/>
      <c r="B85" s="101"/>
      <c r="C85" s="108"/>
      <c r="D85" s="108"/>
      <c r="E85" s="108"/>
      <c r="F85" s="105"/>
      <c r="G85" s="170"/>
      <c r="H85" s="158"/>
      <c r="I85" s="92">
        <v>0.7</v>
      </c>
      <c r="J85" s="41">
        <v>0.3</v>
      </c>
      <c r="K85" s="41"/>
      <c r="L85" s="42"/>
      <c r="M85" s="68"/>
      <c r="N85" s="94">
        <f t="shared" si="24"/>
        <v>1</v>
      </c>
      <c r="O85" s="44">
        <v>1</v>
      </c>
      <c r="P85" s="45">
        <v>15</v>
      </c>
      <c r="Q85" s="46">
        <v>15</v>
      </c>
      <c r="R85" s="46"/>
      <c r="S85" s="121"/>
      <c r="T85" s="70"/>
      <c r="U85" s="71">
        <f t="shared" si="12"/>
        <v>15</v>
      </c>
      <c r="V85" s="72">
        <f t="shared" si="13"/>
        <v>15</v>
      </c>
      <c r="W85" s="99"/>
      <c r="X85" s="100"/>
      <c r="Y85" s="85"/>
      <c r="Z85" s="95"/>
      <c r="AA85" s="74"/>
      <c r="AB85" s="75">
        <f t="shared" si="14"/>
        <v>0</v>
      </c>
      <c r="AC85" s="72">
        <f t="shared" si="15"/>
        <v>0</v>
      </c>
      <c r="AD85" s="52">
        <v>2</v>
      </c>
      <c r="AE85" s="71">
        <f t="shared" si="16"/>
        <v>2</v>
      </c>
      <c r="AF85" s="76"/>
      <c r="AG85" s="86"/>
      <c r="AH85" s="77">
        <f t="shared" si="17"/>
        <v>17</v>
      </c>
      <c r="AI85" s="56">
        <v>10</v>
      </c>
      <c r="AJ85" s="56">
        <v>10</v>
      </c>
      <c r="AK85" s="56">
        <v>45</v>
      </c>
      <c r="AL85" s="57">
        <f t="shared" si="18"/>
        <v>82</v>
      </c>
      <c r="AM85" s="55">
        <f t="shared" si="19"/>
        <v>82</v>
      </c>
      <c r="AN85" s="78">
        <f t="shared" si="20"/>
        <v>1.02</v>
      </c>
      <c r="AO85" s="79"/>
      <c r="AP85" s="80">
        <f t="shared" si="26"/>
        <v>1</v>
      </c>
      <c r="AQ85" s="80">
        <f t="shared" si="26"/>
        <v>2</v>
      </c>
      <c r="AR85" s="61"/>
      <c r="AS85" s="62"/>
      <c r="AT85" s="81"/>
      <c r="AU85" s="81"/>
      <c r="AV85" s="81"/>
      <c r="AW85" s="81"/>
      <c r="AX85" s="82"/>
      <c r="AY85" s="83">
        <f t="shared" si="21"/>
        <v>0</v>
      </c>
      <c r="AZ85" s="83">
        <f t="shared" si="7"/>
        <v>0</v>
      </c>
    </row>
    <row r="86" spans="1:52" s="66" customFormat="1" ht="39.75" customHeight="1" thickBot="1" x14ac:dyDescent="0.2">
      <c r="A86" s="101"/>
      <c r="B86" s="101"/>
      <c r="C86" s="108"/>
      <c r="D86" s="108"/>
      <c r="E86" s="108"/>
      <c r="F86" s="110"/>
      <c r="G86" s="169"/>
      <c r="H86" s="158"/>
      <c r="I86" s="92">
        <v>0.7</v>
      </c>
      <c r="J86" s="41">
        <v>0.3</v>
      </c>
      <c r="K86" s="41"/>
      <c r="L86" s="42"/>
      <c r="M86" s="68"/>
      <c r="N86" s="94">
        <f t="shared" si="24"/>
        <v>1</v>
      </c>
      <c r="O86" s="44">
        <v>1</v>
      </c>
      <c r="P86" s="45">
        <v>15</v>
      </c>
      <c r="Q86" s="46">
        <v>15</v>
      </c>
      <c r="R86" s="46"/>
      <c r="S86" s="121"/>
      <c r="T86" s="70"/>
      <c r="U86" s="71">
        <f t="shared" si="12"/>
        <v>15</v>
      </c>
      <c r="V86" s="72">
        <f t="shared" si="13"/>
        <v>15</v>
      </c>
      <c r="W86" s="99"/>
      <c r="X86" s="100"/>
      <c r="Y86" s="85"/>
      <c r="Z86" s="95"/>
      <c r="AA86" s="74"/>
      <c r="AB86" s="75">
        <f t="shared" si="14"/>
        <v>0</v>
      </c>
      <c r="AC86" s="72">
        <f t="shared" si="15"/>
        <v>0</v>
      </c>
      <c r="AD86" s="52">
        <v>2</v>
      </c>
      <c r="AE86" s="71">
        <f t="shared" si="16"/>
        <v>2</v>
      </c>
      <c r="AF86" s="76"/>
      <c r="AG86" s="86"/>
      <c r="AH86" s="77">
        <f t="shared" si="17"/>
        <v>17</v>
      </c>
      <c r="AI86" s="56">
        <v>10</v>
      </c>
      <c r="AJ86" s="56">
        <v>10</v>
      </c>
      <c r="AK86" s="56">
        <v>45</v>
      </c>
      <c r="AL86" s="57">
        <f t="shared" si="18"/>
        <v>82</v>
      </c>
      <c r="AM86" s="55">
        <f t="shared" si="19"/>
        <v>82</v>
      </c>
      <c r="AN86" s="78">
        <f t="shared" si="20"/>
        <v>1.02</v>
      </c>
      <c r="AO86" s="79"/>
      <c r="AP86" s="80">
        <f t="shared" si="26"/>
        <v>1</v>
      </c>
      <c r="AQ86" s="80">
        <f t="shared" si="26"/>
        <v>2</v>
      </c>
      <c r="AR86" s="61"/>
      <c r="AS86" s="62"/>
      <c r="AT86" s="81"/>
      <c r="AU86" s="81"/>
      <c r="AV86" s="81"/>
      <c r="AW86" s="81"/>
      <c r="AX86" s="82"/>
      <c r="AY86" s="83">
        <f t="shared" si="21"/>
        <v>0</v>
      </c>
      <c r="AZ86" s="83">
        <f t="shared" si="7"/>
        <v>0</v>
      </c>
    </row>
    <row r="87" spans="1:52" s="66" customFormat="1" ht="39.75" customHeight="1" thickBot="1" x14ac:dyDescent="0.2">
      <c r="A87" s="101"/>
      <c r="B87" s="101"/>
      <c r="C87" s="101"/>
      <c r="D87" s="101"/>
      <c r="E87" s="101"/>
      <c r="F87" s="40"/>
      <c r="G87" s="90"/>
      <c r="H87" s="158"/>
      <c r="I87" s="92">
        <v>0.7</v>
      </c>
      <c r="J87" s="41">
        <v>0.3</v>
      </c>
      <c r="K87" s="41"/>
      <c r="L87" s="42"/>
      <c r="M87" s="68"/>
      <c r="N87" s="94">
        <f t="shared" si="24"/>
        <v>1</v>
      </c>
      <c r="O87" s="44">
        <v>1</v>
      </c>
      <c r="P87" s="45">
        <v>15</v>
      </c>
      <c r="Q87" s="46">
        <v>15</v>
      </c>
      <c r="R87" s="46"/>
      <c r="S87" s="121"/>
      <c r="T87" s="70"/>
      <c r="U87" s="71">
        <f t="shared" si="12"/>
        <v>15</v>
      </c>
      <c r="V87" s="72">
        <f t="shared" si="13"/>
        <v>15</v>
      </c>
      <c r="W87" s="99"/>
      <c r="X87" s="100"/>
      <c r="Y87" s="85"/>
      <c r="Z87" s="95"/>
      <c r="AA87" s="74"/>
      <c r="AB87" s="75">
        <f t="shared" si="14"/>
        <v>0</v>
      </c>
      <c r="AC87" s="72">
        <f t="shared" si="15"/>
        <v>0</v>
      </c>
      <c r="AD87" s="52">
        <v>2</v>
      </c>
      <c r="AE87" s="71">
        <f t="shared" si="16"/>
        <v>2</v>
      </c>
      <c r="AF87" s="76"/>
      <c r="AG87" s="86"/>
      <c r="AH87" s="77">
        <f t="shared" si="17"/>
        <v>17</v>
      </c>
      <c r="AI87" s="56">
        <v>10</v>
      </c>
      <c r="AJ87" s="56">
        <v>10</v>
      </c>
      <c r="AK87" s="56">
        <v>45</v>
      </c>
      <c r="AL87" s="57">
        <f t="shared" si="18"/>
        <v>82</v>
      </c>
      <c r="AM87" s="55">
        <f t="shared" si="19"/>
        <v>82</v>
      </c>
      <c r="AN87" s="78">
        <f t="shared" si="20"/>
        <v>1.02</v>
      </c>
      <c r="AO87" s="79"/>
      <c r="AP87" s="80">
        <f t="shared" si="26"/>
        <v>1</v>
      </c>
      <c r="AQ87" s="80">
        <f t="shared" si="26"/>
        <v>2</v>
      </c>
      <c r="AR87" s="61"/>
      <c r="AS87" s="62"/>
      <c r="AT87" s="81"/>
      <c r="AU87" s="81"/>
      <c r="AV87" s="81"/>
      <c r="AW87" s="81"/>
      <c r="AX87" s="82"/>
      <c r="AY87" s="83">
        <f t="shared" si="21"/>
        <v>0</v>
      </c>
      <c r="AZ87" s="83">
        <f t="shared" si="7"/>
        <v>0</v>
      </c>
    </row>
    <row r="88" spans="1:52" s="66" customFormat="1" ht="39.75" customHeight="1" thickBot="1" x14ac:dyDescent="0.2">
      <c r="A88" s="101"/>
      <c r="B88" s="101"/>
      <c r="C88" s="101"/>
      <c r="D88" s="101"/>
      <c r="E88" s="101"/>
      <c r="F88" s="40"/>
      <c r="G88" s="90"/>
      <c r="H88" s="158"/>
      <c r="I88" s="92">
        <v>0.7</v>
      </c>
      <c r="J88" s="41">
        <v>0.3</v>
      </c>
      <c r="K88" s="41"/>
      <c r="L88" s="42"/>
      <c r="M88" s="68"/>
      <c r="N88" s="94">
        <f t="shared" si="24"/>
        <v>1</v>
      </c>
      <c r="O88" s="44">
        <v>1</v>
      </c>
      <c r="P88" s="45">
        <v>15</v>
      </c>
      <c r="Q88" s="46">
        <v>15</v>
      </c>
      <c r="R88" s="46"/>
      <c r="S88" s="121"/>
      <c r="T88" s="70"/>
      <c r="U88" s="71">
        <f t="shared" si="12"/>
        <v>15</v>
      </c>
      <c r="V88" s="72">
        <f t="shared" si="13"/>
        <v>15</v>
      </c>
      <c r="W88" s="99"/>
      <c r="X88" s="100"/>
      <c r="Y88" s="85"/>
      <c r="Z88" s="95"/>
      <c r="AA88" s="74"/>
      <c r="AB88" s="75">
        <f t="shared" si="14"/>
        <v>0</v>
      </c>
      <c r="AC88" s="72">
        <f t="shared" si="15"/>
        <v>0</v>
      </c>
      <c r="AD88" s="52">
        <v>2</v>
      </c>
      <c r="AE88" s="71">
        <f t="shared" si="16"/>
        <v>2</v>
      </c>
      <c r="AF88" s="76"/>
      <c r="AG88" s="86"/>
      <c r="AH88" s="77">
        <f t="shared" si="17"/>
        <v>17</v>
      </c>
      <c r="AI88" s="56">
        <v>10</v>
      </c>
      <c r="AJ88" s="56">
        <v>10</v>
      </c>
      <c r="AK88" s="56">
        <v>45</v>
      </c>
      <c r="AL88" s="57">
        <f t="shared" si="18"/>
        <v>82</v>
      </c>
      <c r="AM88" s="55">
        <f t="shared" si="19"/>
        <v>82</v>
      </c>
      <c r="AN88" s="78">
        <f t="shared" si="20"/>
        <v>1.02</v>
      </c>
      <c r="AO88" s="79"/>
      <c r="AP88" s="80">
        <f t="shared" si="26"/>
        <v>1</v>
      </c>
      <c r="AQ88" s="80">
        <f t="shared" si="26"/>
        <v>2</v>
      </c>
      <c r="AR88" s="61"/>
      <c r="AS88" s="62"/>
      <c r="AT88" s="81"/>
      <c r="AU88" s="81"/>
      <c r="AV88" s="81"/>
      <c r="AW88" s="81"/>
      <c r="AX88" s="82"/>
      <c r="AY88" s="83">
        <f t="shared" si="21"/>
        <v>0</v>
      </c>
      <c r="AZ88" s="83">
        <f t="shared" si="7"/>
        <v>0</v>
      </c>
    </row>
    <row r="89" spans="1:52" s="66" customFormat="1" ht="39.75" customHeight="1" thickBot="1" x14ac:dyDescent="0.2">
      <c r="A89" s="101"/>
      <c r="B89" s="101"/>
      <c r="C89" s="101"/>
      <c r="D89" s="101"/>
      <c r="E89" s="101"/>
      <c r="F89" s="40"/>
      <c r="G89" s="90"/>
      <c r="H89" s="158"/>
      <c r="I89" s="92">
        <v>0.7</v>
      </c>
      <c r="J89" s="41">
        <v>0.3</v>
      </c>
      <c r="K89" s="41"/>
      <c r="L89" s="42"/>
      <c r="M89" s="68"/>
      <c r="N89" s="94">
        <f t="shared" si="24"/>
        <v>1</v>
      </c>
      <c r="O89" s="44">
        <v>1</v>
      </c>
      <c r="P89" s="45">
        <v>15</v>
      </c>
      <c r="Q89" s="46">
        <v>15</v>
      </c>
      <c r="R89" s="46"/>
      <c r="S89" s="121"/>
      <c r="T89" s="70"/>
      <c r="U89" s="71">
        <f t="shared" si="12"/>
        <v>15</v>
      </c>
      <c r="V89" s="72">
        <f t="shared" si="13"/>
        <v>15</v>
      </c>
      <c r="W89" s="99"/>
      <c r="X89" s="100"/>
      <c r="Y89" s="85"/>
      <c r="Z89" s="95"/>
      <c r="AA89" s="74"/>
      <c r="AB89" s="75">
        <f t="shared" si="14"/>
        <v>0</v>
      </c>
      <c r="AC89" s="72">
        <f t="shared" si="15"/>
        <v>0</v>
      </c>
      <c r="AD89" s="52">
        <v>2</v>
      </c>
      <c r="AE89" s="71">
        <f t="shared" si="16"/>
        <v>2</v>
      </c>
      <c r="AF89" s="76"/>
      <c r="AG89" s="86"/>
      <c r="AH89" s="77">
        <f t="shared" si="17"/>
        <v>17</v>
      </c>
      <c r="AI89" s="56">
        <v>10</v>
      </c>
      <c r="AJ89" s="56">
        <v>10</v>
      </c>
      <c r="AK89" s="56">
        <v>45</v>
      </c>
      <c r="AL89" s="57">
        <f t="shared" si="18"/>
        <v>82</v>
      </c>
      <c r="AM89" s="55">
        <f t="shared" si="19"/>
        <v>82</v>
      </c>
      <c r="AN89" s="78">
        <f t="shared" si="20"/>
        <v>1.02</v>
      </c>
      <c r="AO89" s="79"/>
      <c r="AP89" s="80">
        <f t="shared" si="26"/>
        <v>1</v>
      </c>
      <c r="AQ89" s="80">
        <f t="shared" si="26"/>
        <v>2</v>
      </c>
      <c r="AR89" s="61"/>
      <c r="AS89" s="62"/>
      <c r="AT89" s="81"/>
      <c r="AU89" s="81"/>
      <c r="AV89" s="81"/>
      <c r="AW89" s="81"/>
      <c r="AX89" s="82"/>
      <c r="AY89" s="83">
        <f t="shared" si="21"/>
        <v>0</v>
      </c>
      <c r="AZ89" s="83">
        <f t="shared" ref="AZ89:AZ148" si="27">(AT89*I89)+(AU89*J89)+(AV89*K89)+(AW89*L89)+(AX89*M89)</f>
        <v>0</v>
      </c>
    </row>
    <row r="90" spans="1:52" s="66" customFormat="1" ht="39.75" customHeight="1" thickBot="1" x14ac:dyDescent="0.2">
      <c r="A90" s="101"/>
      <c r="B90" s="101"/>
      <c r="C90" s="101"/>
      <c r="D90" s="101"/>
      <c r="E90" s="101"/>
      <c r="F90" s="40"/>
      <c r="G90" s="90"/>
      <c r="H90" s="158"/>
      <c r="I90" s="92">
        <v>0.7</v>
      </c>
      <c r="J90" s="41">
        <v>0.3</v>
      </c>
      <c r="K90" s="41"/>
      <c r="L90" s="42"/>
      <c r="M90" s="68"/>
      <c r="N90" s="94">
        <f t="shared" si="24"/>
        <v>1</v>
      </c>
      <c r="O90" s="44">
        <v>1</v>
      </c>
      <c r="P90" s="45">
        <v>15</v>
      </c>
      <c r="Q90" s="46">
        <v>15</v>
      </c>
      <c r="R90" s="46"/>
      <c r="S90" s="121"/>
      <c r="T90" s="70"/>
      <c r="U90" s="71">
        <f t="shared" si="12"/>
        <v>15</v>
      </c>
      <c r="V90" s="72">
        <f t="shared" si="13"/>
        <v>15</v>
      </c>
      <c r="W90" s="99"/>
      <c r="X90" s="100"/>
      <c r="Y90" s="85"/>
      <c r="Z90" s="95"/>
      <c r="AA90" s="74"/>
      <c r="AB90" s="75">
        <f t="shared" si="14"/>
        <v>0</v>
      </c>
      <c r="AC90" s="72">
        <f t="shared" si="15"/>
        <v>0</v>
      </c>
      <c r="AD90" s="52">
        <v>2</v>
      </c>
      <c r="AE90" s="71">
        <f t="shared" si="16"/>
        <v>2</v>
      </c>
      <c r="AF90" s="76"/>
      <c r="AG90" s="86"/>
      <c r="AH90" s="77">
        <f t="shared" si="17"/>
        <v>17</v>
      </c>
      <c r="AI90" s="56">
        <v>10</v>
      </c>
      <c r="AJ90" s="56">
        <v>10</v>
      </c>
      <c r="AK90" s="56">
        <v>45</v>
      </c>
      <c r="AL90" s="57">
        <f t="shared" si="18"/>
        <v>82</v>
      </c>
      <c r="AM90" s="55">
        <f t="shared" si="19"/>
        <v>82</v>
      </c>
      <c r="AN90" s="78">
        <f t="shared" si="20"/>
        <v>1.02</v>
      </c>
      <c r="AO90" s="79"/>
      <c r="AP90" s="80">
        <f t="shared" si="26"/>
        <v>1</v>
      </c>
      <c r="AQ90" s="80">
        <f t="shared" si="26"/>
        <v>2</v>
      </c>
      <c r="AR90" s="61"/>
      <c r="AS90" s="62"/>
      <c r="AT90" s="81"/>
      <c r="AU90" s="81"/>
      <c r="AV90" s="81"/>
      <c r="AW90" s="81"/>
      <c r="AX90" s="82"/>
      <c r="AY90" s="83">
        <f t="shared" si="21"/>
        <v>0</v>
      </c>
      <c r="AZ90" s="83">
        <f t="shared" si="27"/>
        <v>0</v>
      </c>
    </row>
    <row r="91" spans="1:52" s="66" customFormat="1" ht="39.75" customHeight="1" thickBot="1" x14ac:dyDescent="0.2">
      <c r="A91" s="101"/>
      <c r="B91" s="101"/>
      <c r="C91" s="101"/>
      <c r="D91" s="101"/>
      <c r="E91" s="101"/>
      <c r="F91" s="40"/>
      <c r="G91" s="90"/>
      <c r="H91" s="158"/>
      <c r="I91" s="92">
        <v>0.51</v>
      </c>
      <c r="J91" s="41">
        <v>0.49</v>
      </c>
      <c r="K91" s="41"/>
      <c r="L91" s="42"/>
      <c r="M91" s="68"/>
      <c r="N91" s="94">
        <f t="shared" si="24"/>
        <v>1</v>
      </c>
      <c r="O91" s="44">
        <v>1</v>
      </c>
      <c r="P91" s="45">
        <v>15</v>
      </c>
      <c r="Q91" s="46">
        <v>15</v>
      </c>
      <c r="R91" s="46"/>
      <c r="S91" s="121"/>
      <c r="T91" s="70"/>
      <c r="U91" s="71">
        <f t="shared" si="12"/>
        <v>15</v>
      </c>
      <c r="V91" s="72">
        <f t="shared" si="13"/>
        <v>15</v>
      </c>
      <c r="W91" s="99"/>
      <c r="X91" s="100"/>
      <c r="Y91" s="85"/>
      <c r="Z91" s="95"/>
      <c r="AA91" s="74"/>
      <c r="AB91" s="75">
        <f t="shared" si="14"/>
        <v>0</v>
      </c>
      <c r="AC91" s="72">
        <f t="shared" si="15"/>
        <v>0</v>
      </c>
      <c r="AD91" s="52">
        <v>2</v>
      </c>
      <c r="AE91" s="71">
        <f t="shared" si="16"/>
        <v>2</v>
      </c>
      <c r="AF91" s="76"/>
      <c r="AG91" s="86"/>
      <c r="AH91" s="77">
        <f t="shared" si="17"/>
        <v>17</v>
      </c>
      <c r="AI91" s="56">
        <v>10</v>
      </c>
      <c r="AJ91" s="56">
        <v>10</v>
      </c>
      <c r="AK91" s="56">
        <v>45</v>
      </c>
      <c r="AL91" s="57">
        <f t="shared" si="18"/>
        <v>82</v>
      </c>
      <c r="AM91" s="55">
        <f t="shared" si="19"/>
        <v>82</v>
      </c>
      <c r="AN91" s="78">
        <f t="shared" si="20"/>
        <v>1.02</v>
      </c>
      <c r="AO91" s="79"/>
      <c r="AP91" s="80">
        <f t="shared" si="26"/>
        <v>1</v>
      </c>
      <c r="AQ91" s="80">
        <f t="shared" si="26"/>
        <v>2</v>
      </c>
      <c r="AR91" s="61"/>
      <c r="AS91" s="62"/>
      <c r="AT91" s="81"/>
      <c r="AU91" s="81"/>
      <c r="AV91" s="81"/>
      <c r="AW91" s="81"/>
      <c r="AX91" s="82"/>
      <c r="AY91" s="83">
        <f t="shared" si="21"/>
        <v>0</v>
      </c>
      <c r="AZ91" s="83">
        <f t="shared" si="27"/>
        <v>0</v>
      </c>
    </row>
    <row r="92" spans="1:52" s="66" customFormat="1" ht="39.75" customHeight="1" thickBot="1" x14ac:dyDescent="0.2">
      <c r="A92" s="101"/>
      <c r="B92" s="101"/>
      <c r="C92" s="101"/>
      <c r="D92" s="101"/>
      <c r="E92" s="101"/>
      <c r="F92" s="40"/>
      <c r="G92" s="90"/>
      <c r="H92" s="158"/>
      <c r="I92" s="92">
        <v>0.51</v>
      </c>
      <c r="J92" s="41">
        <v>0.49</v>
      </c>
      <c r="K92" s="41"/>
      <c r="L92" s="42"/>
      <c r="M92" s="68"/>
      <c r="N92" s="94">
        <f t="shared" si="24"/>
        <v>1</v>
      </c>
      <c r="O92" s="44">
        <v>1</v>
      </c>
      <c r="P92" s="45">
        <v>15</v>
      </c>
      <c r="Q92" s="46">
        <v>15</v>
      </c>
      <c r="R92" s="46"/>
      <c r="S92" s="121"/>
      <c r="T92" s="70"/>
      <c r="U92" s="71">
        <f t="shared" si="12"/>
        <v>15</v>
      </c>
      <c r="V92" s="72">
        <f t="shared" si="13"/>
        <v>15</v>
      </c>
      <c r="W92" s="99"/>
      <c r="X92" s="100"/>
      <c r="Y92" s="85"/>
      <c r="Z92" s="95"/>
      <c r="AA92" s="74"/>
      <c r="AB92" s="75">
        <f t="shared" si="14"/>
        <v>0</v>
      </c>
      <c r="AC92" s="72">
        <f t="shared" si="15"/>
        <v>0</v>
      </c>
      <c r="AD92" s="52">
        <v>2</v>
      </c>
      <c r="AE92" s="71">
        <f t="shared" si="16"/>
        <v>2</v>
      </c>
      <c r="AF92" s="76"/>
      <c r="AG92" s="86"/>
      <c r="AH92" s="77">
        <f t="shared" si="17"/>
        <v>17</v>
      </c>
      <c r="AI92" s="56">
        <v>10</v>
      </c>
      <c r="AJ92" s="56">
        <v>10</v>
      </c>
      <c r="AK92" s="56">
        <v>45</v>
      </c>
      <c r="AL92" s="57">
        <f t="shared" si="18"/>
        <v>82</v>
      </c>
      <c r="AM92" s="55">
        <f t="shared" si="19"/>
        <v>82</v>
      </c>
      <c r="AN92" s="78">
        <f t="shared" si="20"/>
        <v>1.02</v>
      </c>
      <c r="AO92" s="79"/>
      <c r="AP92" s="80">
        <f t="shared" si="26"/>
        <v>1</v>
      </c>
      <c r="AQ92" s="80">
        <f t="shared" si="26"/>
        <v>2</v>
      </c>
      <c r="AR92" s="61"/>
      <c r="AS92" s="62"/>
      <c r="AT92" s="81"/>
      <c r="AU92" s="81"/>
      <c r="AV92" s="81"/>
      <c r="AW92" s="81"/>
      <c r="AX92" s="82"/>
      <c r="AY92" s="83">
        <f t="shared" si="21"/>
        <v>0</v>
      </c>
      <c r="AZ92" s="83">
        <f t="shared" si="27"/>
        <v>0</v>
      </c>
    </row>
    <row r="93" spans="1:52" s="66" customFormat="1" ht="39.75" customHeight="1" thickBot="1" x14ac:dyDescent="0.2">
      <c r="A93" s="101"/>
      <c r="B93" s="101"/>
      <c r="C93" s="101"/>
      <c r="D93" s="101"/>
      <c r="E93" s="101"/>
      <c r="F93" s="40"/>
      <c r="G93" s="90"/>
      <c r="H93" s="158"/>
      <c r="I93" s="92">
        <v>0.51</v>
      </c>
      <c r="J93" s="41">
        <v>0.49</v>
      </c>
      <c r="K93" s="41"/>
      <c r="L93" s="42"/>
      <c r="M93" s="68"/>
      <c r="N93" s="94">
        <f t="shared" si="24"/>
        <v>1</v>
      </c>
      <c r="O93" s="44">
        <v>1</v>
      </c>
      <c r="P93" s="45">
        <v>15</v>
      </c>
      <c r="Q93" s="46">
        <v>15</v>
      </c>
      <c r="R93" s="46"/>
      <c r="S93" s="121"/>
      <c r="T93" s="70"/>
      <c r="U93" s="71">
        <f t="shared" si="12"/>
        <v>15</v>
      </c>
      <c r="V93" s="72">
        <f t="shared" si="13"/>
        <v>15</v>
      </c>
      <c r="W93" s="99"/>
      <c r="X93" s="100"/>
      <c r="Y93" s="85"/>
      <c r="Z93" s="95"/>
      <c r="AA93" s="74"/>
      <c r="AB93" s="75">
        <f t="shared" si="14"/>
        <v>0</v>
      </c>
      <c r="AC93" s="72">
        <f t="shared" si="15"/>
        <v>0</v>
      </c>
      <c r="AD93" s="52">
        <v>2</v>
      </c>
      <c r="AE93" s="71">
        <f t="shared" si="16"/>
        <v>2</v>
      </c>
      <c r="AF93" s="76"/>
      <c r="AG93" s="86"/>
      <c r="AH93" s="77">
        <f t="shared" si="17"/>
        <v>17</v>
      </c>
      <c r="AI93" s="56">
        <v>10</v>
      </c>
      <c r="AJ93" s="56">
        <v>10</v>
      </c>
      <c r="AK93" s="56">
        <v>45</v>
      </c>
      <c r="AL93" s="57">
        <f t="shared" si="18"/>
        <v>82</v>
      </c>
      <c r="AM93" s="55">
        <f t="shared" si="19"/>
        <v>82</v>
      </c>
      <c r="AN93" s="78">
        <f t="shared" si="20"/>
        <v>1.02</v>
      </c>
      <c r="AO93" s="79"/>
      <c r="AP93" s="80">
        <f t="shared" si="26"/>
        <v>1</v>
      </c>
      <c r="AQ93" s="80">
        <f t="shared" si="26"/>
        <v>2</v>
      </c>
      <c r="AR93" s="61"/>
      <c r="AS93" s="62"/>
      <c r="AT93" s="81"/>
      <c r="AU93" s="81"/>
      <c r="AV93" s="81"/>
      <c r="AW93" s="81"/>
      <c r="AX93" s="82"/>
      <c r="AY93" s="83">
        <f t="shared" si="21"/>
        <v>0</v>
      </c>
      <c r="AZ93" s="83">
        <f t="shared" si="27"/>
        <v>0</v>
      </c>
    </row>
    <row r="94" spans="1:52" s="66" customFormat="1" ht="39.75" customHeight="1" thickBot="1" x14ac:dyDescent="0.2">
      <c r="A94" s="101"/>
      <c r="B94" s="101"/>
      <c r="C94" s="101"/>
      <c r="D94" s="101"/>
      <c r="E94" s="101"/>
      <c r="F94" s="40"/>
      <c r="G94" s="90"/>
      <c r="H94" s="158"/>
      <c r="I94" s="92">
        <v>0.51</v>
      </c>
      <c r="J94" s="41">
        <v>0.49</v>
      </c>
      <c r="K94" s="41"/>
      <c r="L94" s="42"/>
      <c r="M94" s="68"/>
      <c r="N94" s="94">
        <f t="shared" si="24"/>
        <v>1</v>
      </c>
      <c r="O94" s="44">
        <v>1</v>
      </c>
      <c r="P94" s="45">
        <v>15</v>
      </c>
      <c r="Q94" s="46">
        <v>15</v>
      </c>
      <c r="R94" s="46"/>
      <c r="S94" s="46"/>
      <c r="T94" s="70"/>
      <c r="U94" s="71">
        <f t="shared" si="12"/>
        <v>15</v>
      </c>
      <c r="V94" s="72">
        <f t="shared" si="13"/>
        <v>15</v>
      </c>
      <c r="W94" s="99"/>
      <c r="X94" s="100"/>
      <c r="Y94" s="85"/>
      <c r="Z94" s="95"/>
      <c r="AA94" s="74"/>
      <c r="AB94" s="75">
        <f t="shared" si="14"/>
        <v>0</v>
      </c>
      <c r="AC94" s="72">
        <f t="shared" si="15"/>
        <v>0</v>
      </c>
      <c r="AD94" s="52">
        <v>2</v>
      </c>
      <c r="AE94" s="71">
        <f t="shared" si="16"/>
        <v>2</v>
      </c>
      <c r="AF94" s="76"/>
      <c r="AG94" s="86"/>
      <c r="AH94" s="77">
        <f t="shared" si="17"/>
        <v>17</v>
      </c>
      <c r="AI94" s="56">
        <v>10</v>
      </c>
      <c r="AJ94" s="56">
        <v>10</v>
      </c>
      <c r="AK94" s="56">
        <v>45</v>
      </c>
      <c r="AL94" s="57">
        <f t="shared" si="18"/>
        <v>82</v>
      </c>
      <c r="AM94" s="55">
        <f t="shared" si="19"/>
        <v>82</v>
      </c>
      <c r="AN94" s="78">
        <f t="shared" si="20"/>
        <v>1.02</v>
      </c>
      <c r="AO94" s="79"/>
      <c r="AP94" s="80">
        <f t="shared" si="26"/>
        <v>1</v>
      </c>
      <c r="AQ94" s="80">
        <f t="shared" si="26"/>
        <v>2</v>
      </c>
      <c r="AR94" s="61"/>
      <c r="AS94" s="62"/>
      <c r="AT94" s="81"/>
      <c r="AU94" s="81"/>
      <c r="AV94" s="81"/>
      <c r="AW94" s="81"/>
      <c r="AX94" s="82"/>
      <c r="AY94" s="83">
        <f t="shared" si="21"/>
        <v>0</v>
      </c>
      <c r="AZ94" s="83">
        <f t="shared" si="27"/>
        <v>0</v>
      </c>
    </row>
    <row r="95" spans="1:52" s="66" customFormat="1" ht="39.75" customHeight="1" thickBot="1" x14ac:dyDescent="0.2">
      <c r="A95" s="101"/>
      <c r="B95" s="101"/>
      <c r="C95" s="101"/>
      <c r="D95" s="101"/>
      <c r="E95" s="101"/>
      <c r="F95" s="40"/>
      <c r="G95" s="90"/>
      <c r="H95" s="158"/>
      <c r="I95" s="92">
        <v>0.51</v>
      </c>
      <c r="J95" s="41">
        <v>0.49</v>
      </c>
      <c r="K95" s="41"/>
      <c r="L95" s="42"/>
      <c r="M95" s="68"/>
      <c r="N95" s="94">
        <f t="shared" si="24"/>
        <v>1</v>
      </c>
      <c r="O95" s="44">
        <v>1</v>
      </c>
      <c r="P95" s="45">
        <v>15</v>
      </c>
      <c r="Q95" s="46">
        <v>15</v>
      </c>
      <c r="R95" s="46"/>
      <c r="S95" s="46"/>
      <c r="T95" s="70"/>
      <c r="U95" s="71">
        <f t="shared" si="12"/>
        <v>15</v>
      </c>
      <c r="V95" s="72">
        <f t="shared" si="13"/>
        <v>15</v>
      </c>
      <c r="W95" s="99"/>
      <c r="X95" s="100"/>
      <c r="Y95" s="85"/>
      <c r="Z95" s="95"/>
      <c r="AA95" s="74"/>
      <c r="AB95" s="75">
        <f t="shared" si="14"/>
        <v>0</v>
      </c>
      <c r="AC95" s="72">
        <f t="shared" si="15"/>
        <v>0</v>
      </c>
      <c r="AD95" s="52">
        <v>2</v>
      </c>
      <c r="AE95" s="71">
        <f t="shared" si="16"/>
        <v>2</v>
      </c>
      <c r="AF95" s="76"/>
      <c r="AG95" s="86"/>
      <c r="AH95" s="77">
        <f t="shared" si="17"/>
        <v>17</v>
      </c>
      <c r="AI95" s="56">
        <v>10</v>
      </c>
      <c r="AJ95" s="56">
        <v>10</v>
      </c>
      <c r="AK95" s="56">
        <v>45</v>
      </c>
      <c r="AL95" s="57">
        <f t="shared" si="18"/>
        <v>82</v>
      </c>
      <c r="AM95" s="55">
        <f t="shared" si="19"/>
        <v>82</v>
      </c>
      <c r="AN95" s="78">
        <f t="shared" si="20"/>
        <v>1.02</v>
      </c>
      <c r="AO95" s="79"/>
      <c r="AP95" s="80">
        <f t="shared" si="26"/>
        <v>1</v>
      </c>
      <c r="AQ95" s="80">
        <f t="shared" si="26"/>
        <v>2</v>
      </c>
      <c r="AR95" s="61"/>
      <c r="AS95" s="62"/>
      <c r="AT95" s="81"/>
      <c r="AU95" s="81"/>
      <c r="AV95" s="81"/>
      <c r="AW95" s="81"/>
      <c r="AX95" s="82"/>
      <c r="AY95" s="83">
        <f t="shared" si="21"/>
        <v>0</v>
      </c>
      <c r="AZ95" s="83">
        <f t="shared" si="27"/>
        <v>0</v>
      </c>
    </row>
    <row r="96" spans="1:52" s="66" customFormat="1" ht="39.75" customHeight="1" thickBot="1" x14ac:dyDescent="0.2">
      <c r="A96" s="101"/>
      <c r="B96" s="101"/>
      <c r="C96" s="101"/>
      <c r="D96" s="101"/>
      <c r="E96" s="101"/>
      <c r="F96" s="40"/>
      <c r="G96" s="90"/>
      <c r="H96" s="158"/>
      <c r="I96" s="92">
        <v>0.51</v>
      </c>
      <c r="J96" s="41">
        <v>0.49</v>
      </c>
      <c r="K96" s="41"/>
      <c r="L96" s="42"/>
      <c r="M96" s="68"/>
      <c r="N96" s="94">
        <f t="shared" si="24"/>
        <v>1</v>
      </c>
      <c r="O96" s="44">
        <v>1</v>
      </c>
      <c r="P96" s="45">
        <v>15</v>
      </c>
      <c r="Q96" s="46">
        <v>15</v>
      </c>
      <c r="R96" s="46"/>
      <c r="S96" s="46"/>
      <c r="T96" s="70"/>
      <c r="U96" s="71">
        <f t="shared" si="12"/>
        <v>15</v>
      </c>
      <c r="V96" s="72">
        <f t="shared" si="13"/>
        <v>15</v>
      </c>
      <c r="W96" s="99"/>
      <c r="X96" s="100"/>
      <c r="Y96" s="85"/>
      <c r="Z96" s="95"/>
      <c r="AA96" s="74"/>
      <c r="AB96" s="75">
        <f t="shared" si="14"/>
        <v>0</v>
      </c>
      <c r="AC96" s="72">
        <f t="shared" si="15"/>
        <v>0</v>
      </c>
      <c r="AD96" s="52">
        <v>2</v>
      </c>
      <c r="AE96" s="71">
        <f t="shared" si="16"/>
        <v>2</v>
      </c>
      <c r="AF96" s="76"/>
      <c r="AG96" s="86"/>
      <c r="AH96" s="77">
        <f t="shared" si="17"/>
        <v>17</v>
      </c>
      <c r="AI96" s="56">
        <v>10</v>
      </c>
      <c r="AJ96" s="56">
        <v>10</v>
      </c>
      <c r="AK96" s="56">
        <v>45</v>
      </c>
      <c r="AL96" s="57">
        <f t="shared" si="18"/>
        <v>82</v>
      </c>
      <c r="AM96" s="55">
        <f t="shared" si="19"/>
        <v>82</v>
      </c>
      <c r="AN96" s="78">
        <f t="shared" si="20"/>
        <v>1.02</v>
      </c>
      <c r="AO96" s="79"/>
      <c r="AP96" s="80">
        <f t="shared" si="26"/>
        <v>1</v>
      </c>
      <c r="AQ96" s="80">
        <f t="shared" si="26"/>
        <v>2</v>
      </c>
      <c r="AR96" s="61"/>
      <c r="AS96" s="62"/>
      <c r="AT96" s="81"/>
      <c r="AU96" s="81"/>
      <c r="AV96" s="81"/>
      <c r="AW96" s="81"/>
      <c r="AX96" s="82"/>
      <c r="AY96" s="83">
        <f t="shared" si="21"/>
        <v>0</v>
      </c>
      <c r="AZ96" s="83">
        <f t="shared" si="27"/>
        <v>0</v>
      </c>
    </row>
    <row r="97" spans="1:52" s="66" customFormat="1" ht="39.75" customHeight="1" thickBot="1" x14ac:dyDescent="0.2">
      <c r="A97" s="101"/>
      <c r="B97" s="101"/>
      <c r="C97" s="101"/>
      <c r="D97" s="101"/>
      <c r="E97" s="101"/>
      <c r="F97" s="40"/>
      <c r="G97" s="90"/>
      <c r="H97" s="158"/>
      <c r="I97" s="92">
        <v>0.51</v>
      </c>
      <c r="J97" s="41">
        <v>0.49</v>
      </c>
      <c r="K97" s="41"/>
      <c r="L97" s="42"/>
      <c r="M97" s="68"/>
      <c r="N97" s="94">
        <f t="shared" si="24"/>
        <v>1</v>
      </c>
      <c r="O97" s="44">
        <v>1</v>
      </c>
      <c r="P97" s="45">
        <v>15</v>
      </c>
      <c r="Q97" s="46">
        <v>15</v>
      </c>
      <c r="R97" s="46"/>
      <c r="S97" s="46"/>
      <c r="T97" s="70"/>
      <c r="U97" s="71">
        <f t="shared" si="12"/>
        <v>15</v>
      </c>
      <c r="V97" s="72">
        <f t="shared" si="13"/>
        <v>15</v>
      </c>
      <c r="W97" s="99"/>
      <c r="X97" s="100"/>
      <c r="Y97" s="85"/>
      <c r="Z97" s="95"/>
      <c r="AA97" s="74"/>
      <c r="AB97" s="75">
        <f t="shared" si="14"/>
        <v>0</v>
      </c>
      <c r="AC97" s="72">
        <f t="shared" si="15"/>
        <v>0</v>
      </c>
      <c r="AD97" s="52">
        <v>2</v>
      </c>
      <c r="AE97" s="71">
        <f t="shared" si="16"/>
        <v>2</v>
      </c>
      <c r="AF97" s="76"/>
      <c r="AG97" s="86"/>
      <c r="AH97" s="77">
        <f t="shared" si="17"/>
        <v>17</v>
      </c>
      <c r="AI97" s="56">
        <v>10</v>
      </c>
      <c r="AJ97" s="56">
        <v>10</v>
      </c>
      <c r="AK97" s="56">
        <v>45</v>
      </c>
      <c r="AL97" s="57">
        <f t="shared" si="18"/>
        <v>82</v>
      </c>
      <c r="AM97" s="55">
        <f t="shared" si="19"/>
        <v>82</v>
      </c>
      <c r="AN97" s="78">
        <f t="shared" si="20"/>
        <v>1.02</v>
      </c>
      <c r="AO97" s="79"/>
      <c r="AP97" s="80">
        <f t="shared" si="26"/>
        <v>1</v>
      </c>
      <c r="AQ97" s="80">
        <f t="shared" si="26"/>
        <v>2</v>
      </c>
      <c r="AR97" s="61"/>
      <c r="AS97" s="62"/>
      <c r="AT97" s="81"/>
      <c r="AU97" s="81"/>
      <c r="AV97" s="81"/>
      <c r="AW97" s="81"/>
      <c r="AX97" s="82"/>
      <c r="AY97" s="83">
        <f t="shared" si="21"/>
        <v>0</v>
      </c>
      <c r="AZ97" s="83">
        <f t="shared" si="27"/>
        <v>0</v>
      </c>
    </row>
    <row r="98" spans="1:52" s="66" customFormat="1" ht="39.75" customHeight="1" thickBot="1" x14ac:dyDescent="0.2">
      <c r="A98" s="101"/>
      <c r="B98" s="101"/>
      <c r="C98" s="101"/>
      <c r="D98" s="101"/>
      <c r="E98" s="101"/>
      <c r="F98" s="40"/>
      <c r="G98" s="90"/>
      <c r="H98" s="158"/>
      <c r="I98" s="92">
        <v>0.51</v>
      </c>
      <c r="J98" s="41">
        <v>0.49</v>
      </c>
      <c r="K98" s="41"/>
      <c r="L98" s="88"/>
      <c r="M98" s="68"/>
      <c r="N98" s="94">
        <f t="shared" si="24"/>
        <v>1</v>
      </c>
      <c r="O98" s="44">
        <v>1</v>
      </c>
      <c r="P98" s="45">
        <v>15</v>
      </c>
      <c r="Q98" s="46">
        <v>15</v>
      </c>
      <c r="R98" s="46"/>
      <c r="S98" s="46"/>
      <c r="T98" s="70"/>
      <c r="U98" s="71">
        <f t="shared" ref="U98:U148" si="28">ROUND(((P98*I98)+(Q98*J98)+(R98*K98)+(S98*L98)+(T98*M98))*O98,2)</f>
        <v>15</v>
      </c>
      <c r="V98" s="72">
        <f t="shared" ref="V98:V148" si="29">IF(U98&gt;=15,15,U98)</f>
        <v>15</v>
      </c>
      <c r="W98" s="99"/>
      <c r="X98" s="100"/>
      <c r="Y98" s="85"/>
      <c r="Z98" s="95"/>
      <c r="AA98" s="74"/>
      <c r="AB98" s="75">
        <f t="shared" ref="AB98:AB148" si="30">ROUND((((W98*I98)+(X98*J98)+(Y98*K98)+(Z98*L98)+(AA98*M98))/$I$2),2)*13</f>
        <v>0</v>
      </c>
      <c r="AC98" s="72">
        <f t="shared" ref="AC98:AC148" si="31">IF(AB98&gt;=13,13,AB98)</f>
        <v>0</v>
      </c>
      <c r="AD98" s="52">
        <v>2</v>
      </c>
      <c r="AE98" s="71">
        <f t="shared" ref="AE98:AE148" si="32">IF((AC98+AD98)&gt;=15,15,(AC98+AD98))</f>
        <v>2</v>
      </c>
      <c r="AF98" s="76"/>
      <c r="AG98" s="86"/>
      <c r="AH98" s="77">
        <f t="shared" ref="AH98:AH148" si="33">IF((V98+AE98+AF98)&gt;=30,30,(V98+AE98+AF98))</f>
        <v>17</v>
      </c>
      <c r="AI98" s="56">
        <v>10</v>
      </c>
      <c r="AJ98" s="56">
        <v>10</v>
      </c>
      <c r="AK98" s="56">
        <v>45</v>
      </c>
      <c r="AL98" s="57">
        <f t="shared" ref="AL98:AL148" si="34">V98+AE98+AF98+AI98+AJ98+AK98+AG98</f>
        <v>82</v>
      </c>
      <c r="AM98" s="55">
        <f t="shared" ref="AM98:AM148" si="35">IF(AH98+AI98+AJ98+AK98+AG98&gt;=95,95,AH98+AI98+AJ98+AK98+AG98)</f>
        <v>82</v>
      </c>
      <c r="AN98" s="78">
        <f t="shared" ref="AN98:AN148" si="36">-((50-((176+(45+(50-AH98)))))/200)</f>
        <v>1.02</v>
      </c>
      <c r="AO98" s="79"/>
      <c r="AP98" s="80">
        <f t="shared" si="26"/>
        <v>1</v>
      </c>
      <c r="AQ98" s="80">
        <f t="shared" si="26"/>
        <v>2</v>
      </c>
      <c r="AR98" s="61"/>
      <c r="AS98" s="62"/>
      <c r="AT98" s="81"/>
      <c r="AU98" s="81"/>
      <c r="AV98" s="81"/>
      <c r="AW98" s="81"/>
      <c r="AX98" s="82"/>
      <c r="AY98" s="83">
        <f t="shared" ref="AY98:AY148" si="37">AT98+AU98+AV98+AW98+AX98</f>
        <v>0</v>
      </c>
      <c r="AZ98" s="83">
        <f t="shared" si="27"/>
        <v>0</v>
      </c>
    </row>
    <row r="99" spans="1:52" s="66" customFormat="1" ht="39.75" customHeight="1" thickBot="1" x14ac:dyDescent="0.2">
      <c r="A99" s="101"/>
      <c r="B99" s="101"/>
      <c r="C99" s="101"/>
      <c r="D99" s="101"/>
      <c r="E99" s="101"/>
      <c r="F99" s="40"/>
      <c r="G99" s="90"/>
      <c r="H99" s="158"/>
      <c r="I99" s="92">
        <v>0.51</v>
      </c>
      <c r="J99" s="41">
        <v>0.49</v>
      </c>
      <c r="K99" s="41"/>
      <c r="L99" s="88"/>
      <c r="M99" s="68"/>
      <c r="N99" s="94">
        <f t="shared" si="24"/>
        <v>1</v>
      </c>
      <c r="O99" s="44">
        <v>1</v>
      </c>
      <c r="P99" s="45">
        <v>15</v>
      </c>
      <c r="Q99" s="46">
        <v>15</v>
      </c>
      <c r="R99" s="46"/>
      <c r="S99" s="46"/>
      <c r="T99" s="70"/>
      <c r="U99" s="71">
        <f t="shared" si="28"/>
        <v>15</v>
      </c>
      <c r="V99" s="72">
        <f t="shared" si="29"/>
        <v>15</v>
      </c>
      <c r="W99" s="99"/>
      <c r="X99" s="100"/>
      <c r="Y99" s="85"/>
      <c r="Z99" s="95"/>
      <c r="AA99" s="74"/>
      <c r="AB99" s="75">
        <f t="shared" si="30"/>
        <v>0</v>
      </c>
      <c r="AC99" s="72">
        <f t="shared" si="31"/>
        <v>0</v>
      </c>
      <c r="AD99" s="52">
        <v>2</v>
      </c>
      <c r="AE99" s="71">
        <f t="shared" si="32"/>
        <v>2</v>
      </c>
      <c r="AF99" s="76"/>
      <c r="AG99" s="86"/>
      <c r="AH99" s="77">
        <f t="shared" si="33"/>
        <v>17</v>
      </c>
      <c r="AI99" s="56">
        <v>10</v>
      </c>
      <c r="AJ99" s="56">
        <v>10</v>
      </c>
      <c r="AK99" s="56">
        <v>45</v>
      </c>
      <c r="AL99" s="57">
        <f t="shared" si="34"/>
        <v>82</v>
      </c>
      <c r="AM99" s="55">
        <f t="shared" si="35"/>
        <v>82</v>
      </c>
      <c r="AN99" s="78">
        <f t="shared" si="36"/>
        <v>1.02</v>
      </c>
      <c r="AO99" s="79"/>
      <c r="AP99" s="80">
        <f t="shared" si="26"/>
        <v>1</v>
      </c>
      <c r="AQ99" s="80">
        <f t="shared" si="26"/>
        <v>2</v>
      </c>
      <c r="AR99" s="61"/>
      <c r="AS99" s="62"/>
      <c r="AT99" s="81"/>
      <c r="AU99" s="81"/>
      <c r="AV99" s="81"/>
      <c r="AW99" s="81"/>
      <c r="AX99" s="82"/>
      <c r="AY99" s="83">
        <f t="shared" si="37"/>
        <v>0</v>
      </c>
      <c r="AZ99" s="83">
        <f t="shared" si="27"/>
        <v>0</v>
      </c>
    </row>
    <row r="100" spans="1:52" s="66" customFormat="1" ht="39.75" customHeight="1" thickBot="1" x14ac:dyDescent="0.2">
      <c r="A100" s="101"/>
      <c r="B100" s="101"/>
      <c r="C100" s="101"/>
      <c r="D100" s="101"/>
      <c r="E100" s="101"/>
      <c r="F100" s="40"/>
      <c r="G100" s="90"/>
      <c r="H100" s="158"/>
      <c r="I100" s="92">
        <v>0.51</v>
      </c>
      <c r="J100" s="41">
        <v>0.49</v>
      </c>
      <c r="K100" s="41"/>
      <c r="L100" s="88"/>
      <c r="M100" s="68"/>
      <c r="N100" s="94">
        <f t="shared" si="24"/>
        <v>1</v>
      </c>
      <c r="O100" s="44">
        <v>1</v>
      </c>
      <c r="P100" s="45">
        <v>15</v>
      </c>
      <c r="Q100" s="46">
        <v>15</v>
      </c>
      <c r="R100" s="46"/>
      <c r="S100" s="46"/>
      <c r="T100" s="70"/>
      <c r="U100" s="71">
        <f t="shared" si="28"/>
        <v>15</v>
      </c>
      <c r="V100" s="72">
        <f t="shared" si="29"/>
        <v>15</v>
      </c>
      <c r="W100" s="99"/>
      <c r="X100" s="100"/>
      <c r="Y100" s="85"/>
      <c r="Z100" s="95"/>
      <c r="AA100" s="74"/>
      <c r="AB100" s="75">
        <f t="shared" si="30"/>
        <v>0</v>
      </c>
      <c r="AC100" s="72">
        <f t="shared" si="31"/>
        <v>0</v>
      </c>
      <c r="AD100" s="52">
        <v>2</v>
      </c>
      <c r="AE100" s="71">
        <f t="shared" si="32"/>
        <v>2</v>
      </c>
      <c r="AF100" s="76"/>
      <c r="AG100" s="86"/>
      <c r="AH100" s="77">
        <f t="shared" si="33"/>
        <v>17</v>
      </c>
      <c r="AI100" s="56">
        <v>10</v>
      </c>
      <c r="AJ100" s="56">
        <v>10</v>
      </c>
      <c r="AK100" s="56">
        <v>45</v>
      </c>
      <c r="AL100" s="57">
        <f t="shared" si="34"/>
        <v>82</v>
      </c>
      <c r="AM100" s="55">
        <f t="shared" si="35"/>
        <v>82</v>
      </c>
      <c r="AN100" s="78">
        <f t="shared" si="36"/>
        <v>1.02</v>
      </c>
      <c r="AO100" s="79"/>
      <c r="AP100" s="80">
        <f t="shared" si="26"/>
        <v>1</v>
      </c>
      <c r="AQ100" s="80">
        <f t="shared" si="26"/>
        <v>2</v>
      </c>
      <c r="AR100" s="61"/>
      <c r="AS100" s="62"/>
      <c r="AT100" s="81"/>
      <c r="AU100" s="81"/>
      <c r="AV100" s="81"/>
      <c r="AW100" s="81"/>
      <c r="AX100" s="82"/>
      <c r="AY100" s="83">
        <f t="shared" si="37"/>
        <v>0</v>
      </c>
      <c r="AZ100" s="83">
        <f t="shared" si="27"/>
        <v>0</v>
      </c>
    </row>
    <row r="101" spans="1:52" s="66" customFormat="1" ht="39.75" customHeight="1" thickBot="1" x14ac:dyDescent="0.2">
      <c r="A101" s="101"/>
      <c r="B101" s="101"/>
      <c r="C101" s="101"/>
      <c r="D101" s="101"/>
      <c r="E101" s="101"/>
      <c r="F101" s="40"/>
      <c r="G101" s="90"/>
      <c r="H101" s="158"/>
      <c r="I101" s="92">
        <v>0.51</v>
      </c>
      <c r="J101" s="41">
        <v>0.49</v>
      </c>
      <c r="K101" s="41"/>
      <c r="L101" s="88"/>
      <c r="M101" s="68"/>
      <c r="N101" s="94">
        <f t="shared" si="24"/>
        <v>1</v>
      </c>
      <c r="O101" s="44">
        <v>1</v>
      </c>
      <c r="P101" s="45">
        <v>15</v>
      </c>
      <c r="Q101" s="46">
        <v>15</v>
      </c>
      <c r="R101" s="46"/>
      <c r="S101" s="46"/>
      <c r="T101" s="70"/>
      <c r="U101" s="71">
        <f t="shared" si="28"/>
        <v>15</v>
      </c>
      <c r="V101" s="72">
        <f t="shared" si="29"/>
        <v>15</v>
      </c>
      <c r="W101" s="99"/>
      <c r="X101" s="100"/>
      <c r="Y101" s="85"/>
      <c r="Z101" s="95"/>
      <c r="AA101" s="74"/>
      <c r="AB101" s="75">
        <f t="shared" si="30"/>
        <v>0</v>
      </c>
      <c r="AC101" s="72">
        <f t="shared" si="31"/>
        <v>0</v>
      </c>
      <c r="AD101" s="52">
        <v>2</v>
      </c>
      <c r="AE101" s="71">
        <f t="shared" si="32"/>
        <v>2</v>
      </c>
      <c r="AF101" s="76"/>
      <c r="AG101" s="86"/>
      <c r="AH101" s="77">
        <f t="shared" si="33"/>
        <v>17</v>
      </c>
      <c r="AI101" s="56">
        <v>10</v>
      </c>
      <c r="AJ101" s="56">
        <v>10</v>
      </c>
      <c r="AK101" s="56">
        <v>45</v>
      </c>
      <c r="AL101" s="57">
        <f t="shared" si="34"/>
        <v>82</v>
      </c>
      <c r="AM101" s="55">
        <f t="shared" si="35"/>
        <v>82</v>
      </c>
      <c r="AN101" s="78">
        <f t="shared" si="36"/>
        <v>1.02</v>
      </c>
      <c r="AO101" s="79"/>
      <c r="AP101" s="80">
        <f t="shared" ref="AP101:AQ120" si="38">100%+AO101</f>
        <v>1</v>
      </c>
      <c r="AQ101" s="80">
        <f t="shared" si="38"/>
        <v>2</v>
      </c>
      <c r="AR101" s="61"/>
      <c r="AS101" s="62"/>
      <c r="AT101" s="81"/>
      <c r="AU101" s="81"/>
      <c r="AV101" s="81"/>
      <c r="AW101" s="81"/>
      <c r="AX101" s="82"/>
      <c r="AY101" s="83">
        <f t="shared" si="37"/>
        <v>0</v>
      </c>
      <c r="AZ101" s="83">
        <f t="shared" si="27"/>
        <v>0</v>
      </c>
    </row>
    <row r="102" spans="1:52" s="66" customFormat="1" ht="39.75" customHeight="1" thickBot="1" x14ac:dyDescent="0.2">
      <c r="A102" s="101"/>
      <c r="B102" s="101"/>
      <c r="C102" s="101"/>
      <c r="D102" s="101"/>
      <c r="E102" s="101"/>
      <c r="F102" s="40"/>
      <c r="G102" s="90"/>
      <c r="H102" s="158"/>
      <c r="I102" s="92">
        <v>0.51</v>
      </c>
      <c r="J102" s="41">
        <v>0.49</v>
      </c>
      <c r="K102" s="41"/>
      <c r="L102" s="88"/>
      <c r="M102" s="68"/>
      <c r="N102" s="94">
        <f t="shared" si="24"/>
        <v>1</v>
      </c>
      <c r="O102" s="44">
        <v>1</v>
      </c>
      <c r="P102" s="45">
        <v>15</v>
      </c>
      <c r="Q102" s="46">
        <v>15</v>
      </c>
      <c r="R102" s="46"/>
      <c r="S102" s="46"/>
      <c r="T102" s="70"/>
      <c r="U102" s="71">
        <f t="shared" si="28"/>
        <v>15</v>
      </c>
      <c r="V102" s="72">
        <f t="shared" si="29"/>
        <v>15</v>
      </c>
      <c r="W102" s="99"/>
      <c r="X102" s="100"/>
      <c r="Y102" s="85"/>
      <c r="Z102" s="95"/>
      <c r="AA102" s="74"/>
      <c r="AB102" s="75">
        <f t="shared" si="30"/>
        <v>0</v>
      </c>
      <c r="AC102" s="72">
        <f t="shared" si="31"/>
        <v>0</v>
      </c>
      <c r="AD102" s="52">
        <v>2</v>
      </c>
      <c r="AE102" s="71">
        <f t="shared" si="32"/>
        <v>2</v>
      </c>
      <c r="AF102" s="76"/>
      <c r="AG102" s="86"/>
      <c r="AH102" s="77">
        <f t="shared" si="33"/>
        <v>17</v>
      </c>
      <c r="AI102" s="56">
        <v>10</v>
      </c>
      <c r="AJ102" s="56">
        <v>10</v>
      </c>
      <c r="AK102" s="56">
        <v>45</v>
      </c>
      <c r="AL102" s="57">
        <f t="shared" si="34"/>
        <v>82</v>
      </c>
      <c r="AM102" s="55">
        <f t="shared" si="35"/>
        <v>82</v>
      </c>
      <c r="AN102" s="78">
        <f t="shared" si="36"/>
        <v>1.02</v>
      </c>
      <c r="AO102" s="79"/>
      <c r="AP102" s="80">
        <f t="shared" si="38"/>
        <v>1</v>
      </c>
      <c r="AQ102" s="80">
        <f t="shared" si="38"/>
        <v>2</v>
      </c>
      <c r="AR102" s="61"/>
      <c r="AS102" s="62"/>
      <c r="AT102" s="81"/>
      <c r="AU102" s="81"/>
      <c r="AV102" s="81"/>
      <c r="AW102" s="81"/>
      <c r="AX102" s="82"/>
      <c r="AY102" s="83">
        <f t="shared" si="37"/>
        <v>0</v>
      </c>
      <c r="AZ102" s="83">
        <f t="shared" si="27"/>
        <v>0</v>
      </c>
    </row>
    <row r="103" spans="1:52" s="66" customFormat="1" ht="39.75" customHeight="1" thickBot="1" x14ac:dyDescent="0.2">
      <c r="A103" s="101"/>
      <c r="B103" s="101"/>
      <c r="C103" s="101"/>
      <c r="D103" s="101"/>
      <c r="E103" s="101"/>
      <c r="F103" s="40"/>
      <c r="G103" s="90"/>
      <c r="H103" s="158"/>
      <c r="I103" s="92">
        <v>0.51</v>
      </c>
      <c r="J103" s="41">
        <v>0.49</v>
      </c>
      <c r="K103" s="41"/>
      <c r="L103" s="88"/>
      <c r="M103" s="68"/>
      <c r="N103" s="94">
        <f t="shared" si="24"/>
        <v>1</v>
      </c>
      <c r="O103" s="44">
        <v>1</v>
      </c>
      <c r="P103" s="45">
        <v>15</v>
      </c>
      <c r="Q103" s="46">
        <v>15</v>
      </c>
      <c r="R103" s="46"/>
      <c r="S103" s="46"/>
      <c r="T103" s="70"/>
      <c r="U103" s="71">
        <f t="shared" si="28"/>
        <v>15</v>
      </c>
      <c r="V103" s="72">
        <f t="shared" si="29"/>
        <v>15</v>
      </c>
      <c r="W103" s="99"/>
      <c r="X103" s="100"/>
      <c r="Y103" s="85"/>
      <c r="Z103" s="73"/>
      <c r="AA103" s="74"/>
      <c r="AB103" s="75">
        <f t="shared" si="30"/>
        <v>0</v>
      </c>
      <c r="AC103" s="72">
        <f t="shared" si="31"/>
        <v>0</v>
      </c>
      <c r="AD103" s="52">
        <v>2</v>
      </c>
      <c r="AE103" s="71">
        <f t="shared" si="32"/>
        <v>2</v>
      </c>
      <c r="AF103" s="76"/>
      <c r="AG103" s="86"/>
      <c r="AH103" s="77">
        <f t="shared" si="33"/>
        <v>17</v>
      </c>
      <c r="AI103" s="56">
        <v>10</v>
      </c>
      <c r="AJ103" s="56">
        <v>10</v>
      </c>
      <c r="AK103" s="56">
        <v>45</v>
      </c>
      <c r="AL103" s="57">
        <f t="shared" si="34"/>
        <v>82</v>
      </c>
      <c r="AM103" s="55">
        <f t="shared" si="35"/>
        <v>82</v>
      </c>
      <c r="AN103" s="78">
        <f t="shared" si="36"/>
        <v>1.02</v>
      </c>
      <c r="AO103" s="79"/>
      <c r="AP103" s="80">
        <f t="shared" si="38"/>
        <v>1</v>
      </c>
      <c r="AQ103" s="80">
        <f t="shared" si="38"/>
        <v>2</v>
      </c>
      <c r="AR103" s="61"/>
      <c r="AS103" s="62"/>
      <c r="AT103" s="81"/>
      <c r="AU103" s="81"/>
      <c r="AV103" s="81"/>
      <c r="AW103" s="81"/>
      <c r="AX103" s="82"/>
      <c r="AY103" s="83">
        <f t="shared" si="37"/>
        <v>0</v>
      </c>
      <c r="AZ103" s="83">
        <f t="shared" si="27"/>
        <v>0</v>
      </c>
    </row>
    <row r="104" spans="1:52" s="66" customFormat="1" ht="39.75" customHeight="1" thickBot="1" x14ac:dyDescent="0.2">
      <c r="A104" s="101"/>
      <c r="B104" s="101"/>
      <c r="C104" s="101"/>
      <c r="D104" s="101"/>
      <c r="E104" s="101"/>
      <c r="F104" s="40"/>
      <c r="G104" s="90"/>
      <c r="H104" s="158"/>
      <c r="I104" s="92">
        <v>0.51</v>
      </c>
      <c r="J104" s="41">
        <v>0.49</v>
      </c>
      <c r="K104" s="41"/>
      <c r="L104" s="88"/>
      <c r="M104" s="68"/>
      <c r="N104" s="94">
        <f t="shared" si="24"/>
        <v>1</v>
      </c>
      <c r="O104" s="44">
        <v>1</v>
      </c>
      <c r="P104" s="45">
        <v>15</v>
      </c>
      <c r="Q104" s="46">
        <v>15</v>
      </c>
      <c r="R104" s="46"/>
      <c r="S104" s="46"/>
      <c r="T104" s="70"/>
      <c r="U104" s="71">
        <f t="shared" si="28"/>
        <v>15</v>
      </c>
      <c r="V104" s="72">
        <f t="shared" si="29"/>
        <v>15</v>
      </c>
      <c r="W104" s="99"/>
      <c r="X104" s="100"/>
      <c r="Y104" s="85"/>
      <c r="Z104" s="73"/>
      <c r="AA104" s="74"/>
      <c r="AB104" s="75">
        <f t="shared" si="30"/>
        <v>0</v>
      </c>
      <c r="AC104" s="72">
        <f t="shared" si="31"/>
        <v>0</v>
      </c>
      <c r="AD104" s="52">
        <v>2</v>
      </c>
      <c r="AE104" s="71">
        <f t="shared" si="32"/>
        <v>2</v>
      </c>
      <c r="AF104" s="76"/>
      <c r="AG104" s="86"/>
      <c r="AH104" s="77">
        <f t="shared" si="33"/>
        <v>17</v>
      </c>
      <c r="AI104" s="56">
        <v>10</v>
      </c>
      <c r="AJ104" s="56">
        <v>10</v>
      </c>
      <c r="AK104" s="56">
        <v>45</v>
      </c>
      <c r="AL104" s="57">
        <f t="shared" si="34"/>
        <v>82</v>
      </c>
      <c r="AM104" s="55">
        <f t="shared" si="35"/>
        <v>82</v>
      </c>
      <c r="AN104" s="78">
        <f t="shared" si="36"/>
        <v>1.02</v>
      </c>
      <c r="AO104" s="79"/>
      <c r="AP104" s="80">
        <f t="shared" si="38"/>
        <v>1</v>
      </c>
      <c r="AQ104" s="80">
        <f t="shared" si="38"/>
        <v>2</v>
      </c>
      <c r="AR104" s="61"/>
      <c r="AS104" s="62"/>
      <c r="AT104" s="81"/>
      <c r="AU104" s="81"/>
      <c r="AV104" s="81"/>
      <c r="AW104" s="81"/>
      <c r="AX104" s="82"/>
      <c r="AY104" s="83">
        <f t="shared" si="37"/>
        <v>0</v>
      </c>
      <c r="AZ104" s="83">
        <f t="shared" si="27"/>
        <v>0</v>
      </c>
    </row>
    <row r="105" spans="1:52" s="66" customFormat="1" ht="39.75" customHeight="1" thickBot="1" x14ac:dyDescent="0.2">
      <c r="A105" s="101"/>
      <c r="B105" s="101"/>
      <c r="C105" s="101"/>
      <c r="D105" s="101"/>
      <c r="E105" s="101"/>
      <c r="F105" s="40"/>
      <c r="G105" s="90"/>
      <c r="H105" s="158"/>
      <c r="I105" s="92">
        <v>0.51</v>
      </c>
      <c r="J105" s="41">
        <v>0.49</v>
      </c>
      <c r="K105" s="41"/>
      <c r="L105" s="88"/>
      <c r="M105" s="68"/>
      <c r="N105" s="94">
        <f t="shared" si="24"/>
        <v>1</v>
      </c>
      <c r="O105" s="44">
        <v>1</v>
      </c>
      <c r="P105" s="45">
        <v>15</v>
      </c>
      <c r="Q105" s="46">
        <v>15</v>
      </c>
      <c r="R105" s="46"/>
      <c r="S105" s="46"/>
      <c r="T105" s="70"/>
      <c r="U105" s="71">
        <f t="shared" si="28"/>
        <v>15</v>
      </c>
      <c r="V105" s="72">
        <f t="shared" si="29"/>
        <v>15</v>
      </c>
      <c r="W105" s="99"/>
      <c r="X105" s="100"/>
      <c r="Y105" s="85"/>
      <c r="Z105" s="73"/>
      <c r="AA105" s="74"/>
      <c r="AB105" s="75">
        <f t="shared" si="30"/>
        <v>0</v>
      </c>
      <c r="AC105" s="72">
        <f t="shared" si="31"/>
        <v>0</v>
      </c>
      <c r="AD105" s="52">
        <v>2</v>
      </c>
      <c r="AE105" s="71">
        <f t="shared" si="32"/>
        <v>2</v>
      </c>
      <c r="AF105" s="76"/>
      <c r="AG105" s="86"/>
      <c r="AH105" s="77">
        <f t="shared" si="33"/>
        <v>17</v>
      </c>
      <c r="AI105" s="56">
        <v>10</v>
      </c>
      <c r="AJ105" s="56">
        <v>10</v>
      </c>
      <c r="AK105" s="56">
        <v>45</v>
      </c>
      <c r="AL105" s="57">
        <f t="shared" si="34"/>
        <v>82</v>
      </c>
      <c r="AM105" s="55">
        <f t="shared" si="35"/>
        <v>82</v>
      </c>
      <c r="AN105" s="78">
        <f t="shared" si="36"/>
        <v>1.02</v>
      </c>
      <c r="AO105" s="79"/>
      <c r="AP105" s="80">
        <f t="shared" si="38"/>
        <v>1</v>
      </c>
      <c r="AQ105" s="80">
        <f t="shared" si="38"/>
        <v>2</v>
      </c>
      <c r="AR105" s="61"/>
      <c r="AS105" s="62"/>
      <c r="AT105" s="81"/>
      <c r="AU105" s="81"/>
      <c r="AV105" s="81"/>
      <c r="AW105" s="81"/>
      <c r="AX105" s="82"/>
      <c r="AY105" s="83">
        <f t="shared" si="37"/>
        <v>0</v>
      </c>
      <c r="AZ105" s="83">
        <f t="shared" si="27"/>
        <v>0</v>
      </c>
    </row>
    <row r="106" spans="1:52" s="66" customFormat="1" ht="39.75" customHeight="1" thickBot="1" x14ac:dyDescent="0.2">
      <c r="A106" s="101"/>
      <c r="B106" s="101"/>
      <c r="C106" s="101"/>
      <c r="D106" s="101"/>
      <c r="E106" s="101"/>
      <c r="F106" s="40"/>
      <c r="G106" s="90"/>
      <c r="H106" s="158"/>
      <c r="I106" s="92">
        <v>0.51</v>
      </c>
      <c r="J106" s="41">
        <v>0.49</v>
      </c>
      <c r="K106" s="41"/>
      <c r="L106" s="88"/>
      <c r="M106" s="68"/>
      <c r="N106" s="94">
        <f t="shared" si="24"/>
        <v>1</v>
      </c>
      <c r="O106" s="44">
        <v>1</v>
      </c>
      <c r="P106" s="45">
        <v>15</v>
      </c>
      <c r="Q106" s="46">
        <v>15</v>
      </c>
      <c r="R106" s="46"/>
      <c r="S106" s="46"/>
      <c r="T106" s="70"/>
      <c r="U106" s="71">
        <f t="shared" si="28"/>
        <v>15</v>
      </c>
      <c r="V106" s="72">
        <f t="shared" si="29"/>
        <v>15</v>
      </c>
      <c r="W106" s="99"/>
      <c r="X106" s="100"/>
      <c r="Y106" s="85"/>
      <c r="Z106" s="73"/>
      <c r="AA106" s="74"/>
      <c r="AB106" s="75">
        <f t="shared" si="30"/>
        <v>0</v>
      </c>
      <c r="AC106" s="72">
        <f t="shared" si="31"/>
        <v>0</v>
      </c>
      <c r="AD106" s="52">
        <v>2</v>
      </c>
      <c r="AE106" s="71">
        <f t="shared" si="32"/>
        <v>2</v>
      </c>
      <c r="AF106" s="76"/>
      <c r="AG106" s="86"/>
      <c r="AH106" s="77">
        <f t="shared" si="33"/>
        <v>17</v>
      </c>
      <c r="AI106" s="56">
        <v>10</v>
      </c>
      <c r="AJ106" s="56">
        <v>10</v>
      </c>
      <c r="AK106" s="56">
        <v>45</v>
      </c>
      <c r="AL106" s="57">
        <f t="shared" si="34"/>
        <v>82</v>
      </c>
      <c r="AM106" s="55">
        <f t="shared" si="35"/>
        <v>82</v>
      </c>
      <c r="AN106" s="78">
        <f t="shared" si="36"/>
        <v>1.02</v>
      </c>
      <c r="AO106" s="79"/>
      <c r="AP106" s="80">
        <f t="shared" si="38"/>
        <v>1</v>
      </c>
      <c r="AQ106" s="80">
        <f t="shared" si="38"/>
        <v>2</v>
      </c>
      <c r="AR106" s="61"/>
      <c r="AS106" s="62"/>
      <c r="AT106" s="81"/>
      <c r="AU106" s="81"/>
      <c r="AV106" s="81"/>
      <c r="AW106" s="81"/>
      <c r="AX106" s="82"/>
      <c r="AY106" s="83">
        <f t="shared" si="37"/>
        <v>0</v>
      </c>
      <c r="AZ106" s="83">
        <f t="shared" si="27"/>
        <v>0</v>
      </c>
    </row>
    <row r="107" spans="1:52" s="66" customFormat="1" ht="39.75" customHeight="1" thickBot="1" x14ac:dyDescent="0.2">
      <c r="A107" s="101"/>
      <c r="B107" s="101"/>
      <c r="C107" s="101"/>
      <c r="D107" s="101"/>
      <c r="E107" s="101"/>
      <c r="F107" s="40"/>
      <c r="G107" s="90"/>
      <c r="H107" s="158"/>
      <c r="I107" s="92">
        <v>0.51</v>
      </c>
      <c r="J107" s="41">
        <v>0.49</v>
      </c>
      <c r="K107" s="41"/>
      <c r="L107" s="88"/>
      <c r="M107" s="68"/>
      <c r="N107" s="94">
        <f t="shared" si="24"/>
        <v>1</v>
      </c>
      <c r="O107" s="44">
        <v>1</v>
      </c>
      <c r="P107" s="45">
        <v>15</v>
      </c>
      <c r="Q107" s="46">
        <v>15</v>
      </c>
      <c r="R107" s="46"/>
      <c r="S107" s="46"/>
      <c r="T107" s="70"/>
      <c r="U107" s="71">
        <f t="shared" si="28"/>
        <v>15</v>
      </c>
      <c r="V107" s="72">
        <f t="shared" si="29"/>
        <v>15</v>
      </c>
      <c r="W107" s="99"/>
      <c r="X107" s="100"/>
      <c r="Y107" s="85"/>
      <c r="Z107" s="73"/>
      <c r="AA107" s="74"/>
      <c r="AB107" s="75">
        <f t="shared" si="30"/>
        <v>0</v>
      </c>
      <c r="AC107" s="72">
        <f t="shared" si="31"/>
        <v>0</v>
      </c>
      <c r="AD107" s="52">
        <v>2</v>
      </c>
      <c r="AE107" s="71">
        <f t="shared" si="32"/>
        <v>2</v>
      </c>
      <c r="AF107" s="76"/>
      <c r="AG107" s="86"/>
      <c r="AH107" s="77">
        <f t="shared" si="33"/>
        <v>17</v>
      </c>
      <c r="AI107" s="56">
        <v>10</v>
      </c>
      <c r="AJ107" s="56">
        <v>10</v>
      </c>
      <c r="AK107" s="56">
        <v>45</v>
      </c>
      <c r="AL107" s="57">
        <f t="shared" si="34"/>
        <v>82</v>
      </c>
      <c r="AM107" s="55">
        <f t="shared" si="35"/>
        <v>82</v>
      </c>
      <c r="AN107" s="78">
        <f t="shared" si="36"/>
        <v>1.02</v>
      </c>
      <c r="AO107" s="79"/>
      <c r="AP107" s="80">
        <f t="shared" si="38"/>
        <v>1</v>
      </c>
      <c r="AQ107" s="80">
        <f t="shared" si="38"/>
        <v>2</v>
      </c>
      <c r="AR107" s="61"/>
      <c r="AS107" s="62"/>
      <c r="AT107" s="81"/>
      <c r="AU107" s="81"/>
      <c r="AV107" s="81"/>
      <c r="AW107" s="81"/>
      <c r="AX107" s="82"/>
      <c r="AY107" s="83">
        <f t="shared" si="37"/>
        <v>0</v>
      </c>
      <c r="AZ107" s="83">
        <f t="shared" si="27"/>
        <v>0</v>
      </c>
    </row>
    <row r="108" spans="1:52" s="66" customFormat="1" ht="39.75" customHeight="1" thickBot="1" x14ac:dyDescent="0.2">
      <c r="A108" s="101"/>
      <c r="B108" s="101"/>
      <c r="C108" s="101"/>
      <c r="D108" s="101"/>
      <c r="E108" s="101"/>
      <c r="F108" s="40"/>
      <c r="G108" s="90"/>
      <c r="H108" s="158"/>
      <c r="I108" s="92">
        <v>0.51</v>
      </c>
      <c r="J108" s="41">
        <v>0.49</v>
      </c>
      <c r="K108" s="41"/>
      <c r="L108" s="88"/>
      <c r="M108" s="68"/>
      <c r="N108" s="94">
        <f t="shared" si="24"/>
        <v>1</v>
      </c>
      <c r="O108" s="44">
        <v>1</v>
      </c>
      <c r="P108" s="45">
        <v>15</v>
      </c>
      <c r="Q108" s="46">
        <v>15</v>
      </c>
      <c r="R108" s="46"/>
      <c r="S108" s="46"/>
      <c r="T108" s="70"/>
      <c r="U108" s="71">
        <f t="shared" si="28"/>
        <v>15</v>
      </c>
      <c r="V108" s="72">
        <f t="shared" si="29"/>
        <v>15</v>
      </c>
      <c r="W108" s="99"/>
      <c r="X108" s="100"/>
      <c r="Y108" s="85"/>
      <c r="Z108" s="73"/>
      <c r="AA108" s="74"/>
      <c r="AB108" s="75">
        <f t="shared" si="30"/>
        <v>0</v>
      </c>
      <c r="AC108" s="72">
        <f t="shared" si="31"/>
        <v>0</v>
      </c>
      <c r="AD108" s="52">
        <v>2</v>
      </c>
      <c r="AE108" s="71">
        <f t="shared" si="32"/>
        <v>2</v>
      </c>
      <c r="AF108" s="76"/>
      <c r="AG108" s="86"/>
      <c r="AH108" s="77">
        <f t="shared" si="33"/>
        <v>17</v>
      </c>
      <c r="AI108" s="56">
        <v>10</v>
      </c>
      <c r="AJ108" s="56">
        <v>10</v>
      </c>
      <c r="AK108" s="56">
        <v>45</v>
      </c>
      <c r="AL108" s="57">
        <f t="shared" si="34"/>
        <v>82</v>
      </c>
      <c r="AM108" s="55">
        <f t="shared" si="35"/>
        <v>82</v>
      </c>
      <c r="AN108" s="78">
        <f t="shared" si="36"/>
        <v>1.02</v>
      </c>
      <c r="AO108" s="79"/>
      <c r="AP108" s="80">
        <f t="shared" si="38"/>
        <v>1</v>
      </c>
      <c r="AQ108" s="80">
        <f t="shared" si="38"/>
        <v>2</v>
      </c>
      <c r="AR108" s="61"/>
      <c r="AS108" s="62"/>
      <c r="AT108" s="81"/>
      <c r="AU108" s="81"/>
      <c r="AV108" s="81"/>
      <c r="AW108" s="81"/>
      <c r="AX108" s="82"/>
      <c r="AY108" s="83">
        <f t="shared" si="37"/>
        <v>0</v>
      </c>
      <c r="AZ108" s="83">
        <f t="shared" si="27"/>
        <v>0</v>
      </c>
    </row>
    <row r="109" spans="1:52" s="66" customFormat="1" ht="39.75" customHeight="1" thickBot="1" x14ac:dyDescent="0.2">
      <c r="A109" s="101"/>
      <c r="B109" s="101"/>
      <c r="C109" s="101"/>
      <c r="D109" s="101"/>
      <c r="E109" s="101"/>
      <c r="F109" s="40"/>
      <c r="G109" s="90"/>
      <c r="H109" s="158"/>
      <c r="I109" s="92">
        <v>0.51</v>
      </c>
      <c r="J109" s="41">
        <v>0.49</v>
      </c>
      <c r="K109" s="41"/>
      <c r="L109" s="88"/>
      <c r="M109" s="68"/>
      <c r="N109" s="94">
        <f t="shared" si="24"/>
        <v>1</v>
      </c>
      <c r="O109" s="44">
        <v>1</v>
      </c>
      <c r="P109" s="45">
        <v>15</v>
      </c>
      <c r="Q109" s="46">
        <v>15</v>
      </c>
      <c r="R109" s="46"/>
      <c r="S109" s="46"/>
      <c r="T109" s="70"/>
      <c r="U109" s="71">
        <f t="shared" si="28"/>
        <v>15</v>
      </c>
      <c r="V109" s="72">
        <f t="shared" si="29"/>
        <v>15</v>
      </c>
      <c r="W109" s="99"/>
      <c r="X109" s="100"/>
      <c r="Y109" s="85"/>
      <c r="Z109" s="73"/>
      <c r="AA109" s="74"/>
      <c r="AB109" s="75">
        <f t="shared" si="30"/>
        <v>0</v>
      </c>
      <c r="AC109" s="72">
        <f t="shared" si="31"/>
        <v>0</v>
      </c>
      <c r="AD109" s="52">
        <v>2</v>
      </c>
      <c r="AE109" s="71">
        <f t="shared" si="32"/>
        <v>2</v>
      </c>
      <c r="AF109" s="76"/>
      <c r="AG109" s="86"/>
      <c r="AH109" s="77">
        <f t="shared" si="33"/>
        <v>17</v>
      </c>
      <c r="AI109" s="56">
        <v>10</v>
      </c>
      <c r="AJ109" s="56">
        <v>10</v>
      </c>
      <c r="AK109" s="56">
        <v>45</v>
      </c>
      <c r="AL109" s="57">
        <f t="shared" si="34"/>
        <v>82</v>
      </c>
      <c r="AM109" s="55">
        <f t="shared" si="35"/>
        <v>82</v>
      </c>
      <c r="AN109" s="78">
        <f t="shared" si="36"/>
        <v>1.02</v>
      </c>
      <c r="AO109" s="79"/>
      <c r="AP109" s="80">
        <f t="shared" si="38"/>
        <v>1</v>
      </c>
      <c r="AQ109" s="80">
        <f t="shared" si="38"/>
        <v>2</v>
      </c>
      <c r="AR109" s="61"/>
      <c r="AS109" s="62"/>
      <c r="AT109" s="81"/>
      <c r="AU109" s="81"/>
      <c r="AV109" s="81"/>
      <c r="AW109" s="81"/>
      <c r="AX109" s="82"/>
      <c r="AY109" s="83">
        <f t="shared" si="37"/>
        <v>0</v>
      </c>
      <c r="AZ109" s="83">
        <f t="shared" si="27"/>
        <v>0</v>
      </c>
    </row>
    <row r="110" spans="1:52" s="23" customFormat="1" ht="39.75" customHeight="1" thickBot="1" x14ac:dyDescent="0.2">
      <c r="A110" s="101"/>
      <c r="B110" s="101"/>
      <c r="C110" s="101"/>
      <c r="D110" s="101"/>
      <c r="E110" s="101"/>
      <c r="F110" s="40"/>
      <c r="G110" s="90"/>
      <c r="H110" s="158"/>
      <c r="I110" s="92">
        <v>0.51</v>
      </c>
      <c r="J110" s="41">
        <v>0.49</v>
      </c>
      <c r="K110" s="41"/>
      <c r="L110" s="88"/>
      <c r="M110" s="68"/>
      <c r="N110" s="94">
        <f t="shared" si="24"/>
        <v>1</v>
      </c>
      <c r="O110" s="44">
        <v>1</v>
      </c>
      <c r="P110" s="45">
        <v>15</v>
      </c>
      <c r="Q110" s="46">
        <v>15</v>
      </c>
      <c r="R110" s="46"/>
      <c r="S110" s="46"/>
      <c r="T110" s="70"/>
      <c r="U110" s="71">
        <f t="shared" si="28"/>
        <v>15</v>
      </c>
      <c r="V110" s="72">
        <f t="shared" si="29"/>
        <v>15</v>
      </c>
      <c r="W110" s="99"/>
      <c r="X110" s="100"/>
      <c r="Y110" s="85"/>
      <c r="Z110" s="73"/>
      <c r="AA110" s="74"/>
      <c r="AB110" s="75">
        <f t="shared" si="30"/>
        <v>0</v>
      </c>
      <c r="AC110" s="72">
        <f t="shared" si="31"/>
        <v>0</v>
      </c>
      <c r="AD110" s="52">
        <v>2</v>
      </c>
      <c r="AE110" s="71">
        <f t="shared" si="32"/>
        <v>2</v>
      </c>
      <c r="AF110" s="76"/>
      <c r="AG110" s="86"/>
      <c r="AH110" s="77">
        <f t="shared" si="33"/>
        <v>17</v>
      </c>
      <c r="AI110" s="56">
        <v>10</v>
      </c>
      <c r="AJ110" s="56">
        <v>10</v>
      </c>
      <c r="AK110" s="56">
        <v>45</v>
      </c>
      <c r="AL110" s="57">
        <f t="shared" si="34"/>
        <v>82</v>
      </c>
      <c r="AM110" s="55">
        <f t="shared" si="35"/>
        <v>82</v>
      </c>
      <c r="AN110" s="78">
        <f t="shared" si="36"/>
        <v>1.02</v>
      </c>
      <c r="AO110" s="79"/>
      <c r="AP110" s="80">
        <f t="shared" si="38"/>
        <v>1</v>
      </c>
      <c r="AQ110" s="80">
        <f t="shared" si="38"/>
        <v>2</v>
      </c>
      <c r="AR110" s="61"/>
      <c r="AS110" s="62"/>
      <c r="AT110" s="81"/>
      <c r="AU110" s="81"/>
      <c r="AV110" s="81"/>
      <c r="AW110" s="81"/>
      <c r="AX110" s="82"/>
      <c r="AY110" s="83">
        <f t="shared" si="37"/>
        <v>0</v>
      </c>
      <c r="AZ110" s="83">
        <f t="shared" si="27"/>
        <v>0</v>
      </c>
    </row>
    <row r="111" spans="1:52" s="66" customFormat="1" ht="39.75" customHeight="1" thickBot="1" x14ac:dyDescent="0.2">
      <c r="A111" s="101"/>
      <c r="B111" s="101"/>
      <c r="C111" s="101"/>
      <c r="D111" s="101"/>
      <c r="E111" s="101"/>
      <c r="F111" s="40"/>
      <c r="G111" s="90"/>
      <c r="H111" s="158"/>
      <c r="I111" s="92">
        <v>0.51</v>
      </c>
      <c r="J111" s="41">
        <v>0.49</v>
      </c>
      <c r="K111" s="41"/>
      <c r="L111" s="88"/>
      <c r="M111" s="68"/>
      <c r="N111" s="94">
        <f t="shared" si="24"/>
        <v>1</v>
      </c>
      <c r="O111" s="44">
        <v>1</v>
      </c>
      <c r="P111" s="45">
        <v>15</v>
      </c>
      <c r="Q111" s="46">
        <v>15</v>
      </c>
      <c r="R111" s="46"/>
      <c r="S111" s="46"/>
      <c r="T111" s="70"/>
      <c r="U111" s="71">
        <f t="shared" si="28"/>
        <v>15</v>
      </c>
      <c r="V111" s="72">
        <f t="shared" si="29"/>
        <v>15</v>
      </c>
      <c r="W111" s="99"/>
      <c r="X111" s="100"/>
      <c r="Y111" s="85"/>
      <c r="Z111" s="73"/>
      <c r="AA111" s="74"/>
      <c r="AB111" s="75">
        <f t="shared" si="30"/>
        <v>0</v>
      </c>
      <c r="AC111" s="72">
        <f t="shared" si="31"/>
        <v>0</v>
      </c>
      <c r="AD111" s="52">
        <v>2</v>
      </c>
      <c r="AE111" s="71">
        <f t="shared" si="32"/>
        <v>2</v>
      </c>
      <c r="AF111" s="76"/>
      <c r="AG111" s="86"/>
      <c r="AH111" s="77">
        <f t="shared" si="33"/>
        <v>17</v>
      </c>
      <c r="AI111" s="56">
        <v>10</v>
      </c>
      <c r="AJ111" s="56">
        <v>10</v>
      </c>
      <c r="AK111" s="56">
        <v>45</v>
      </c>
      <c r="AL111" s="57">
        <f t="shared" si="34"/>
        <v>82</v>
      </c>
      <c r="AM111" s="55">
        <f t="shared" si="35"/>
        <v>82</v>
      </c>
      <c r="AN111" s="78">
        <f t="shared" si="36"/>
        <v>1.02</v>
      </c>
      <c r="AO111" s="79"/>
      <c r="AP111" s="80">
        <f t="shared" si="38"/>
        <v>1</v>
      </c>
      <c r="AQ111" s="80">
        <f t="shared" si="38"/>
        <v>2</v>
      </c>
      <c r="AR111" s="61"/>
      <c r="AS111" s="62"/>
      <c r="AT111" s="81"/>
      <c r="AU111" s="81"/>
      <c r="AV111" s="81"/>
      <c r="AW111" s="81"/>
      <c r="AX111" s="82"/>
      <c r="AY111" s="83">
        <f t="shared" si="37"/>
        <v>0</v>
      </c>
      <c r="AZ111" s="83">
        <f t="shared" si="27"/>
        <v>0</v>
      </c>
    </row>
    <row r="112" spans="1:52" s="66" customFormat="1" ht="39.75" customHeight="1" thickBot="1" x14ac:dyDescent="0.2">
      <c r="A112" s="101"/>
      <c r="B112" s="101"/>
      <c r="C112" s="101"/>
      <c r="D112" s="101"/>
      <c r="E112" s="101"/>
      <c r="F112" s="40"/>
      <c r="G112" s="90"/>
      <c r="H112" s="158"/>
      <c r="I112" s="92">
        <v>0.51</v>
      </c>
      <c r="J112" s="41">
        <v>0.49</v>
      </c>
      <c r="K112" s="41"/>
      <c r="L112" s="88"/>
      <c r="M112" s="68"/>
      <c r="N112" s="94">
        <f t="shared" si="24"/>
        <v>1</v>
      </c>
      <c r="O112" s="44">
        <v>1</v>
      </c>
      <c r="P112" s="45">
        <v>15</v>
      </c>
      <c r="Q112" s="46">
        <v>15</v>
      </c>
      <c r="R112" s="46"/>
      <c r="S112" s="46"/>
      <c r="T112" s="70"/>
      <c r="U112" s="71">
        <f t="shared" si="28"/>
        <v>15</v>
      </c>
      <c r="V112" s="72">
        <f t="shared" si="29"/>
        <v>15</v>
      </c>
      <c r="W112" s="99"/>
      <c r="X112" s="100"/>
      <c r="Y112" s="85"/>
      <c r="Z112" s="73"/>
      <c r="AA112" s="74"/>
      <c r="AB112" s="75">
        <f t="shared" si="30"/>
        <v>0</v>
      </c>
      <c r="AC112" s="72">
        <f t="shared" si="31"/>
        <v>0</v>
      </c>
      <c r="AD112" s="52">
        <v>2</v>
      </c>
      <c r="AE112" s="71">
        <f t="shared" si="32"/>
        <v>2</v>
      </c>
      <c r="AF112" s="76"/>
      <c r="AG112" s="86"/>
      <c r="AH112" s="77">
        <f t="shared" si="33"/>
        <v>17</v>
      </c>
      <c r="AI112" s="56">
        <v>10</v>
      </c>
      <c r="AJ112" s="56">
        <v>10</v>
      </c>
      <c r="AK112" s="56">
        <v>45</v>
      </c>
      <c r="AL112" s="57">
        <f t="shared" si="34"/>
        <v>82</v>
      </c>
      <c r="AM112" s="55">
        <f t="shared" si="35"/>
        <v>82</v>
      </c>
      <c r="AN112" s="78">
        <f t="shared" si="36"/>
        <v>1.02</v>
      </c>
      <c r="AO112" s="79"/>
      <c r="AP112" s="80">
        <f t="shared" si="38"/>
        <v>1</v>
      </c>
      <c r="AQ112" s="80">
        <f t="shared" si="38"/>
        <v>2</v>
      </c>
      <c r="AR112" s="61"/>
      <c r="AS112" s="62"/>
      <c r="AT112" s="81"/>
      <c r="AU112" s="81"/>
      <c r="AV112" s="81"/>
      <c r="AW112" s="81"/>
      <c r="AX112" s="82"/>
      <c r="AY112" s="83">
        <f t="shared" si="37"/>
        <v>0</v>
      </c>
      <c r="AZ112" s="83">
        <f t="shared" si="27"/>
        <v>0</v>
      </c>
    </row>
    <row r="113" spans="1:52" s="66" customFormat="1" ht="39.75" customHeight="1" thickBot="1" x14ac:dyDescent="0.2">
      <c r="A113" s="101"/>
      <c r="B113" s="101"/>
      <c r="C113" s="101"/>
      <c r="D113" s="101"/>
      <c r="E113" s="101"/>
      <c r="F113" s="40"/>
      <c r="G113" s="90"/>
      <c r="H113" s="158"/>
      <c r="I113" s="92">
        <v>0.51</v>
      </c>
      <c r="J113" s="41">
        <v>0.49</v>
      </c>
      <c r="K113" s="41"/>
      <c r="L113" s="88"/>
      <c r="M113" s="68"/>
      <c r="N113" s="94">
        <f t="shared" si="24"/>
        <v>1</v>
      </c>
      <c r="O113" s="44">
        <v>1</v>
      </c>
      <c r="P113" s="45">
        <v>15</v>
      </c>
      <c r="Q113" s="46">
        <v>15</v>
      </c>
      <c r="R113" s="46"/>
      <c r="S113" s="46"/>
      <c r="T113" s="70"/>
      <c r="U113" s="71">
        <f t="shared" si="28"/>
        <v>15</v>
      </c>
      <c r="V113" s="72">
        <f t="shared" si="29"/>
        <v>15</v>
      </c>
      <c r="W113" s="99"/>
      <c r="X113" s="100"/>
      <c r="Y113" s="85"/>
      <c r="Z113" s="73"/>
      <c r="AA113" s="74"/>
      <c r="AB113" s="75">
        <f t="shared" si="30"/>
        <v>0</v>
      </c>
      <c r="AC113" s="72">
        <f t="shared" si="31"/>
        <v>0</v>
      </c>
      <c r="AD113" s="52">
        <v>2</v>
      </c>
      <c r="AE113" s="71">
        <f t="shared" si="32"/>
        <v>2</v>
      </c>
      <c r="AF113" s="76"/>
      <c r="AG113" s="86"/>
      <c r="AH113" s="77">
        <f t="shared" si="33"/>
        <v>17</v>
      </c>
      <c r="AI113" s="56">
        <v>10</v>
      </c>
      <c r="AJ113" s="56">
        <v>10</v>
      </c>
      <c r="AK113" s="56">
        <v>45</v>
      </c>
      <c r="AL113" s="57">
        <f t="shared" si="34"/>
        <v>82</v>
      </c>
      <c r="AM113" s="55">
        <f t="shared" si="35"/>
        <v>82</v>
      </c>
      <c r="AN113" s="78">
        <f t="shared" si="36"/>
        <v>1.02</v>
      </c>
      <c r="AO113" s="79"/>
      <c r="AP113" s="80">
        <f t="shared" si="38"/>
        <v>1</v>
      </c>
      <c r="AQ113" s="80">
        <f t="shared" si="38"/>
        <v>2</v>
      </c>
      <c r="AR113" s="61"/>
      <c r="AS113" s="62"/>
      <c r="AT113" s="81"/>
      <c r="AU113" s="81"/>
      <c r="AV113" s="81"/>
      <c r="AW113" s="81"/>
      <c r="AX113" s="82"/>
      <c r="AY113" s="83">
        <f t="shared" si="37"/>
        <v>0</v>
      </c>
      <c r="AZ113" s="83">
        <f t="shared" si="27"/>
        <v>0</v>
      </c>
    </row>
    <row r="114" spans="1:52" s="66" customFormat="1" ht="39.75" customHeight="1" thickBot="1" x14ac:dyDescent="0.2">
      <c r="A114" s="101"/>
      <c r="B114" s="101"/>
      <c r="C114" s="101"/>
      <c r="D114" s="101"/>
      <c r="E114" s="101"/>
      <c r="F114" s="40"/>
      <c r="G114" s="90"/>
      <c r="H114" s="158"/>
      <c r="I114" s="92">
        <v>0.51</v>
      </c>
      <c r="J114" s="41">
        <v>0.49</v>
      </c>
      <c r="K114" s="41"/>
      <c r="L114" s="88"/>
      <c r="M114" s="68"/>
      <c r="N114" s="94">
        <f t="shared" si="24"/>
        <v>1</v>
      </c>
      <c r="O114" s="44">
        <v>1</v>
      </c>
      <c r="P114" s="45">
        <v>15</v>
      </c>
      <c r="Q114" s="46">
        <v>15</v>
      </c>
      <c r="R114" s="46"/>
      <c r="S114" s="46"/>
      <c r="T114" s="70"/>
      <c r="U114" s="71">
        <f t="shared" si="28"/>
        <v>15</v>
      </c>
      <c r="V114" s="72">
        <f t="shared" si="29"/>
        <v>15</v>
      </c>
      <c r="W114" s="99"/>
      <c r="X114" s="100"/>
      <c r="Y114" s="85"/>
      <c r="Z114" s="73"/>
      <c r="AA114" s="74"/>
      <c r="AB114" s="75">
        <f t="shared" si="30"/>
        <v>0</v>
      </c>
      <c r="AC114" s="72">
        <f t="shared" si="31"/>
        <v>0</v>
      </c>
      <c r="AD114" s="52">
        <v>2</v>
      </c>
      <c r="AE114" s="71">
        <f t="shared" si="32"/>
        <v>2</v>
      </c>
      <c r="AF114" s="76"/>
      <c r="AG114" s="86"/>
      <c r="AH114" s="77">
        <f t="shared" si="33"/>
        <v>17</v>
      </c>
      <c r="AI114" s="56">
        <v>10</v>
      </c>
      <c r="AJ114" s="56">
        <v>10</v>
      </c>
      <c r="AK114" s="56">
        <v>45</v>
      </c>
      <c r="AL114" s="57">
        <f t="shared" si="34"/>
        <v>82</v>
      </c>
      <c r="AM114" s="55">
        <f t="shared" si="35"/>
        <v>82</v>
      </c>
      <c r="AN114" s="78">
        <f t="shared" si="36"/>
        <v>1.02</v>
      </c>
      <c r="AO114" s="79"/>
      <c r="AP114" s="80">
        <f t="shared" si="38"/>
        <v>1</v>
      </c>
      <c r="AQ114" s="80">
        <f t="shared" si="38"/>
        <v>2</v>
      </c>
      <c r="AR114" s="61"/>
      <c r="AS114" s="62"/>
      <c r="AT114" s="81"/>
      <c r="AU114" s="81"/>
      <c r="AV114" s="81"/>
      <c r="AW114" s="81"/>
      <c r="AX114" s="82"/>
      <c r="AY114" s="83">
        <f t="shared" si="37"/>
        <v>0</v>
      </c>
      <c r="AZ114" s="83">
        <f t="shared" si="27"/>
        <v>0</v>
      </c>
    </row>
    <row r="115" spans="1:52" s="66" customFormat="1" ht="39.75" customHeight="1" thickBot="1" x14ac:dyDescent="0.2">
      <c r="A115" s="101"/>
      <c r="B115" s="101"/>
      <c r="C115" s="101"/>
      <c r="D115" s="101"/>
      <c r="E115" s="101"/>
      <c r="F115" s="40"/>
      <c r="G115" s="90"/>
      <c r="H115" s="158"/>
      <c r="I115" s="92">
        <v>0.51</v>
      </c>
      <c r="J115" s="41">
        <v>0.49</v>
      </c>
      <c r="K115" s="41"/>
      <c r="L115" s="88"/>
      <c r="M115" s="68"/>
      <c r="N115" s="94">
        <f t="shared" si="24"/>
        <v>1</v>
      </c>
      <c r="O115" s="44">
        <v>1</v>
      </c>
      <c r="P115" s="45">
        <v>15</v>
      </c>
      <c r="Q115" s="46">
        <v>15</v>
      </c>
      <c r="R115" s="46"/>
      <c r="S115" s="46"/>
      <c r="T115" s="70"/>
      <c r="U115" s="71">
        <f t="shared" si="28"/>
        <v>15</v>
      </c>
      <c r="V115" s="72">
        <f t="shared" si="29"/>
        <v>15</v>
      </c>
      <c r="W115" s="99"/>
      <c r="X115" s="100"/>
      <c r="Y115" s="85"/>
      <c r="Z115" s="73"/>
      <c r="AA115" s="74"/>
      <c r="AB115" s="75">
        <f t="shared" si="30"/>
        <v>0</v>
      </c>
      <c r="AC115" s="72">
        <f t="shared" si="31"/>
        <v>0</v>
      </c>
      <c r="AD115" s="52">
        <v>2</v>
      </c>
      <c r="AE115" s="71">
        <f t="shared" si="32"/>
        <v>2</v>
      </c>
      <c r="AF115" s="76"/>
      <c r="AG115" s="86"/>
      <c r="AH115" s="77">
        <f t="shared" si="33"/>
        <v>17</v>
      </c>
      <c r="AI115" s="56">
        <v>10</v>
      </c>
      <c r="AJ115" s="56">
        <v>10</v>
      </c>
      <c r="AK115" s="56">
        <v>45</v>
      </c>
      <c r="AL115" s="57">
        <f t="shared" si="34"/>
        <v>82</v>
      </c>
      <c r="AM115" s="55">
        <f t="shared" si="35"/>
        <v>82</v>
      </c>
      <c r="AN115" s="78">
        <f t="shared" si="36"/>
        <v>1.02</v>
      </c>
      <c r="AO115" s="79"/>
      <c r="AP115" s="80">
        <f t="shared" si="38"/>
        <v>1</v>
      </c>
      <c r="AQ115" s="80">
        <f t="shared" si="38"/>
        <v>2</v>
      </c>
      <c r="AR115" s="61"/>
      <c r="AS115" s="62"/>
      <c r="AT115" s="81"/>
      <c r="AU115" s="81"/>
      <c r="AV115" s="81"/>
      <c r="AW115" s="81"/>
      <c r="AX115" s="82"/>
      <c r="AY115" s="83">
        <f t="shared" si="37"/>
        <v>0</v>
      </c>
      <c r="AZ115" s="83">
        <f t="shared" si="27"/>
        <v>0</v>
      </c>
    </row>
    <row r="116" spans="1:52" s="66" customFormat="1" ht="39.75" customHeight="1" thickBot="1" x14ac:dyDescent="0.2">
      <c r="A116" s="101"/>
      <c r="B116" s="101"/>
      <c r="C116" s="101"/>
      <c r="D116" s="101"/>
      <c r="E116" s="101"/>
      <c r="F116" s="40"/>
      <c r="G116" s="90"/>
      <c r="H116" s="158"/>
      <c r="I116" s="92">
        <v>0.51</v>
      </c>
      <c r="J116" s="41">
        <v>0.49</v>
      </c>
      <c r="K116" s="41"/>
      <c r="L116" s="88"/>
      <c r="M116" s="68"/>
      <c r="N116" s="94">
        <f t="shared" si="24"/>
        <v>1</v>
      </c>
      <c r="O116" s="44">
        <v>1</v>
      </c>
      <c r="P116" s="45">
        <v>15</v>
      </c>
      <c r="Q116" s="46">
        <v>15</v>
      </c>
      <c r="R116" s="46"/>
      <c r="S116" s="46"/>
      <c r="T116" s="70"/>
      <c r="U116" s="71">
        <f t="shared" si="28"/>
        <v>15</v>
      </c>
      <c r="V116" s="72">
        <f t="shared" si="29"/>
        <v>15</v>
      </c>
      <c r="W116" s="99"/>
      <c r="X116" s="100"/>
      <c r="Y116" s="85"/>
      <c r="Z116" s="73"/>
      <c r="AA116" s="74"/>
      <c r="AB116" s="75">
        <f t="shared" si="30"/>
        <v>0</v>
      </c>
      <c r="AC116" s="72">
        <f t="shared" si="31"/>
        <v>0</v>
      </c>
      <c r="AD116" s="52">
        <v>2</v>
      </c>
      <c r="AE116" s="71">
        <f t="shared" si="32"/>
        <v>2</v>
      </c>
      <c r="AF116" s="76"/>
      <c r="AG116" s="86"/>
      <c r="AH116" s="77">
        <f t="shared" si="33"/>
        <v>17</v>
      </c>
      <c r="AI116" s="56">
        <v>10</v>
      </c>
      <c r="AJ116" s="56">
        <v>10</v>
      </c>
      <c r="AK116" s="56">
        <v>45</v>
      </c>
      <c r="AL116" s="57">
        <f t="shared" si="34"/>
        <v>82</v>
      </c>
      <c r="AM116" s="55">
        <f t="shared" si="35"/>
        <v>82</v>
      </c>
      <c r="AN116" s="78">
        <f t="shared" si="36"/>
        <v>1.02</v>
      </c>
      <c r="AO116" s="79"/>
      <c r="AP116" s="80">
        <f t="shared" si="38"/>
        <v>1</v>
      </c>
      <c r="AQ116" s="80">
        <f t="shared" si="38"/>
        <v>2</v>
      </c>
      <c r="AR116" s="61"/>
      <c r="AS116" s="62"/>
      <c r="AT116" s="81"/>
      <c r="AU116" s="81"/>
      <c r="AV116" s="81"/>
      <c r="AW116" s="81"/>
      <c r="AX116" s="82"/>
      <c r="AY116" s="83">
        <f t="shared" si="37"/>
        <v>0</v>
      </c>
      <c r="AZ116" s="83">
        <f t="shared" si="27"/>
        <v>0</v>
      </c>
    </row>
    <row r="117" spans="1:52" s="66" customFormat="1" ht="39.75" customHeight="1" thickBot="1" x14ac:dyDescent="0.2">
      <c r="A117" s="101"/>
      <c r="B117" s="101"/>
      <c r="C117" s="101"/>
      <c r="D117" s="101"/>
      <c r="E117" s="101"/>
      <c r="F117" s="101"/>
      <c r="G117" s="90"/>
      <c r="H117" s="158"/>
      <c r="I117" s="92">
        <v>0.51</v>
      </c>
      <c r="J117" s="41">
        <v>0.49</v>
      </c>
      <c r="K117" s="41"/>
      <c r="L117" s="88"/>
      <c r="M117" s="68"/>
      <c r="N117" s="94">
        <f t="shared" si="24"/>
        <v>1</v>
      </c>
      <c r="O117" s="44">
        <v>1</v>
      </c>
      <c r="P117" s="45">
        <v>15</v>
      </c>
      <c r="Q117" s="46">
        <v>15</v>
      </c>
      <c r="R117" s="46"/>
      <c r="S117" s="46"/>
      <c r="T117" s="70"/>
      <c r="U117" s="71">
        <f t="shared" si="28"/>
        <v>15</v>
      </c>
      <c r="V117" s="72">
        <f t="shared" si="29"/>
        <v>15</v>
      </c>
      <c r="W117" s="99"/>
      <c r="X117" s="100"/>
      <c r="Y117" s="85"/>
      <c r="Z117" s="73"/>
      <c r="AA117" s="74"/>
      <c r="AB117" s="75">
        <f t="shared" si="30"/>
        <v>0</v>
      </c>
      <c r="AC117" s="72">
        <f t="shared" si="31"/>
        <v>0</v>
      </c>
      <c r="AD117" s="52">
        <v>2</v>
      </c>
      <c r="AE117" s="71">
        <f t="shared" si="32"/>
        <v>2</v>
      </c>
      <c r="AF117" s="76"/>
      <c r="AG117" s="86"/>
      <c r="AH117" s="77">
        <f t="shared" si="33"/>
        <v>17</v>
      </c>
      <c r="AI117" s="56">
        <v>10</v>
      </c>
      <c r="AJ117" s="56">
        <v>10</v>
      </c>
      <c r="AK117" s="56">
        <v>45</v>
      </c>
      <c r="AL117" s="57">
        <f t="shared" si="34"/>
        <v>82</v>
      </c>
      <c r="AM117" s="55">
        <f t="shared" si="35"/>
        <v>82</v>
      </c>
      <c r="AN117" s="78">
        <f t="shared" si="36"/>
        <v>1.02</v>
      </c>
      <c r="AO117" s="79"/>
      <c r="AP117" s="80">
        <f t="shared" si="38"/>
        <v>1</v>
      </c>
      <c r="AQ117" s="80">
        <f t="shared" si="38"/>
        <v>2</v>
      </c>
      <c r="AR117" s="61"/>
      <c r="AS117" s="62"/>
      <c r="AT117" s="81"/>
      <c r="AU117" s="81"/>
      <c r="AV117" s="81"/>
      <c r="AW117" s="81"/>
      <c r="AX117" s="82"/>
      <c r="AY117" s="83">
        <f t="shared" si="37"/>
        <v>0</v>
      </c>
      <c r="AZ117" s="83">
        <f t="shared" si="27"/>
        <v>0</v>
      </c>
    </row>
    <row r="118" spans="1:52" s="66" customFormat="1" ht="39.75" customHeight="1" thickBot="1" x14ac:dyDescent="0.2">
      <c r="A118" s="101"/>
      <c r="B118" s="101"/>
      <c r="C118" s="101"/>
      <c r="D118" s="101"/>
      <c r="E118" s="101"/>
      <c r="F118" s="101"/>
      <c r="G118" s="90"/>
      <c r="H118" s="158"/>
      <c r="I118" s="92">
        <v>0.51</v>
      </c>
      <c r="J118" s="41">
        <v>0.49</v>
      </c>
      <c r="K118" s="41"/>
      <c r="L118" s="88"/>
      <c r="M118" s="68"/>
      <c r="N118" s="94">
        <f t="shared" si="24"/>
        <v>1</v>
      </c>
      <c r="O118" s="44">
        <v>1</v>
      </c>
      <c r="P118" s="45">
        <v>15</v>
      </c>
      <c r="Q118" s="46">
        <v>15</v>
      </c>
      <c r="R118" s="46"/>
      <c r="S118" s="46"/>
      <c r="T118" s="70"/>
      <c r="U118" s="71">
        <f t="shared" si="28"/>
        <v>15</v>
      </c>
      <c r="V118" s="72">
        <f t="shared" si="29"/>
        <v>15</v>
      </c>
      <c r="W118" s="99"/>
      <c r="X118" s="100"/>
      <c r="Y118" s="85"/>
      <c r="Z118" s="73"/>
      <c r="AA118" s="74"/>
      <c r="AB118" s="75">
        <f t="shared" si="30"/>
        <v>0</v>
      </c>
      <c r="AC118" s="72">
        <f t="shared" si="31"/>
        <v>0</v>
      </c>
      <c r="AD118" s="52">
        <v>2</v>
      </c>
      <c r="AE118" s="71">
        <f t="shared" si="32"/>
        <v>2</v>
      </c>
      <c r="AF118" s="76"/>
      <c r="AG118" s="86"/>
      <c r="AH118" s="77">
        <f t="shared" si="33"/>
        <v>17</v>
      </c>
      <c r="AI118" s="56">
        <v>10</v>
      </c>
      <c r="AJ118" s="56">
        <v>10</v>
      </c>
      <c r="AK118" s="56">
        <v>45</v>
      </c>
      <c r="AL118" s="57">
        <f t="shared" si="34"/>
        <v>82</v>
      </c>
      <c r="AM118" s="55">
        <f t="shared" si="35"/>
        <v>82</v>
      </c>
      <c r="AN118" s="78">
        <f t="shared" si="36"/>
        <v>1.02</v>
      </c>
      <c r="AO118" s="79"/>
      <c r="AP118" s="80">
        <f t="shared" si="38"/>
        <v>1</v>
      </c>
      <c r="AQ118" s="80">
        <f t="shared" si="38"/>
        <v>2</v>
      </c>
      <c r="AR118" s="61"/>
      <c r="AS118" s="62"/>
      <c r="AT118" s="81"/>
      <c r="AU118" s="81"/>
      <c r="AV118" s="81"/>
      <c r="AW118" s="81"/>
      <c r="AX118" s="82"/>
      <c r="AY118" s="83">
        <f t="shared" si="37"/>
        <v>0</v>
      </c>
      <c r="AZ118" s="83">
        <f t="shared" si="27"/>
        <v>0</v>
      </c>
    </row>
    <row r="119" spans="1:52" s="23" customFormat="1" ht="39.75" customHeight="1" thickBot="1" x14ac:dyDescent="0.2">
      <c r="A119" s="101"/>
      <c r="B119" s="101"/>
      <c r="C119" s="101"/>
      <c r="D119" s="101"/>
      <c r="E119" s="101"/>
      <c r="F119" s="101"/>
      <c r="G119" s="90"/>
      <c r="H119" s="158"/>
      <c r="I119" s="92">
        <v>0.51</v>
      </c>
      <c r="J119" s="41">
        <v>0.49</v>
      </c>
      <c r="K119" s="41"/>
      <c r="L119" s="88"/>
      <c r="M119" s="68"/>
      <c r="N119" s="94">
        <f t="shared" si="24"/>
        <v>1</v>
      </c>
      <c r="O119" s="44">
        <v>1</v>
      </c>
      <c r="P119" s="45">
        <v>15</v>
      </c>
      <c r="Q119" s="46">
        <v>15</v>
      </c>
      <c r="R119" s="46"/>
      <c r="S119" s="46"/>
      <c r="T119" s="70"/>
      <c r="U119" s="71">
        <f t="shared" si="28"/>
        <v>15</v>
      </c>
      <c r="V119" s="72">
        <f t="shared" si="29"/>
        <v>15</v>
      </c>
      <c r="W119" s="99"/>
      <c r="X119" s="100"/>
      <c r="Y119" s="85"/>
      <c r="Z119" s="73"/>
      <c r="AA119" s="74"/>
      <c r="AB119" s="75">
        <f t="shared" si="30"/>
        <v>0</v>
      </c>
      <c r="AC119" s="72">
        <f t="shared" si="31"/>
        <v>0</v>
      </c>
      <c r="AD119" s="52">
        <v>2</v>
      </c>
      <c r="AE119" s="71">
        <f t="shared" si="32"/>
        <v>2</v>
      </c>
      <c r="AF119" s="76"/>
      <c r="AG119" s="86"/>
      <c r="AH119" s="77">
        <f t="shared" si="33"/>
        <v>17</v>
      </c>
      <c r="AI119" s="56">
        <v>10</v>
      </c>
      <c r="AJ119" s="56">
        <v>10</v>
      </c>
      <c r="AK119" s="56">
        <v>45</v>
      </c>
      <c r="AL119" s="57">
        <f t="shared" si="34"/>
        <v>82</v>
      </c>
      <c r="AM119" s="55">
        <f t="shared" si="35"/>
        <v>82</v>
      </c>
      <c r="AN119" s="78">
        <f t="shared" si="36"/>
        <v>1.02</v>
      </c>
      <c r="AO119" s="79"/>
      <c r="AP119" s="80">
        <f t="shared" si="38"/>
        <v>1</v>
      </c>
      <c r="AQ119" s="80">
        <f t="shared" si="38"/>
        <v>2</v>
      </c>
      <c r="AR119" s="61"/>
      <c r="AS119" s="62"/>
      <c r="AT119" s="81"/>
      <c r="AU119" s="81"/>
      <c r="AV119" s="81"/>
      <c r="AW119" s="81"/>
      <c r="AX119" s="82"/>
      <c r="AY119" s="83">
        <f t="shared" si="37"/>
        <v>0</v>
      </c>
      <c r="AZ119" s="83">
        <f t="shared" si="27"/>
        <v>0</v>
      </c>
    </row>
    <row r="120" spans="1:52" s="66" customFormat="1" ht="39.75" customHeight="1" thickBot="1" x14ac:dyDescent="0.2">
      <c r="A120" s="101"/>
      <c r="B120" s="101"/>
      <c r="C120" s="101"/>
      <c r="D120" s="101"/>
      <c r="E120" s="101"/>
      <c r="F120" s="101"/>
      <c r="G120" s="90"/>
      <c r="H120" s="158"/>
      <c r="I120" s="92">
        <v>0.51</v>
      </c>
      <c r="J120" s="41">
        <v>0.49</v>
      </c>
      <c r="K120" s="41"/>
      <c r="L120" s="88"/>
      <c r="M120" s="68"/>
      <c r="N120" s="94">
        <f t="shared" si="24"/>
        <v>1</v>
      </c>
      <c r="O120" s="44">
        <v>1</v>
      </c>
      <c r="P120" s="45">
        <v>15</v>
      </c>
      <c r="Q120" s="46">
        <v>15</v>
      </c>
      <c r="R120" s="46"/>
      <c r="S120" s="46"/>
      <c r="T120" s="70"/>
      <c r="U120" s="71">
        <f t="shared" si="28"/>
        <v>15</v>
      </c>
      <c r="V120" s="72">
        <f t="shared" si="29"/>
        <v>15</v>
      </c>
      <c r="W120" s="99"/>
      <c r="X120" s="100"/>
      <c r="Y120" s="85"/>
      <c r="Z120" s="73"/>
      <c r="AA120" s="74"/>
      <c r="AB120" s="75">
        <f t="shared" si="30"/>
        <v>0</v>
      </c>
      <c r="AC120" s="72">
        <f t="shared" si="31"/>
        <v>0</v>
      </c>
      <c r="AD120" s="52">
        <v>2</v>
      </c>
      <c r="AE120" s="71">
        <f t="shared" si="32"/>
        <v>2</v>
      </c>
      <c r="AF120" s="76"/>
      <c r="AG120" s="86"/>
      <c r="AH120" s="77">
        <f t="shared" si="33"/>
        <v>17</v>
      </c>
      <c r="AI120" s="56">
        <v>10</v>
      </c>
      <c r="AJ120" s="56">
        <v>10</v>
      </c>
      <c r="AK120" s="56">
        <v>45</v>
      </c>
      <c r="AL120" s="57">
        <f t="shared" si="34"/>
        <v>82</v>
      </c>
      <c r="AM120" s="55">
        <f t="shared" si="35"/>
        <v>82</v>
      </c>
      <c r="AN120" s="78">
        <f t="shared" si="36"/>
        <v>1.02</v>
      </c>
      <c r="AO120" s="79"/>
      <c r="AP120" s="80">
        <f t="shared" si="38"/>
        <v>1</v>
      </c>
      <c r="AQ120" s="80">
        <f t="shared" si="38"/>
        <v>2</v>
      </c>
      <c r="AR120" s="61"/>
      <c r="AS120" s="62"/>
      <c r="AT120" s="81"/>
      <c r="AU120" s="81"/>
      <c r="AV120" s="81"/>
      <c r="AW120" s="81"/>
      <c r="AX120" s="82"/>
      <c r="AY120" s="83">
        <f t="shared" si="37"/>
        <v>0</v>
      </c>
      <c r="AZ120" s="83">
        <f t="shared" si="27"/>
        <v>0</v>
      </c>
    </row>
    <row r="121" spans="1:52" s="66" customFormat="1" ht="39.75" customHeight="1" thickBot="1" x14ac:dyDescent="0.2">
      <c r="A121" s="101"/>
      <c r="B121" s="101"/>
      <c r="C121" s="101"/>
      <c r="D121" s="101"/>
      <c r="E121" s="101"/>
      <c r="F121" s="101"/>
      <c r="G121" s="90"/>
      <c r="H121" s="158"/>
      <c r="I121" s="92">
        <v>0.51</v>
      </c>
      <c r="J121" s="41">
        <v>0.49</v>
      </c>
      <c r="K121" s="41"/>
      <c r="L121" s="88"/>
      <c r="M121" s="68"/>
      <c r="N121" s="94">
        <f t="shared" si="24"/>
        <v>1</v>
      </c>
      <c r="O121" s="44">
        <v>1</v>
      </c>
      <c r="P121" s="45">
        <v>15</v>
      </c>
      <c r="Q121" s="46">
        <v>15</v>
      </c>
      <c r="R121" s="46"/>
      <c r="S121" s="46"/>
      <c r="T121" s="70"/>
      <c r="U121" s="71">
        <f t="shared" si="28"/>
        <v>15</v>
      </c>
      <c r="V121" s="72">
        <f t="shared" si="29"/>
        <v>15</v>
      </c>
      <c r="W121" s="99"/>
      <c r="X121" s="100"/>
      <c r="Y121" s="85"/>
      <c r="Z121" s="73"/>
      <c r="AA121" s="74"/>
      <c r="AB121" s="75">
        <f t="shared" si="30"/>
        <v>0</v>
      </c>
      <c r="AC121" s="72">
        <f t="shared" si="31"/>
        <v>0</v>
      </c>
      <c r="AD121" s="52">
        <v>2</v>
      </c>
      <c r="AE121" s="71">
        <f t="shared" si="32"/>
        <v>2</v>
      </c>
      <c r="AF121" s="76"/>
      <c r="AG121" s="86"/>
      <c r="AH121" s="77">
        <f t="shared" si="33"/>
        <v>17</v>
      </c>
      <c r="AI121" s="56">
        <v>10</v>
      </c>
      <c r="AJ121" s="56">
        <v>10</v>
      </c>
      <c r="AK121" s="56">
        <v>45</v>
      </c>
      <c r="AL121" s="57">
        <f t="shared" si="34"/>
        <v>82</v>
      </c>
      <c r="AM121" s="55">
        <f t="shared" si="35"/>
        <v>82</v>
      </c>
      <c r="AN121" s="78">
        <f t="shared" si="36"/>
        <v>1.02</v>
      </c>
      <c r="AO121" s="79"/>
      <c r="AP121" s="80">
        <f t="shared" ref="AP121:AQ140" si="39">100%+AO121</f>
        <v>1</v>
      </c>
      <c r="AQ121" s="80">
        <f t="shared" si="39"/>
        <v>2</v>
      </c>
      <c r="AR121" s="61"/>
      <c r="AS121" s="62"/>
      <c r="AT121" s="81"/>
      <c r="AU121" s="81"/>
      <c r="AV121" s="81"/>
      <c r="AW121" s="81"/>
      <c r="AX121" s="82"/>
      <c r="AY121" s="83">
        <f t="shared" si="37"/>
        <v>0</v>
      </c>
      <c r="AZ121" s="83">
        <f t="shared" si="27"/>
        <v>0</v>
      </c>
    </row>
    <row r="122" spans="1:52" s="23" customFormat="1" ht="39.75" customHeight="1" thickBot="1" x14ac:dyDescent="0.2">
      <c r="A122" s="101"/>
      <c r="B122" s="101"/>
      <c r="C122" s="101"/>
      <c r="D122" s="101"/>
      <c r="E122" s="101"/>
      <c r="F122" s="101"/>
      <c r="G122" s="90"/>
      <c r="H122" s="158"/>
      <c r="I122" s="92">
        <v>0.51</v>
      </c>
      <c r="J122" s="41">
        <v>0.49</v>
      </c>
      <c r="K122" s="41"/>
      <c r="L122" s="88"/>
      <c r="M122" s="68"/>
      <c r="N122" s="94">
        <f t="shared" si="24"/>
        <v>1</v>
      </c>
      <c r="O122" s="44">
        <v>1</v>
      </c>
      <c r="P122" s="45">
        <v>15</v>
      </c>
      <c r="Q122" s="46">
        <v>15</v>
      </c>
      <c r="R122" s="46"/>
      <c r="S122" s="46"/>
      <c r="T122" s="70"/>
      <c r="U122" s="71">
        <f t="shared" si="28"/>
        <v>15</v>
      </c>
      <c r="V122" s="72">
        <f t="shared" si="29"/>
        <v>15</v>
      </c>
      <c r="W122" s="99"/>
      <c r="X122" s="100"/>
      <c r="Y122" s="85"/>
      <c r="Z122" s="73"/>
      <c r="AA122" s="74"/>
      <c r="AB122" s="75">
        <f t="shared" si="30"/>
        <v>0</v>
      </c>
      <c r="AC122" s="72">
        <f t="shared" si="31"/>
        <v>0</v>
      </c>
      <c r="AD122" s="52">
        <v>2</v>
      </c>
      <c r="AE122" s="71">
        <f t="shared" si="32"/>
        <v>2</v>
      </c>
      <c r="AF122" s="76"/>
      <c r="AG122" s="86"/>
      <c r="AH122" s="77">
        <f t="shared" si="33"/>
        <v>17</v>
      </c>
      <c r="AI122" s="56">
        <v>10</v>
      </c>
      <c r="AJ122" s="56">
        <v>10</v>
      </c>
      <c r="AK122" s="56">
        <v>45</v>
      </c>
      <c r="AL122" s="57">
        <f t="shared" si="34"/>
        <v>82</v>
      </c>
      <c r="AM122" s="55">
        <f t="shared" si="35"/>
        <v>82</v>
      </c>
      <c r="AN122" s="78">
        <f t="shared" si="36"/>
        <v>1.02</v>
      </c>
      <c r="AO122" s="79"/>
      <c r="AP122" s="80">
        <f t="shared" si="39"/>
        <v>1</v>
      </c>
      <c r="AQ122" s="80">
        <f t="shared" si="39"/>
        <v>2</v>
      </c>
      <c r="AR122" s="61"/>
      <c r="AS122" s="62"/>
      <c r="AT122" s="81"/>
      <c r="AU122" s="81"/>
      <c r="AV122" s="81"/>
      <c r="AW122" s="81"/>
      <c r="AX122" s="82"/>
      <c r="AY122" s="83">
        <f t="shared" si="37"/>
        <v>0</v>
      </c>
      <c r="AZ122" s="83">
        <f t="shared" si="27"/>
        <v>0</v>
      </c>
    </row>
    <row r="123" spans="1:52" s="66" customFormat="1" ht="39.75" customHeight="1" thickBot="1" x14ac:dyDescent="0.2">
      <c r="A123" s="101"/>
      <c r="B123" s="101"/>
      <c r="C123" s="101"/>
      <c r="D123" s="101"/>
      <c r="E123" s="101"/>
      <c r="F123" s="101"/>
      <c r="G123" s="90"/>
      <c r="H123" s="158"/>
      <c r="I123" s="92">
        <v>0.51</v>
      </c>
      <c r="J123" s="41">
        <v>0.49</v>
      </c>
      <c r="K123" s="41"/>
      <c r="L123" s="88"/>
      <c r="M123" s="68"/>
      <c r="N123" s="94">
        <f t="shared" si="24"/>
        <v>1</v>
      </c>
      <c r="O123" s="44">
        <v>1</v>
      </c>
      <c r="P123" s="45">
        <v>15</v>
      </c>
      <c r="Q123" s="46">
        <v>15</v>
      </c>
      <c r="R123" s="46"/>
      <c r="S123" s="46"/>
      <c r="T123" s="70"/>
      <c r="U123" s="71">
        <f t="shared" si="28"/>
        <v>15</v>
      </c>
      <c r="V123" s="72">
        <f t="shared" si="29"/>
        <v>15</v>
      </c>
      <c r="W123" s="99"/>
      <c r="X123" s="100"/>
      <c r="Y123" s="85"/>
      <c r="Z123" s="73"/>
      <c r="AA123" s="74"/>
      <c r="AB123" s="75">
        <f t="shared" si="30"/>
        <v>0</v>
      </c>
      <c r="AC123" s="72">
        <f t="shared" si="31"/>
        <v>0</v>
      </c>
      <c r="AD123" s="52">
        <v>2</v>
      </c>
      <c r="AE123" s="71">
        <f t="shared" si="32"/>
        <v>2</v>
      </c>
      <c r="AF123" s="76"/>
      <c r="AG123" s="86"/>
      <c r="AH123" s="77">
        <f t="shared" si="33"/>
        <v>17</v>
      </c>
      <c r="AI123" s="56">
        <v>10</v>
      </c>
      <c r="AJ123" s="56">
        <v>10</v>
      </c>
      <c r="AK123" s="56">
        <v>45</v>
      </c>
      <c r="AL123" s="57">
        <f t="shared" si="34"/>
        <v>82</v>
      </c>
      <c r="AM123" s="55">
        <f t="shared" si="35"/>
        <v>82</v>
      </c>
      <c r="AN123" s="78">
        <f t="shared" si="36"/>
        <v>1.02</v>
      </c>
      <c r="AO123" s="79"/>
      <c r="AP123" s="80">
        <f t="shared" si="39"/>
        <v>1</v>
      </c>
      <c r="AQ123" s="80">
        <f t="shared" si="39"/>
        <v>2</v>
      </c>
      <c r="AR123" s="61"/>
      <c r="AS123" s="62"/>
      <c r="AT123" s="81"/>
      <c r="AU123" s="81"/>
      <c r="AV123" s="81"/>
      <c r="AW123" s="81"/>
      <c r="AX123" s="82"/>
      <c r="AY123" s="83">
        <f t="shared" si="37"/>
        <v>0</v>
      </c>
      <c r="AZ123" s="83">
        <f t="shared" si="27"/>
        <v>0</v>
      </c>
    </row>
    <row r="124" spans="1:52" s="66" customFormat="1" ht="39.75" customHeight="1" thickBot="1" x14ac:dyDescent="0.2">
      <c r="A124" s="101"/>
      <c r="B124" s="101"/>
      <c r="C124" s="101"/>
      <c r="D124" s="101"/>
      <c r="E124" s="101"/>
      <c r="F124" s="101"/>
      <c r="G124" s="90"/>
      <c r="H124" s="158"/>
      <c r="I124" s="92">
        <v>0.51</v>
      </c>
      <c r="J124" s="41">
        <v>0.49</v>
      </c>
      <c r="K124" s="41"/>
      <c r="L124" s="88"/>
      <c r="M124" s="68"/>
      <c r="N124" s="94">
        <f t="shared" si="24"/>
        <v>1</v>
      </c>
      <c r="O124" s="44">
        <v>1</v>
      </c>
      <c r="P124" s="45">
        <v>15</v>
      </c>
      <c r="Q124" s="46">
        <v>15</v>
      </c>
      <c r="R124" s="46"/>
      <c r="S124" s="46"/>
      <c r="T124" s="70"/>
      <c r="U124" s="71">
        <f t="shared" si="28"/>
        <v>15</v>
      </c>
      <c r="V124" s="72">
        <f t="shared" si="29"/>
        <v>15</v>
      </c>
      <c r="W124" s="99"/>
      <c r="X124" s="100"/>
      <c r="Y124" s="85"/>
      <c r="Z124" s="73"/>
      <c r="AA124" s="74"/>
      <c r="AB124" s="75">
        <f t="shared" si="30"/>
        <v>0</v>
      </c>
      <c r="AC124" s="72">
        <f t="shared" si="31"/>
        <v>0</v>
      </c>
      <c r="AD124" s="52">
        <v>2</v>
      </c>
      <c r="AE124" s="71">
        <f t="shared" si="32"/>
        <v>2</v>
      </c>
      <c r="AF124" s="76"/>
      <c r="AG124" s="86"/>
      <c r="AH124" s="77">
        <f t="shared" si="33"/>
        <v>17</v>
      </c>
      <c r="AI124" s="56">
        <v>10</v>
      </c>
      <c r="AJ124" s="56">
        <v>10</v>
      </c>
      <c r="AK124" s="56">
        <v>45</v>
      </c>
      <c r="AL124" s="57">
        <f t="shared" si="34"/>
        <v>82</v>
      </c>
      <c r="AM124" s="55">
        <f t="shared" si="35"/>
        <v>82</v>
      </c>
      <c r="AN124" s="78">
        <f t="shared" si="36"/>
        <v>1.02</v>
      </c>
      <c r="AO124" s="79"/>
      <c r="AP124" s="80">
        <f t="shared" si="39"/>
        <v>1</v>
      </c>
      <c r="AQ124" s="80">
        <f t="shared" si="39"/>
        <v>2</v>
      </c>
      <c r="AR124" s="61"/>
      <c r="AS124" s="62"/>
      <c r="AT124" s="81"/>
      <c r="AU124" s="81"/>
      <c r="AV124" s="81"/>
      <c r="AW124" s="81"/>
      <c r="AX124" s="82"/>
      <c r="AY124" s="83">
        <f t="shared" si="37"/>
        <v>0</v>
      </c>
      <c r="AZ124" s="83">
        <f t="shared" si="27"/>
        <v>0</v>
      </c>
    </row>
    <row r="125" spans="1:52" s="66" customFormat="1" ht="39.75" customHeight="1" thickBot="1" x14ac:dyDescent="0.2">
      <c r="A125" s="101"/>
      <c r="B125" s="101"/>
      <c r="C125" s="101"/>
      <c r="D125" s="101"/>
      <c r="E125" s="101"/>
      <c r="F125" s="101"/>
      <c r="G125" s="90"/>
      <c r="H125" s="158"/>
      <c r="I125" s="92">
        <v>0.51</v>
      </c>
      <c r="J125" s="41">
        <v>0.49</v>
      </c>
      <c r="K125" s="41"/>
      <c r="L125" s="88"/>
      <c r="M125" s="68"/>
      <c r="N125" s="94">
        <f t="shared" ref="N125:N148" si="40">SUM(I125:M125)</f>
        <v>1</v>
      </c>
      <c r="O125" s="44">
        <v>1</v>
      </c>
      <c r="P125" s="45">
        <v>15</v>
      </c>
      <c r="Q125" s="46">
        <v>15</v>
      </c>
      <c r="R125" s="46"/>
      <c r="S125" s="46"/>
      <c r="T125" s="70"/>
      <c r="U125" s="71">
        <f t="shared" si="28"/>
        <v>15</v>
      </c>
      <c r="V125" s="72">
        <f t="shared" si="29"/>
        <v>15</v>
      </c>
      <c r="W125" s="99"/>
      <c r="X125" s="100"/>
      <c r="Y125" s="85"/>
      <c r="Z125" s="73"/>
      <c r="AA125" s="74"/>
      <c r="AB125" s="75">
        <f t="shared" si="30"/>
        <v>0</v>
      </c>
      <c r="AC125" s="72">
        <f t="shared" si="31"/>
        <v>0</v>
      </c>
      <c r="AD125" s="52">
        <v>2</v>
      </c>
      <c r="AE125" s="71">
        <f t="shared" si="32"/>
        <v>2</v>
      </c>
      <c r="AF125" s="76"/>
      <c r="AG125" s="86"/>
      <c r="AH125" s="77">
        <f t="shared" si="33"/>
        <v>17</v>
      </c>
      <c r="AI125" s="56">
        <v>10</v>
      </c>
      <c r="AJ125" s="56">
        <v>10</v>
      </c>
      <c r="AK125" s="56">
        <v>45</v>
      </c>
      <c r="AL125" s="57">
        <f t="shared" si="34"/>
        <v>82</v>
      </c>
      <c r="AM125" s="55">
        <f t="shared" si="35"/>
        <v>82</v>
      </c>
      <c r="AN125" s="78">
        <f t="shared" si="36"/>
        <v>1.02</v>
      </c>
      <c r="AO125" s="79"/>
      <c r="AP125" s="80">
        <f t="shared" si="39"/>
        <v>1</v>
      </c>
      <c r="AQ125" s="80">
        <f t="shared" si="39"/>
        <v>2</v>
      </c>
      <c r="AR125" s="61"/>
      <c r="AS125" s="62"/>
      <c r="AT125" s="81"/>
      <c r="AU125" s="81"/>
      <c r="AV125" s="81"/>
      <c r="AW125" s="81"/>
      <c r="AX125" s="82"/>
      <c r="AY125" s="83">
        <f t="shared" si="37"/>
        <v>0</v>
      </c>
      <c r="AZ125" s="83">
        <f t="shared" si="27"/>
        <v>0</v>
      </c>
    </row>
    <row r="126" spans="1:52" s="66" customFormat="1" ht="39.75" customHeight="1" thickBot="1" x14ac:dyDescent="0.2">
      <c r="A126" s="101"/>
      <c r="B126" s="101"/>
      <c r="C126" s="101"/>
      <c r="D126" s="101"/>
      <c r="E126" s="101"/>
      <c r="F126" s="101"/>
      <c r="G126" s="90"/>
      <c r="H126" s="158"/>
      <c r="I126" s="92">
        <v>0.51</v>
      </c>
      <c r="J126" s="41">
        <v>0.49</v>
      </c>
      <c r="K126" s="41"/>
      <c r="L126" s="88"/>
      <c r="M126" s="68"/>
      <c r="N126" s="94">
        <f t="shared" si="40"/>
        <v>1</v>
      </c>
      <c r="O126" s="44">
        <v>1</v>
      </c>
      <c r="P126" s="45">
        <v>15</v>
      </c>
      <c r="Q126" s="46">
        <v>15</v>
      </c>
      <c r="R126" s="46"/>
      <c r="S126" s="46"/>
      <c r="T126" s="70"/>
      <c r="U126" s="71">
        <f t="shared" si="28"/>
        <v>15</v>
      </c>
      <c r="V126" s="72">
        <f t="shared" si="29"/>
        <v>15</v>
      </c>
      <c r="W126" s="99"/>
      <c r="X126" s="100"/>
      <c r="Y126" s="85"/>
      <c r="Z126" s="73"/>
      <c r="AA126" s="74"/>
      <c r="AB126" s="75">
        <f t="shared" si="30"/>
        <v>0</v>
      </c>
      <c r="AC126" s="72">
        <f t="shared" si="31"/>
        <v>0</v>
      </c>
      <c r="AD126" s="52">
        <v>2</v>
      </c>
      <c r="AE126" s="71">
        <f t="shared" si="32"/>
        <v>2</v>
      </c>
      <c r="AF126" s="76"/>
      <c r="AG126" s="86"/>
      <c r="AH126" s="77">
        <f t="shared" si="33"/>
        <v>17</v>
      </c>
      <c r="AI126" s="56">
        <v>10</v>
      </c>
      <c r="AJ126" s="56">
        <v>10</v>
      </c>
      <c r="AK126" s="56">
        <v>45</v>
      </c>
      <c r="AL126" s="57">
        <f t="shared" si="34"/>
        <v>82</v>
      </c>
      <c r="AM126" s="55">
        <f t="shared" si="35"/>
        <v>82</v>
      </c>
      <c r="AN126" s="78">
        <f t="shared" si="36"/>
        <v>1.02</v>
      </c>
      <c r="AO126" s="79"/>
      <c r="AP126" s="80">
        <f t="shared" si="39"/>
        <v>1</v>
      </c>
      <c r="AQ126" s="80">
        <f t="shared" si="39"/>
        <v>2</v>
      </c>
      <c r="AR126" s="61"/>
      <c r="AS126" s="62"/>
      <c r="AT126" s="81"/>
      <c r="AU126" s="81"/>
      <c r="AV126" s="81"/>
      <c r="AW126" s="81"/>
      <c r="AX126" s="82"/>
      <c r="AY126" s="83">
        <f t="shared" si="37"/>
        <v>0</v>
      </c>
      <c r="AZ126" s="83">
        <f t="shared" si="27"/>
        <v>0</v>
      </c>
    </row>
    <row r="127" spans="1:52" s="66" customFormat="1" ht="39.75" customHeight="1" thickBot="1" x14ac:dyDescent="0.2">
      <c r="A127" s="101"/>
      <c r="B127" s="101"/>
      <c r="C127" s="101"/>
      <c r="D127" s="101"/>
      <c r="E127" s="101"/>
      <c r="F127" s="101"/>
      <c r="G127" s="90"/>
      <c r="H127" s="158"/>
      <c r="I127" s="92">
        <v>0.51</v>
      </c>
      <c r="J127" s="41">
        <v>0.49</v>
      </c>
      <c r="K127" s="41"/>
      <c r="L127" s="88"/>
      <c r="M127" s="68"/>
      <c r="N127" s="94">
        <f t="shared" si="40"/>
        <v>1</v>
      </c>
      <c r="O127" s="44">
        <v>1</v>
      </c>
      <c r="P127" s="45">
        <v>15</v>
      </c>
      <c r="Q127" s="46">
        <v>15</v>
      </c>
      <c r="R127" s="46"/>
      <c r="S127" s="46"/>
      <c r="T127" s="70"/>
      <c r="U127" s="71">
        <f t="shared" si="28"/>
        <v>15</v>
      </c>
      <c r="V127" s="72">
        <f t="shared" si="29"/>
        <v>15</v>
      </c>
      <c r="W127" s="99"/>
      <c r="X127" s="100"/>
      <c r="Y127" s="85"/>
      <c r="Z127" s="73"/>
      <c r="AA127" s="74"/>
      <c r="AB127" s="75">
        <f t="shared" si="30"/>
        <v>0</v>
      </c>
      <c r="AC127" s="72">
        <f t="shared" si="31"/>
        <v>0</v>
      </c>
      <c r="AD127" s="52">
        <v>2</v>
      </c>
      <c r="AE127" s="71">
        <f t="shared" si="32"/>
        <v>2</v>
      </c>
      <c r="AF127" s="76"/>
      <c r="AG127" s="86"/>
      <c r="AH127" s="77">
        <f t="shared" si="33"/>
        <v>17</v>
      </c>
      <c r="AI127" s="56">
        <v>10</v>
      </c>
      <c r="AJ127" s="56">
        <v>10</v>
      </c>
      <c r="AK127" s="56">
        <v>45</v>
      </c>
      <c r="AL127" s="57">
        <f t="shared" si="34"/>
        <v>82</v>
      </c>
      <c r="AM127" s="55">
        <f t="shared" si="35"/>
        <v>82</v>
      </c>
      <c r="AN127" s="78">
        <f t="shared" si="36"/>
        <v>1.02</v>
      </c>
      <c r="AO127" s="79"/>
      <c r="AP127" s="80">
        <f t="shared" si="39"/>
        <v>1</v>
      </c>
      <c r="AQ127" s="80">
        <f t="shared" si="39"/>
        <v>2</v>
      </c>
      <c r="AR127" s="61"/>
      <c r="AS127" s="62"/>
      <c r="AT127" s="81"/>
      <c r="AU127" s="81"/>
      <c r="AV127" s="81"/>
      <c r="AW127" s="81"/>
      <c r="AX127" s="82"/>
      <c r="AY127" s="83">
        <f t="shared" si="37"/>
        <v>0</v>
      </c>
      <c r="AZ127" s="83">
        <f t="shared" si="27"/>
        <v>0</v>
      </c>
    </row>
    <row r="128" spans="1:52" s="66" customFormat="1" ht="39.75" customHeight="1" thickBot="1" x14ac:dyDescent="0.2">
      <c r="A128" s="101"/>
      <c r="B128" s="101"/>
      <c r="C128" s="101"/>
      <c r="D128" s="101"/>
      <c r="E128" s="101"/>
      <c r="F128" s="101"/>
      <c r="G128" s="90"/>
      <c r="H128" s="158"/>
      <c r="I128" s="92">
        <v>0.51</v>
      </c>
      <c r="J128" s="41">
        <v>0.49</v>
      </c>
      <c r="K128" s="41"/>
      <c r="L128" s="41"/>
      <c r="M128" s="93"/>
      <c r="N128" s="94">
        <f t="shared" si="40"/>
        <v>1</v>
      </c>
      <c r="O128" s="44">
        <v>1</v>
      </c>
      <c r="P128" s="45">
        <v>15</v>
      </c>
      <c r="Q128" s="46">
        <v>15</v>
      </c>
      <c r="R128" s="46"/>
      <c r="S128" s="46"/>
      <c r="T128" s="70"/>
      <c r="U128" s="71">
        <f t="shared" si="28"/>
        <v>15</v>
      </c>
      <c r="V128" s="72">
        <f t="shared" si="29"/>
        <v>15</v>
      </c>
      <c r="W128" s="99"/>
      <c r="X128" s="100"/>
      <c r="Y128" s="85"/>
      <c r="Z128" s="73"/>
      <c r="AA128" s="74"/>
      <c r="AB128" s="75">
        <f t="shared" si="30"/>
        <v>0</v>
      </c>
      <c r="AC128" s="72">
        <f t="shared" si="31"/>
        <v>0</v>
      </c>
      <c r="AD128" s="52">
        <v>2</v>
      </c>
      <c r="AE128" s="71">
        <f t="shared" si="32"/>
        <v>2</v>
      </c>
      <c r="AF128" s="76"/>
      <c r="AG128" s="86"/>
      <c r="AH128" s="77">
        <f t="shared" si="33"/>
        <v>17</v>
      </c>
      <c r="AI128" s="56">
        <v>10</v>
      </c>
      <c r="AJ128" s="56">
        <v>10</v>
      </c>
      <c r="AK128" s="56">
        <v>45</v>
      </c>
      <c r="AL128" s="57">
        <f t="shared" si="34"/>
        <v>82</v>
      </c>
      <c r="AM128" s="55">
        <f t="shared" si="35"/>
        <v>82</v>
      </c>
      <c r="AN128" s="78">
        <f t="shared" si="36"/>
        <v>1.02</v>
      </c>
      <c r="AO128" s="79"/>
      <c r="AP128" s="80">
        <f t="shared" si="39"/>
        <v>1</v>
      </c>
      <c r="AQ128" s="80">
        <f t="shared" si="39"/>
        <v>2</v>
      </c>
      <c r="AR128" s="61"/>
      <c r="AS128" s="62"/>
      <c r="AT128" s="81"/>
      <c r="AU128" s="81"/>
      <c r="AV128" s="81"/>
      <c r="AW128" s="81"/>
      <c r="AX128" s="82"/>
      <c r="AY128" s="83">
        <f t="shared" si="37"/>
        <v>0</v>
      </c>
      <c r="AZ128" s="83">
        <f t="shared" si="27"/>
        <v>0</v>
      </c>
    </row>
    <row r="129" spans="1:52" s="66" customFormat="1" ht="39.75" customHeight="1" thickBot="1" x14ac:dyDescent="0.2">
      <c r="A129" s="101"/>
      <c r="B129" s="101"/>
      <c r="C129" s="101"/>
      <c r="D129" s="101"/>
      <c r="E129" s="101"/>
      <c r="F129" s="101"/>
      <c r="G129" s="90"/>
      <c r="H129" s="158"/>
      <c r="I129" s="92">
        <v>0.51</v>
      </c>
      <c r="J129" s="41">
        <v>0.49</v>
      </c>
      <c r="K129" s="41"/>
      <c r="L129" s="41"/>
      <c r="M129" s="93"/>
      <c r="N129" s="94">
        <f t="shared" si="40"/>
        <v>1</v>
      </c>
      <c r="O129" s="44">
        <v>1</v>
      </c>
      <c r="P129" s="45">
        <v>15</v>
      </c>
      <c r="Q129" s="46">
        <v>15</v>
      </c>
      <c r="R129" s="46"/>
      <c r="S129" s="46"/>
      <c r="T129" s="70"/>
      <c r="U129" s="71">
        <f t="shared" si="28"/>
        <v>15</v>
      </c>
      <c r="V129" s="72">
        <f t="shared" si="29"/>
        <v>15</v>
      </c>
      <c r="W129" s="99"/>
      <c r="X129" s="100"/>
      <c r="Y129" s="85"/>
      <c r="Z129" s="73"/>
      <c r="AA129" s="74"/>
      <c r="AB129" s="75">
        <f t="shared" si="30"/>
        <v>0</v>
      </c>
      <c r="AC129" s="72">
        <f t="shared" si="31"/>
        <v>0</v>
      </c>
      <c r="AD129" s="52">
        <v>2</v>
      </c>
      <c r="AE129" s="71">
        <f t="shared" si="32"/>
        <v>2</v>
      </c>
      <c r="AF129" s="76"/>
      <c r="AG129" s="86"/>
      <c r="AH129" s="77">
        <f t="shared" si="33"/>
        <v>17</v>
      </c>
      <c r="AI129" s="56">
        <v>10</v>
      </c>
      <c r="AJ129" s="56">
        <v>10</v>
      </c>
      <c r="AK129" s="56">
        <v>45</v>
      </c>
      <c r="AL129" s="57">
        <f t="shared" si="34"/>
        <v>82</v>
      </c>
      <c r="AM129" s="55">
        <f t="shared" si="35"/>
        <v>82</v>
      </c>
      <c r="AN129" s="78">
        <f t="shared" si="36"/>
        <v>1.02</v>
      </c>
      <c r="AO129" s="79"/>
      <c r="AP129" s="80">
        <f t="shared" si="39"/>
        <v>1</v>
      </c>
      <c r="AQ129" s="80">
        <f t="shared" si="39"/>
        <v>2</v>
      </c>
      <c r="AR129" s="61"/>
      <c r="AS129" s="62"/>
      <c r="AT129" s="81"/>
      <c r="AU129" s="81"/>
      <c r="AV129" s="81"/>
      <c r="AW129" s="81"/>
      <c r="AX129" s="82"/>
      <c r="AY129" s="83">
        <f t="shared" si="37"/>
        <v>0</v>
      </c>
      <c r="AZ129" s="83">
        <f t="shared" si="27"/>
        <v>0</v>
      </c>
    </row>
    <row r="130" spans="1:52" s="23" customFormat="1" ht="39.75" customHeight="1" thickBot="1" x14ac:dyDescent="0.2">
      <c r="A130" s="101"/>
      <c r="B130" s="101"/>
      <c r="C130" s="101"/>
      <c r="D130" s="101"/>
      <c r="E130" s="101"/>
      <c r="F130" s="101"/>
      <c r="G130" s="90"/>
      <c r="H130" s="158"/>
      <c r="I130" s="92">
        <v>0.51</v>
      </c>
      <c r="J130" s="41">
        <v>0.49</v>
      </c>
      <c r="K130" s="41"/>
      <c r="L130" s="41"/>
      <c r="M130" s="93"/>
      <c r="N130" s="94">
        <f t="shared" si="40"/>
        <v>1</v>
      </c>
      <c r="O130" s="44">
        <v>1</v>
      </c>
      <c r="P130" s="45">
        <v>15</v>
      </c>
      <c r="Q130" s="46">
        <v>15</v>
      </c>
      <c r="R130" s="46"/>
      <c r="S130" s="46"/>
      <c r="T130" s="70"/>
      <c r="U130" s="71">
        <f t="shared" si="28"/>
        <v>15</v>
      </c>
      <c r="V130" s="72">
        <f t="shared" si="29"/>
        <v>15</v>
      </c>
      <c r="W130" s="99"/>
      <c r="X130" s="100"/>
      <c r="Y130" s="85"/>
      <c r="Z130" s="73"/>
      <c r="AA130" s="74"/>
      <c r="AB130" s="75">
        <f t="shared" si="30"/>
        <v>0</v>
      </c>
      <c r="AC130" s="72">
        <f t="shared" si="31"/>
        <v>0</v>
      </c>
      <c r="AD130" s="52">
        <v>2</v>
      </c>
      <c r="AE130" s="71">
        <f t="shared" si="32"/>
        <v>2</v>
      </c>
      <c r="AF130" s="76"/>
      <c r="AG130" s="86"/>
      <c r="AH130" s="77">
        <f t="shared" si="33"/>
        <v>17</v>
      </c>
      <c r="AI130" s="56">
        <v>10</v>
      </c>
      <c r="AJ130" s="56">
        <v>10</v>
      </c>
      <c r="AK130" s="56">
        <v>45</v>
      </c>
      <c r="AL130" s="57">
        <f t="shared" si="34"/>
        <v>82</v>
      </c>
      <c r="AM130" s="55">
        <f t="shared" si="35"/>
        <v>82</v>
      </c>
      <c r="AN130" s="78">
        <f t="shared" si="36"/>
        <v>1.02</v>
      </c>
      <c r="AO130" s="79"/>
      <c r="AP130" s="80">
        <f t="shared" si="39"/>
        <v>1</v>
      </c>
      <c r="AQ130" s="80">
        <f t="shared" si="39"/>
        <v>2</v>
      </c>
      <c r="AR130" s="61"/>
      <c r="AS130" s="62"/>
      <c r="AT130" s="81"/>
      <c r="AU130" s="81"/>
      <c r="AV130" s="81"/>
      <c r="AW130" s="81"/>
      <c r="AX130" s="82"/>
      <c r="AY130" s="83">
        <f t="shared" si="37"/>
        <v>0</v>
      </c>
      <c r="AZ130" s="83">
        <f t="shared" si="27"/>
        <v>0</v>
      </c>
    </row>
    <row r="131" spans="1:52" s="23" customFormat="1" ht="39.75" customHeight="1" thickBot="1" x14ac:dyDescent="0.2">
      <c r="A131" s="101"/>
      <c r="B131" s="101"/>
      <c r="C131" s="101"/>
      <c r="D131" s="101"/>
      <c r="E131" s="101"/>
      <c r="F131" s="101"/>
      <c r="G131" s="90"/>
      <c r="H131" s="158"/>
      <c r="I131" s="92">
        <v>0.51</v>
      </c>
      <c r="J131" s="41">
        <v>0.49</v>
      </c>
      <c r="K131" s="41"/>
      <c r="L131" s="41"/>
      <c r="M131" s="93"/>
      <c r="N131" s="94">
        <f t="shared" si="40"/>
        <v>1</v>
      </c>
      <c r="O131" s="44">
        <v>1</v>
      </c>
      <c r="P131" s="45">
        <v>15</v>
      </c>
      <c r="Q131" s="46">
        <v>15</v>
      </c>
      <c r="R131" s="46"/>
      <c r="S131" s="46"/>
      <c r="T131" s="70"/>
      <c r="U131" s="71">
        <f t="shared" si="28"/>
        <v>15</v>
      </c>
      <c r="V131" s="72">
        <f t="shared" si="29"/>
        <v>15</v>
      </c>
      <c r="W131" s="99"/>
      <c r="X131" s="100"/>
      <c r="Y131" s="85"/>
      <c r="Z131" s="73"/>
      <c r="AA131" s="74"/>
      <c r="AB131" s="75">
        <f t="shared" si="30"/>
        <v>0</v>
      </c>
      <c r="AC131" s="72">
        <f t="shared" si="31"/>
        <v>0</v>
      </c>
      <c r="AD131" s="52">
        <v>2</v>
      </c>
      <c r="AE131" s="71">
        <f t="shared" si="32"/>
        <v>2</v>
      </c>
      <c r="AF131" s="76"/>
      <c r="AG131" s="86"/>
      <c r="AH131" s="77">
        <f t="shared" si="33"/>
        <v>17</v>
      </c>
      <c r="AI131" s="56">
        <v>10</v>
      </c>
      <c r="AJ131" s="56">
        <v>10</v>
      </c>
      <c r="AK131" s="56">
        <v>45</v>
      </c>
      <c r="AL131" s="57">
        <f t="shared" si="34"/>
        <v>82</v>
      </c>
      <c r="AM131" s="55">
        <f t="shared" si="35"/>
        <v>82</v>
      </c>
      <c r="AN131" s="78">
        <f t="shared" si="36"/>
        <v>1.02</v>
      </c>
      <c r="AO131" s="79"/>
      <c r="AP131" s="80">
        <f t="shared" si="39"/>
        <v>1</v>
      </c>
      <c r="AQ131" s="80">
        <f t="shared" si="39"/>
        <v>2</v>
      </c>
      <c r="AR131" s="61"/>
      <c r="AS131" s="62"/>
      <c r="AT131" s="81"/>
      <c r="AU131" s="81"/>
      <c r="AV131" s="81"/>
      <c r="AW131" s="81"/>
      <c r="AX131" s="82"/>
      <c r="AY131" s="83">
        <f t="shared" si="37"/>
        <v>0</v>
      </c>
      <c r="AZ131" s="83">
        <f t="shared" si="27"/>
        <v>0</v>
      </c>
    </row>
    <row r="132" spans="1:52" s="66" customFormat="1" ht="39.75" customHeight="1" thickBot="1" x14ac:dyDescent="0.2">
      <c r="A132" s="101"/>
      <c r="B132" s="101"/>
      <c r="C132" s="101"/>
      <c r="D132" s="101"/>
      <c r="E132" s="101"/>
      <c r="F132" s="101"/>
      <c r="G132" s="90"/>
      <c r="H132" s="158"/>
      <c r="I132" s="92">
        <v>0.51</v>
      </c>
      <c r="J132" s="41">
        <v>0.49</v>
      </c>
      <c r="K132" s="41"/>
      <c r="L132" s="41"/>
      <c r="M132" s="93"/>
      <c r="N132" s="94">
        <f t="shared" si="40"/>
        <v>1</v>
      </c>
      <c r="O132" s="44">
        <v>1</v>
      </c>
      <c r="P132" s="45">
        <v>15</v>
      </c>
      <c r="Q132" s="46">
        <v>15</v>
      </c>
      <c r="R132" s="46"/>
      <c r="S132" s="46"/>
      <c r="T132" s="70"/>
      <c r="U132" s="71">
        <f t="shared" si="28"/>
        <v>15</v>
      </c>
      <c r="V132" s="72">
        <f t="shared" si="29"/>
        <v>15</v>
      </c>
      <c r="W132" s="99"/>
      <c r="X132" s="100"/>
      <c r="Y132" s="85"/>
      <c r="Z132" s="73"/>
      <c r="AA132" s="74"/>
      <c r="AB132" s="75">
        <f t="shared" si="30"/>
        <v>0</v>
      </c>
      <c r="AC132" s="72">
        <f t="shared" si="31"/>
        <v>0</v>
      </c>
      <c r="AD132" s="52">
        <v>2</v>
      </c>
      <c r="AE132" s="71">
        <f t="shared" si="32"/>
        <v>2</v>
      </c>
      <c r="AF132" s="76"/>
      <c r="AG132" s="86"/>
      <c r="AH132" s="77">
        <f t="shared" si="33"/>
        <v>17</v>
      </c>
      <c r="AI132" s="56">
        <v>10</v>
      </c>
      <c r="AJ132" s="56">
        <v>10</v>
      </c>
      <c r="AK132" s="56">
        <v>45</v>
      </c>
      <c r="AL132" s="57">
        <f t="shared" si="34"/>
        <v>82</v>
      </c>
      <c r="AM132" s="55">
        <f t="shared" si="35"/>
        <v>82</v>
      </c>
      <c r="AN132" s="78">
        <f t="shared" si="36"/>
        <v>1.02</v>
      </c>
      <c r="AO132" s="79"/>
      <c r="AP132" s="80">
        <f t="shared" si="39"/>
        <v>1</v>
      </c>
      <c r="AQ132" s="80">
        <f t="shared" si="39"/>
        <v>2</v>
      </c>
      <c r="AR132" s="61"/>
      <c r="AS132" s="62"/>
      <c r="AT132" s="81"/>
      <c r="AU132" s="81"/>
      <c r="AV132" s="81"/>
      <c r="AW132" s="81"/>
      <c r="AX132" s="82"/>
      <c r="AY132" s="83">
        <f t="shared" si="37"/>
        <v>0</v>
      </c>
      <c r="AZ132" s="83">
        <f t="shared" si="27"/>
        <v>0</v>
      </c>
    </row>
    <row r="133" spans="1:52" s="23" customFormat="1" ht="39.75" customHeight="1" thickBot="1" x14ac:dyDescent="0.2">
      <c r="A133" s="101"/>
      <c r="B133" s="101"/>
      <c r="C133" s="101"/>
      <c r="D133" s="101"/>
      <c r="E133" s="101"/>
      <c r="F133" s="101"/>
      <c r="G133" s="90"/>
      <c r="H133" s="158"/>
      <c r="I133" s="92">
        <v>0.51</v>
      </c>
      <c r="J133" s="41">
        <v>0.49</v>
      </c>
      <c r="K133" s="41"/>
      <c r="L133" s="41"/>
      <c r="M133" s="93"/>
      <c r="N133" s="94">
        <f t="shared" si="40"/>
        <v>1</v>
      </c>
      <c r="O133" s="44">
        <v>1</v>
      </c>
      <c r="P133" s="45">
        <v>15</v>
      </c>
      <c r="Q133" s="46">
        <v>15</v>
      </c>
      <c r="R133" s="46"/>
      <c r="S133" s="46"/>
      <c r="T133" s="70"/>
      <c r="U133" s="71">
        <f t="shared" si="28"/>
        <v>15</v>
      </c>
      <c r="V133" s="72">
        <f t="shared" si="29"/>
        <v>15</v>
      </c>
      <c r="W133" s="99"/>
      <c r="X133" s="100"/>
      <c r="Y133" s="85"/>
      <c r="Z133" s="73"/>
      <c r="AA133" s="74"/>
      <c r="AB133" s="75">
        <f t="shared" si="30"/>
        <v>0</v>
      </c>
      <c r="AC133" s="72">
        <f t="shared" si="31"/>
        <v>0</v>
      </c>
      <c r="AD133" s="52">
        <v>2</v>
      </c>
      <c r="AE133" s="71">
        <f t="shared" si="32"/>
        <v>2</v>
      </c>
      <c r="AF133" s="76"/>
      <c r="AG133" s="86"/>
      <c r="AH133" s="77">
        <f t="shared" si="33"/>
        <v>17</v>
      </c>
      <c r="AI133" s="56">
        <v>10</v>
      </c>
      <c r="AJ133" s="56">
        <v>10</v>
      </c>
      <c r="AK133" s="56">
        <v>45</v>
      </c>
      <c r="AL133" s="57">
        <f t="shared" si="34"/>
        <v>82</v>
      </c>
      <c r="AM133" s="55">
        <f t="shared" si="35"/>
        <v>82</v>
      </c>
      <c r="AN133" s="78">
        <f t="shared" si="36"/>
        <v>1.02</v>
      </c>
      <c r="AO133" s="79"/>
      <c r="AP133" s="80">
        <f t="shared" si="39"/>
        <v>1</v>
      </c>
      <c r="AQ133" s="80">
        <f t="shared" si="39"/>
        <v>2</v>
      </c>
      <c r="AR133" s="61"/>
      <c r="AS133" s="62"/>
      <c r="AT133" s="81"/>
      <c r="AU133" s="81"/>
      <c r="AV133" s="81"/>
      <c r="AW133" s="81"/>
      <c r="AX133" s="82"/>
      <c r="AY133" s="83">
        <f t="shared" si="37"/>
        <v>0</v>
      </c>
      <c r="AZ133" s="83">
        <f t="shared" si="27"/>
        <v>0</v>
      </c>
    </row>
    <row r="134" spans="1:52" s="66" customFormat="1" ht="39.75" customHeight="1" thickBot="1" x14ac:dyDescent="0.2">
      <c r="A134" s="101"/>
      <c r="B134" s="101"/>
      <c r="C134" s="101"/>
      <c r="D134" s="101"/>
      <c r="E134" s="101"/>
      <c r="F134" s="101"/>
      <c r="G134" s="90"/>
      <c r="H134" s="158"/>
      <c r="I134" s="92">
        <v>0.51</v>
      </c>
      <c r="J134" s="41">
        <v>0.49</v>
      </c>
      <c r="K134" s="41"/>
      <c r="L134" s="41"/>
      <c r="M134" s="93"/>
      <c r="N134" s="94">
        <f t="shared" si="40"/>
        <v>1</v>
      </c>
      <c r="O134" s="44">
        <v>1</v>
      </c>
      <c r="P134" s="45">
        <v>15</v>
      </c>
      <c r="Q134" s="46">
        <v>15</v>
      </c>
      <c r="R134" s="46"/>
      <c r="S134" s="46"/>
      <c r="T134" s="70"/>
      <c r="U134" s="71">
        <f t="shared" si="28"/>
        <v>15</v>
      </c>
      <c r="V134" s="72">
        <f t="shared" si="29"/>
        <v>15</v>
      </c>
      <c r="W134" s="99"/>
      <c r="X134" s="100"/>
      <c r="Y134" s="85"/>
      <c r="Z134" s="73"/>
      <c r="AA134" s="74"/>
      <c r="AB134" s="75">
        <f t="shared" si="30"/>
        <v>0</v>
      </c>
      <c r="AC134" s="72">
        <f t="shared" si="31"/>
        <v>0</v>
      </c>
      <c r="AD134" s="52">
        <v>2</v>
      </c>
      <c r="AE134" s="71">
        <f t="shared" si="32"/>
        <v>2</v>
      </c>
      <c r="AF134" s="76"/>
      <c r="AG134" s="86"/>
      <c r="AH134" s="77">
        <f t="shared" si="33"/>
        <v>17</v>
      </c>
      <c r="AI134" s="56">
        <v>10</v>
      </c>
      <c r="AJ134" s="56">
        <v>10</v>
      </c>
      <c r="AK134" s="56">
        <v>45</v>
      </c>
      <c r="AL134" s="57">
        <f t="shared" si="34"/>
        <v>82</v>
      </c>
      <c r="AM134" s="55">
        <f t="shared" si="35"/>
        <v>82</v>
      </c>
      <c r="AN134" s="78">
        <f t="shared" si="36"/>
        <v>1.02</v>
      </c>
      <c r="AO134" s="79"/>
      <c r="AP134" s="80">
        <f t="shared" si="39"/>
        <v>1</v>
      </c>
      <c r="AQ134" s="80">
        <f t="shared" si="39"/>
        <v>2</v>
      </c>
      <c r="AR134" s="61"/>
      <c r="AS134" s="62"/>
      <c r="AT134" s="81"/>
      <c r="AU134" s="81"/>
      <c r="AV134" s="81"/>
      <c r="AW134" s="81"/>
      <c r="AX134" s="82"/>
      <c r="AY134" s="83">
        <f t="shared" si="37"/>
        <v>0</v>
      </c>
      <c r="AZ134" s="83">
        <f t="shared" si="27"/>
        <v>0</v>
      </c>
    </row>
    <row r="135" spans="1:52" s="66" customFormat="1" ht="39.75" customHeight="1" thickBot="1" x14ac:dyDescent="0.2">
      <c r="A135" s="101"/>
      <c r="B135" s="101"/>
      <c r="C135" s="101"/>
      <c r="D135" s="101"/>
      <c r="E135" s="101"/>
      <c r="F135" s="101"/>
      <c r="G135" s="90"/>
      <c r="H135" s="158"/>
      <c r="I135" s="92">
        <v>0.51</v>
      </c>
      <c r="J135" s="41">
        <v>0.49</v>
      </c>
      <c r="K135" s="41"/>
      <c r="L135" s="41"/>
      <c r="M135" s="93"/>
      <c r="N135" s="94">
        <f t="shared" si="40"/>
        <v>1</v>
      </c>
      <c r="O135" s="44">
        <v>1</v>
      </c>
      <c r="P135" s="45">
        <v>15</v>
      </c>
      <c r="Q135" s="46">
        <v>15</v>
      </c>
      <c r="R135" s="46"/>
      <c r="S135" s="46"/>
      <c r="T135" s="70"/>
      <c r="U135" s="71">
        <f t="shared" si="28"/>
        <v>15</v>
      </c>
      <c r="V135" s="72">
        <f t="shared" si="29"/>
        <v>15</v>
      </c>
      <c r="W135" s="99"/>
      <c r="X135" s="100"/>
      <c r="Y135" s="85"/>
      <c r="Z135" s="73"/>
      <c r="AA135" s="74"/>
      <c r="AB135" s="75">
        <f t="shared" si="30"/>
        <v>0</v>
      </c>
      <c r="AC135" s="72">
        <f t="shared" si="31"/>
        <v>0</v>
      </c>
      <c r="AD135" s="52">
        <v>2</v>
      </c>
      <c r="AE135" s="71">
        <f t="shared" si="32"/>
        <v>2</v>
      </c>
      <c r="AF135" s="76"/>
      <c r="AG135" s="86"/>
      <c r="AH135" s="77">
        <f t="shared" si="33"/>
        <v>17</v>
      </c>
      <c r="AI135" s="56">
        <v>10</v>
      </c>
      <c r="AJ135" s="56">
        <v>10</v>
      </c>
      <c r="AK135" s="56">
        <v>45</v>
      </c>
      <c r="AL135" s="57">
        <f t="shared" si="34"/>
        <v>82</v>
      </c>
      <c r="AM135" s="55">
        <f t="shared" si="35"/>
        <v>82</v>
      </c>
      <c r="AN135" s="78">
        <f t="shared" si="36"/>
        <v>1.02</v>
      </c>
      <c r="AO135" s="79"/>
      <c r="AP135" s="80">
        <f t="shared" si="39"/>
        <v>1</v>
      </c>
      <c r="AQ135" s="80">
        <f t="shared" si="39"/>
        <v>2</v>
      </c>
      <c r="AR135" s="61"/>
      <c r="AS135" s="62"/>
      <c r="AT135" s="81"/>
      <c r="AU135" s="81"/>
      <c r="AV135" s="81"/>
      <c r="AW135" s="81"/>
      <c r="AX135" s="82"/>
      <c r="AY135" s="83">
        <f t="shared" si="37"/>
        <v>0</v>
      </c>
      <c r="AZ135" s="83">
        <f t="shared" si="27"/>
        <v>0</v>
      </c>
    </row>
    <row r="136" spans="1:52" s="66" customFormat="1" ht="39.75" customHeight="1" thickBot="1" x14ac:dyDescent="0.2">
      <c r="A136" s="101"/>
      <c r="B136" s="101"/>
      <c r="C136" s="101"/>
      <c r="D136" s="101"/>
      <c r="E136" s="101"/>
      <c r="F136" s="101"/>
      <c r="G136" s="90"/>
      <c r="H136" s="158"/>
      <c r="I136" s="92">
        <v>0.51</v>
      </c>
      <c r="J136" s="41">
        <v>0.49</v>
      </c>
      <c r="K136" s="41"/>
      <c r="L136" s="41"/>
      <c r="M136" s="93"/>
      <c r="N136" s="94">
        <f t="shared" si="40"/>
        <v>1</v>
      </c>
      <c r="O136" s="44">
        <v>1</v>
      </c>
      <c r="P136" s="45">
        <v>15</v>
      </c>
      <c r="Q136" s="46">
        <v>15</v>
      </c>
      <c r="R136" s="46"/>
      <c r="S136" s="46"/>
      <c r="T136" s="47"/>
      <c r="U136" s="71">
        <f t="shared" si="28"/>
        <v>15</v>
      </c>
      <c r="V136" s="72">
        <f t="shared" si="29"/>
        <v>15</v>
      </c>
      <c r="W136" s="99"/>
      <c r="X136" s="100"/>
      <c r="Y136" s="85"/>
      <c r="Z136" s="73"/>
      <c r="AA136" s="74"/>
      <c r="AB136" s="75">
        <f t="shared" si="30"/>
        <v>0</v>
      </c>
      <c r="AC136" s="72">
        <f t="shared" si="31"/>
        <v>0</v>
      </c>
      <c r="AD136" s="52">
        <v>2</v>
      </c>
      <c r="AE136" s="71">
        <f t="shared" si="32"/>
        <v>2</v>
      </c>
      <c r="AF136" s="76"/>
      <c r="AG136" s="86"/>
      <c r="AH136" s="77">
        <f t="shared" si="33"/>
        <v>17</v>
      </c>
      <c r="AI136" s="56">
        <v>10</v>
      </c>
      <c r="AJ136" s="56">
        <v>10</v>
      </c>
      <c r="AK136" s="56">
        <v>45</v>
      </c>
      <c r="AL136" s="57">
        <f t="shared" si="34"/>
        <v>82</v>
      </c>
      <c r="AM136" s="55">
        <f t="shared" si="35"/>
        <v>82</v>
      </c>
      <c r="AN136" s="78">
        <f t="shared" si="36"/>
        <v>1.02</v>
      </c>
      <c r="AO136" s="79"/>
      <c r="AP136" s="80">
        <f t="shared" si="39"/>
        <v>1</v>
      </c>
      <c r="AQ136" s="80">
        <f t="shared" si="39"/>
        <v>2</v>
      </c>
      <c r="AR136" s="61"/>
      <c r="AS136" s="62"/>
      <c r="AT136" s="81"/>
      <c r="AU136" s="81"/>
      <c r="AV136" s="81"/>
      <c r="AW136" s="81"/>
      <c r="AX136" s="82"/>
      <c r="AY136" s="83">
        <f t="shared" si="37"/>
        <v>0</v>
      </c>
      <c r="AZ136" s="83">
        <f t="shared" si="27"/>
        <v>0</v>
      </c>
    </row>
    <row r="137" spans="1:52" s="66" customFormat="1" ht="39.75" customHeight="1" thickBot="1" x14ac:dyDescent="0.2">
      <c r="A137" s="101"/>
      <c r="B137" s="101"/>
      <c r="C137" s="101"/>
      <c r="D137" s="101"/>
      <c r="E137" s="101"/>
      <c r="F137" s="101"/>
      <c r="G137" s="90"/>
      <c r="H137" s="158"/>
      <c r="I137" s="92">
        <v>0.51</v>
      </c>
      <c r="J137" s="41">
        <v>0.49</v>
      </c>
      <c r="K137" s="41"/>
      <c r="L137" s="41"/>
      <c r="M137" s="93"/>
      <c r="N137" s="94">
        <f t="shared" si="40"/>
        <v>1</v>
      </c>
      <c r="O137" s="44">
        <v>1</v>
      </c>
      <c r="P137" s="45">
        <v>15</v>
      </c>
      <c r="Q137" s="46">
        <v>15</v>
      </c>
      <c r="R137" s="46"/>
      <c r="S137" s="46"/>
      <c r="T137" s="47"/>
      <c r="U137" s="71">
        <f t="shared" si="28"/>
        <v>15</v>
      </c>
      <c r="V137" s="72">
        <f t="shared" si="29"/>
        <v>15</v>
      </c>
      <c r="W137" s="99"/>
      <c r="X137" s="100"/>
      <c r="Y137" s="85"/>
      <c r="Z137" s="73"/>
      <c r="AA137" s="74"/>
      <c r="AB137" s="75">
        <f t="shared" si="30"/>
        <v>0</v>
      </c>
      <c r="AC137" s="72">
        <f t="shared" si="31"/>
        <v>0</v>
      </c>
      <c r="AD137" s="52">
        <v>2</v>
      </c>
      <c r="AE137" s="71">
        <f t="shared" si="32"/>
        <v>2</v>
      </c>
      <c r="AF137" s="76"/>
      <c r="AG137" s="86"/>
      <c r="AH137" s="77">
        <f t="shared" si="33"/>
        <v>17</v>
      </c>
      <c r="AI137" s="56">
        <v>10</v>
      </c>
      <c r="AJ137" s="56">
        <v>10</v>
      </c>
      <c r="AK137" s="56">
        <v>45</v>
      </c>
      <c r="AL137" s="57">
        <f t="shared" si="34"/>
        <v>82</v>
      </c>
      <c r="AM137" s="55">
        <f t="shared" si="35"/>
        <v>82</v>
      </c>
      <c r="AN137" s="78">
        <f t="shared" si="36"/>
        <v>1.02</v>
      </c>
      <c r="AO137" s="79"/>
      <c r="AP137" s="80">
        <f t="shared" si="39"/>
        <v>1</v>
      </c>
      <c r="AQ137" s="80">
        <f t="shared" si="39"/>
        <v>2</v>
      </c>
      <c r="AR137" s="61"/>
      <c r="AS137" s="62"/>
      <c r="AT137" s="81"/>
      <c r="AU137" s="81"/>
      <c r="AV137" s="81"/>
      <c r="AW137" s="81"/>
      <c r="AX137" s="82"/>
      <c r="AY137" s="83">
        <f t="shared" si="37"/>
        <v>0</v>
      </c>
      <c r="AZ137" s="83">
        <f t="shared" si="27"/>
        <v>0</v>
      </c>
    </row>
    <row r="138" spans="1:52" s="23" customFormat="1" ht="39.75" customHeight="1" thickBot="1" x14ac:dyDescent="0.2">
      <c r="A138" s="101"/>
      <c r="B138" s="101"/>
      <c r="C138" s="101"/>
      <c r="D138" s="101"/>
      <c r="E138" s="101"/>
      <c r="F138" s="101"/>
      <c r="G138" s="90"/>
      <c r="H138" s="158"/>
      <c r="I138" s="92">
        <v>0.51</v>
      </c>
      <c r="J138" s="41">
        <v>0.49</v>
      </c>
      <c r="K138" s="41"/>
      <c r="L138" s="41"/>
      <c r="M138" s="93"/>
      <c r="N138" s="94">
        <f t="shared" si="40"/>
        <v>1</v>
      </c>
      <c r="O138" s="44">
        <v>1</v>
      </c>
      <c r="P138" s="45">
        <v>15</v>
      </c>
      <c r="Q138" s="46">
        <v>15</v>
      </c>
      <c r="R138" s="46"/>
      <c r="S138" s="46"/>
      <c r="T138" s="47"/>
      <c r="U138" s="71">
        <f t="shared" si="28"/>
        <v>15</v>
      </c>
      <c r="V138" s="72">
        <f t="shared" si="29"/>
        <v>15</v>
      </c>
      <c r="W138" s="99"/>
      <c r="X138" s="100"/>
      <c r="Y138" s="85"/>
      <c r="Z138" s="73"/>
      <c r="AA138" s="74"/>
      <c r="AB138" s="75">
        <f t="shared" si="30"/>
        <v>0</v>
      </c>
      <c r="AC138" s="72">
        <f t="shared" si="31"/>
        <v>0</v>
      </c>
      <c r="AD138" s="52">
        <v>2</v>
      </c>
      <c r="AE138" s="71">
        <f t="shared" si="32"/>
        <v>2</v>
      </c>
      <c r="AF138" s="76"/>
      <c r="AG138" s="86"/>
      <c r="AH138" s="77">
        <f t="shared" si="33"/>
        <v>17</v>
      </c>
      <c r="AI138" s="56">
        <v>10</v>
      </c>
      <c r="AJ138" s="56">
        <v>10</v>
      </c>
      <c r="AK138" s="56">
        <v>45</v>
      </c>
      <c r="AL138" s="57">
        <f t="shared" si="34"/>
        <v>82</v>
      </c>
      <c r="AM138" s="55">
        <f t="shared" si="35"/>
        <v>82</v>
      </c>
      <c r="AN138" s="78">
        <f t="shared" si="36"/>
        <v>1.02</v>
      </c>
      <c r="AO138" s="79"/>
      <c r="AP138" s="80">
        <f t="shared" si="39"/>
        <v>1</v>
      </c>
      <c r="AQ138" s="80">
        <f t="shared" si="39"/>
        <v>2</v>
      </c>
      <c r="AR138" s="61"/>
      <c r="AS138" s="62"/>
      <c r="AT138" s="81"/>
      <c r="AU138" s="81"/>
      <c r="AV138" s="81"/>
      <c r="AW138" s="81"/>
      <c r="AX138" s="82"/>
      <c r="AY138" s="83">
        <f t="shared" si="37"/>
        <v>0</v>
      </c>
      <c r="AZ138" s="83">
        <f t="shared" si="27"/>
        <v>0</v>
      </c>
    </row>
    <row r="139" spans="1:52" s="66" customFormat="1" ht="39.75" customHeight="1" thickBot="1" x14ac:dyDescent="0.2">
      <c r="A139" s="101"/>
      <c r="B139" s="101"/>
      <c r="C139" s="101"/>
      <c r="D139" s="101"/>
      <c r="E139" s="101"/>
      <c r="F139" s="101"/>
      <c r="G139" s="90"/>
      <c r="H139" s="158"/>
      <c r="I139" s="92">
        <v>0.51</v>
      </c>
      <c r="J139" s="41">
        <v>0.49</v>
      </c>
      <c r="K139" s="41"/>
      <c r="L139" s="41"/>
      <c r="M139" s="93"/>
      <c r="N139" s="94">
        <f t="shared" si="40"/>
        <v>1</v>
      </c>
      <c r="O139" s="44">
        <v>1</v>
      </c>
      <c r="P139" s="45">
        <v>15</v>
      </c>
      <c r="Q139" s="46">
        <v>15</v>
      </c>
      <c r="R139" s="46"/>
      <c r="S139" s="46"/>
      <c r="T139" s="47"/>
      <c r="U139" s="71">
        <f t="shared" si="28"/>
        <v>15</v>
      </c>
      <c r="V139" s="72">
        <f t="shared" si="29"/>
        <v>15</v>
      </c>
      <c r="W139" s="99"/>
      <c r="X139" s="100"/>
      <c r="Y139" s="85"/>
      <c r="Z139" s="73"/>
      <c r="AA139" s="74"/>
      <c r="AB139" s="75">
        <f t="shared" si="30"/>
        <v>0</v>
      </c>
      <c r="AC139" s="72">
        <f t="shared" si="31"/>
        <v>0</v>
      </c>
      <c r="AD139" s="52">
        <v>2</v>
      </c>
      <c r="AE139" s="71">
        <f t="shared" si="32"/>
        <v>2</v>
      </c>
      <c r="AF139" s="76"/>
      <c r="AG139" s="86"/>
      <c r="AH139" s="77">
        <f t="shared" si="33"/>
        <v>17</v>
      </c>
      <c r="AI139" s="56">
        <v>10</v>
      </c>
      <c r="AJ139" s="56">
        <v>10</v>
      </c>
      <c r="AK139" s="56">
        <v>45</v>
      </c>
      <c r="AL139" s="57">
        <f t="shared" si="34"/>
        <v>82</v>
      </c>
      <c r="AM139" s="55">
        <f t="shared" si="35"/>
        <v>82</v>
      </c>
      <c r="AN139" s="78">
        <f t="shared" si="36"/>
        <v>1.02</v>
      </c>
      <c r="AO139" s="79"/>
      <c r="AP139" s="80">
        <f t="shared" si="39"/>
        <v>1</v>
      </c>
      <c r="AQ139" s="80">
        <f t="shared" si="39"/>
        <v>2</v>
      </c>
      <c r="AR139" s="61"/>
      <c r="AS139" s="62"/>
      <c r="AT139" s="81"/>
      <c r="AU139" s="81"/>
      <c r="AV139" s="81"/>
      <c r="AW139" s="81"/>
      <c r="AX139" s="82"/>
      <c r="AY139" s="83">
        <f t="shared" si="37"/>
        <v>0</v>
      </c>
      <c r="AZ139" s="83">
        <f t="shared" si="27"/>
        <v>0</v>
      </c>
    </row>
    <row r="140" spans="1:52" s="23" customFormat="1" ht="39.75" customHeight="1" thickBot="1" x14ac:dyDescent="0.2">
      <c r="A140" s="101"/>
      <c r="B140" s="101"/>
      <c r="C140" s="101"/>
      <c r="D140" s="101"/>
      <c r="E140" s="101"/>
      <c r="F140" s="101"/>
      <c r="G140" s="90"/>
      <c r="H140" s="158"/>
      <c r="I140" s="92">
        <v>0.51</v>
      </c>
      <c r="J140" s="41">
        <v>0.49</v>
      </c>
      <c r="K140" s="41"/>
      <c r="L140" s="41"/>
      <c r="M140" s="93"/>
      <c r="N140" s="94">
        <f t="shared" si="40"/>
        <v>1</v>
      </c>
      <c r="O140" s="44">
        <v>1</v>
      </c>
      <c r="P140" s="45">
        <v>15</v>
      </c>
      <c r="Q140" s="46">
        <v>15</v>
      </c>
      <c r="R140" s="46"/>
      <c r="S140" s="46"/>
      <c r="T140" s="47"/>
      <c r="U140" s="71">
        <f t="shared" si="28"/>
        <v>15</v>
      </c>
      <c r="V140" s="72">
        <f t="shared" si="29"/>
        <v>15</v>
      </c>
      <c r="W140" s="99"/>
      <c r="X140" s="100"/>
      <c r="Y140" s="85"/>
      <c r="Z140" s="73"/>
      <c r="AA140" s="74"/>
      <c r="AB140" s="75">
        <f t="shared" si="30"/>
        <v>0</v>
      </c>
      <c r="AC140" s="72">
        <f t="shared" si="31"/>
        <v>0</v>
      </c>
      <c r="AD140" s="52">
        <v>2</v>
      </c>
      <c r="AE140" s="71">
        <f t="shared" si="32"/>
        <v>2</v>
      </c>
      <c r="AF140" s="76"/>
      <c r="AG140" s="86"/>
      <c r="AH140" s="77">
        <f t="shared" si="33"/>
        <v>17</v>
      </c>
      <c r="AI140" s="56">
        <v>10</v>
      </c>
      <c r="AJ140" s="56">
        <v>10</v>
      </c>
      <c r="AK140" s="56">
        <v>45</v>
      </c>
      <c r="AL140" s="57">
        <f t="shared" si="34"/>
        <v>82</v>
      </c>
      <c r="AM140" s="55">
        <f t="shared" si="35"/>
        <v>82</v>
      </c>
      <c r="AN140" s="78">
        <f t="shared" si="36"/>
        <v>1.02</v>
      </c>
      <c r="AO140" s="79"/>
      <c r="AP140" s="80">
        <f t="shared" si="39"/>
        <v>1</v>
      </c>
      <c r="AQ140" s="80">
        <f t="shared" si="39"/>
        <v>2</v>
      </c>
      <c r="AR140" s="61"/>
      <c r="AS140" s="62"/>
      <c r="AT140" s="81"/>
      <c r="AU140" s="81"/>
      <c r="AV140" s="81"/>
      <c r="AW140" s="81"/>
      <c r="AX140" s="82"/>
      <c r="AY140" s="83">
        <f t="shared" si="37"/>
        <v>0</v>
      </c>
      <c r="AZ140" s="83">
        <f t="shared" si="27"/>
        <v>0</v>
      </c>
    </row>
    <row r="141" spans="1:52" s="66" customFormat="1" ht="39.75" customHeight="1" thickBot="1" x14ac:dyDescent="0.2">
      <c r="A141" s="101"/>
      <c r="B141" s="101"/>
      <c r="C141" s="101"/>
      <c r="D141" s="101"/>
      <c r="E141" s="101"/>
      <c r="F141" s="101"/>
      <c r="G141" s="90"/>
      <c r="H141" s="158"/>
      <c r="I141" s="92">
        <v>0.51</v>
      </c>
      <c r="J141" s="41">
        <v>0.49</v>
      </c>
      <c r="K141" s="41"/>
      <c r="L141" s="41"/>
      <c r="M141" s="93"/>
      <c r="N141" s="94">
        <f t="shared" si="40"/>
        <v>1</v>
      </c>
      <c r="O141" s="44">
        <v>1</v>
      </c>
      <c r="P141" s="45">
        <v>15</v>
      </c>
      <c r="Q141" s="46">
        <v>15</v>
      </c>
      <c r="R141" s="46"/>
      <c r="S141" s="46"/>
      <c r="T141" s="47"/>
      <c r="U141" s="71">
        <f t="shared" si="28"/>
        <v>15</v>
      </c>
      <c r="V141" s="72">
        <f t="shared" si="29"/>
        <v>15</v>
      </c>
      <c r="W141" s="99"/>
      <c r="X141" s="100"/>
      <c r="Y141" s="85"/>
      <c r="Z141" s="73"/>
      <c r="AA141" s="74"/>
      <c r="AB141" s="75">
        <f t="shared" si="30"/>
        <v>0</v>
      </c>
      <c r="AC141" s="72">
        <f t="shared" si="31"/>
        <v>0</v>
      </c>
      <c r="AD141" s="52">
        <v>2</v>
      </c>
      <c r="AE141" s="71">
        <f t="shared" si="32"/>
        <v>2</v>
      </c>
      <c r="AF141" s="76"/>
      <c r="AG141" s="86"/>
      <c r="AH141" s="77">
        <f t="shared" si="33"/>
        <v>17</v>
      </c>
      <c r="AI141" s="56">
        <v>10</v>
      </c>
      <c r="AJ141" s="56">
        <v>10</v>
      </c>
      <c r="AK141" s="56">
        <v>45</v>
      </c>
      <c r="AL141" s="57">
        <f t="shared" si="34"/>
        <v>82</v>
      </c>
      <c r="AM141" s="55">
        <f t="shared" si="35"/>
        <v>82</v>
      </c>
      <c r="AN141" s="78">
        <f t="shared" si="36"/>
        <v>1.02</v>
      </c>
      <c r="AO141" s="79"/>
      <c r="AP141" s="80">
        <f t="shared" ref="AP141:AQ148" si="41">100%+AO141</f>
        <v>1</v>
      </c>
      <c r="AQ141" s="80">
        <f t="shared" si="41"/>
        <v>2</v>
      </c>
      <c r="AR141" s="61"/>
      <c r="AS141" s="62"/>
      <c r="AT141" s="81"/>
      <c r="AU141" s="81"/>
      <c r="AV141" s="81"/>
      <c r="AW141" s="81"/>
      <c r="AX141" s="82"/>
      <c r="AY141" s="83">
        <f t="shared" si="37"/>
        <v>0</v>
      </c>
      <c r="AZ141" s="83">
        <f t="shared" si="27"/>
        <v>0</v>
      </c>
    </row>
    <row r="142" spans="1:52" s="66" customFormat="1" ht="39.75" customHeight="1" thickBot="1" x14ac:dyDescent="0.2">
      <c r="A142" s="101"/>
      <c r="B142" s="101"/>
      <c r="C142" s="101"/>
      <c r="D142" s="101"/>
      <c r="E142" s="101"/>
      <c r="F142" s="101"/>
      <c r="G142" s="90"/>
      <c r="H142" s="158"/>
      <c r="I142" s="92">
        <v>0.51</v>
      </c>
      <c r="J142" s="41">
        <v>0.49</v>
      </c>
      <c r="K142" s="41"/>
      <c r="L142" s="41"/>
      <c r="M142" s="93"/>
      <c r="N142" s="94">
        <f t="shared" si="40"/>
        <v>1</v>
      </c>
      <c r="O142" s="44">
        <v>1</v>
      </c>
      <c r="P142" s="45">
        <v>15</v>
      </c>
      <c r="Q142" s="46">
        <v>15</v>
      </c>
      <c r="R142" s="46"/>
      <c r="S142" s="46"/>
      <c r="T142" s="47"/>
      <c r="U142" s="71">
        <f t="shared" si="28"/>
        <v>15</v>
      </c>
      <c r="V142" s="72">
        <f t="shared" si="29"/>
        <v>15</v>
      </c>
      <c r="W142" s="99"/>
      <c r="X142" s="100"/>
      <c r="Y142" s="85"/>
      <c r="Z142" s="73"/>
      <c r="AA142" s="74"/>
      <c r="AB142" s="75">
        <f t="shared" si="30"/>
        <v>0</v>
      </c>
      <c r="AC142" s="72">
        <f t="shared" si="31"/>
        <v>0</v>
      </c>
      <c r="AD142" s="52">
        <v>2</v>
      </c>
      <c r="AE142" s="71">
        <f t="shared" si="32"/>
        <v>2</v>
      </c>
      <c r="AF142" s="76"/>
      <c r="AG142" s="86"/>
      <c r="AH142" s="77">
        <f t="shared" si="33"/>
        <v>17</v>
      </c>
      <c r="AI142" s="56">
        <v>10</v>
      </c>
      <c r="AJ142" s="56">
        <v>10</v>
      </c>
      <c r="AK142" s="56">
        <v>45</v>
      </c>
      <c r="AL142" s="57">
        <f t="shared" si="34"/>
        <v>82</v>
      </c>
      <c r="AM142" s="55">
        <f t="shared" si="35"/>
        <v>82</v>
      </c>
      <c r="AN142" s="78">
        <f t="shared" si="36"/>
        <v>1.02</v>
      </c>
      <c r="AO142" s="79"/>
      <c r="AP142" s="80">
        <f t="shared" si="41"/>
        <v>1</v>
      </c>
      <c r="AQ142" s="80">
        <f t="shared" si="41"/>
        <v>2</v>
      </c>
      <c r="AR142" s="61"/>
      <c r="AS142" s="62"/>
      <c r="AT142" s="81"/>
      <c r="AU142" s="81"/>
      <c r="AV142" s="81"/>
      <c r="AW142" s="81"/>
      <c r="AX142" s="82"/>
      <c r="AY142" s="83">
        <f t="shared" si="37"/>
        <v>0</v>
      </c>
      <c r="AZ142" s="83">
        <f t="shared" si="27"/>
        <v>0</v>
      </c>
    </row>
    <row r="143" spans="1:52" s="66" customFormat="1" ht="39.75" customHeight="1" thickBot="1" x14ac:dyDescent="0.2">
      <c r="A143" s="101"/>
      <c r="B143" s="101"/>
      <c r="C143" s="101"/>
      <c r="D143" s="101"/>
      <c r="E143" s="101"/>
      <c r="F143" s="101"/>
      <c r="G143" s="90"/>
      <c r="H143" s="158"/>
      <c r="I143" s="92">
        <v>0.51</v>
      </c>
      <c r="J143" s="41">
        <v>0.49</v>
      </c>
      <c r="K143" s="41"/>
      <c r="L143" s="41"/>
      <c r="M143" s="93"/>
      <c r="N143" s="94">
        <f t="shared" si="40"/>
        <v>1</v>
      </c>
      <c r="O143" s="44">
        <v>1</v>
      </c>
      <c r="P143" s="45">
        <v>15</v>
      </c>
      <c r="Q143" s="46">
        <v>15</v>
      </c>
      <c r="R143" s="46"/>
      <c r="S143" s="46"/>
      <c r="T143" s="47"/>
      <c r="U143" s="71">
        <f t="shared" si="28"/>
        <v>15</v>
      </c>
      <c r="V143" s="72">
        <f t="shared" si="29"/>
        <v>15</v>
      </c>
      <c r="W143" s="99"/>
      <c r="X143" s="100"/>
      <c r="Y143" s="85"/>
      <c r="Z143" s="73"/>
      <c r="AA143" s="74"/>
      <c r="AB143" s="75">
        <f t="shared" si="30"/>
        <v>0</v>
      </c>
      <c r="AC143" s="72">
        <f t="shared" si="31"/>
        <v>0</v>
      </c>
      <c r="AD143" s="52">
        <v>2</v>
      </c>
      <c r="AE143" s="71">
        <f t="shared" si="32"/>
        <v>2</v>
      </c>
      <c r="AF143" s="76"/>
      <c r="AG143" s="86"/>
      <c r="AH143" s="77">
        <f t="shared" si="33"/>
        <v>17</v>
      </c>
      <c r="AI143" s="56">
        <v>10</v>
      </c>
      <c r="AJ143" s="56">
        <v>10</v>
      </c>
      <c r="AK143" s="56">
        <v>45</v>
      </c>
      <c r="AL143" s="57">
        <f t="shared" si="34"/>
        <v>82</v>
      </c>
      <c r="AM143" s="55">
        <f t="shared" si="35"/>
        <v>82</v>
      </c>
      <c r="AN143" s="78">
        <f t="shared" si="36"/>
        <v>1.02</v>
      </c>
      <c r="AO143" s="79"/>
      <c r="AP143" s="80">
        <f t="shared" si="41"/>
        <v>1</v>
      </c>
      <c r="AQ143" s="80">
        <f t="shared" si="41"/>
        <v>2</v>
      </c>
      <c r="AR143" s="61"/>
      <c r="AS143" s="62"/>
      <c r="AT143" s="81"/>
      <c r="AU143" s="81"/>
      <c r="AV143" s="81"/>
      <c r="AW143" s="81"/>
      <c r="AX143" s="82"/>
      <c r="AY143" s="83">
        <f t="shared" si="37"/>
        <v>0</v>
      </c>
      <c r="AZ143" s="83">
        <f t="shared" si="27"/>
        <v>0</v>
      </c>
    </row>
    <row r="144" spans="1:52" s="23" customFormat="1" ht="39.75" customHeight="1" thickBot="1" x14ac:dyDescent="0.2">
      <c r="A144" s="101"/>
      <c r="B144" s="101"/>
      <c r="C144" s="101"/>
      <c r="D144" s="101"/>
      <c r="E144" s="101"/>
      <c r="F144" s="101"/>
      <c r="G144" s="90"/>
      <c r="H144" s="158"/>
      <c r="I144" s="92">
        <v>0.51</v>
      </c>
      <c r="J144" s="41">
        <v>0.49</v>
      </c>
      <c r="K144" s="41"/>
      <c r="L144" s="41"/>
      <c r="M144" s="93"/>
      <c r="N144" s="94">
        <f t="shared" si="40"/>
        <v>1</v>
      </c>
      <c r="O144" s="44">
        <v>1</v>
      </c>
      <c r="P144" s="45">
        <v>15</v>
      </c>
      <c r="Q144" s="46">
        <v>15</v>
      </c>
      <c r="R144" s="46"/>
      <c r="S144" s="46"/>
      <c r="T144" s="47"/>
      <c r="U144" s="71">
        <f t="shared" si="28"/>
        <v>15</v>
      </c>
      <c r="V144" s="72">
        <f t="shared" si="29"/>
        <v>15</v>
      </c>
      <c r="W144" s="99"/>
      <c r="X144" s="100"/>
      <c r="Y144" s="85"/>
      <c r="Z144" s="73"/>
      <c r="AA144" s="74"/>
      <c r="AB144" s="75">
        <f t="shared" si="30"/>
        <v>0</v>
      </c>
      <c r="AC144" s="72">
        <f t="shared" si="31"/>
        <v>0</v>
      </c>
      <c r="AD144" s="52">
        <v>2</v>
      </c>
      <c r="AE144" s="71">
        <f t="shared" si="32"/>
        <v>2</v>
      </c>
      <c r="AF144" s="76"/>
      <c r="AG144" s="86"/>
      <c r="AH144" s="77">
        <f t="shared" si="33"/>
        <v>17</v>
      </c>
      <c r="AI144" s="56">
        <v>10</v>
      </c>
      <c r="AJ144" s="56">
        <v>10</v>
      </c>
      <c r="AK144" s="56">
        <v>45</v>
      </c>
      <c r="AL144" s="57">
        <f t="shared" si="34"/>
        <v>82</v>
      </c>
      <c r="AM144" s="55">
        <f t="shared" si="35"/>
        <v>82</v>
      </c>
      <c r="AN144" s="78">
        <f t="shared" si="36"/>
        <v>1.02</v>
      </c>
      <c r="AO144" s="79"/>
      <c r="AP144" s="80">
        <f t="shared" si="41"/>
        <v>1</v>
      </c>
      <c r="AQ144" s="80">
        <f t="shared" si="41"/>
        <v>2</v>
      </c>
      <c r="AR144" s="61"/>
      <c r="AS144" s="62"/>
      <c r="AT144" s="81"/>
      <c r="AU144" s="81"/>
      <c r="AV144" s="81"/>
      <c r="AW144" s="81"/>
      <c r="AX144" s="82"/>
      <c r="AY144" s="83">
        <f t="shared" si="37"/>
        <v>0</v>
      </c>
      <c r="AZ144" s="83">
        <f t="shared" si="27"/>
        <v>0</v>
      </c>
    </row>
    <row r="145" spans="1:52" s="66" customFormat="1" ht="39.75" customHeight="1" thickBot="1" x14ac:dyDescent="0.2">
      <c r="A145" s="101"/>
      <c r="B145" s="101"/>
      <c r="C145" s="101"/>
      <c r="D145" s="101"/>
      <c r="E145" s="101"/>
      <c r="F145" s="101"/>
      <c r="G145" s="90"/>
      <c r="H145" s="158"/>
      <c r="I145" s="92">
        <v>0.51</v>
      </c>
      <c r="J145" s="41">
        <v>0.49</v>
      </c>
      <c r="K145" s="41"/>
      <c r="L145" s="41"/>
      <c r="M145" s="93"/>
      <c r="N145" s="94">
        <f t="shared" si="40"/>
        <v>1</v>
      </c>
      <c r="O145" s="44">
        <v>1</v>
      </c>
      <c r="P145" s="45">
        <v>15</v>
      </c>
      <c r="Q145" s="46">
        <v>15</v>
      </c>
      <c r="R145" s="46"/>
      <c r="S145" s="46"/>
      <c r="T145" s="47"/>
      <c r="U145" s="71">
        <f t="shared" si="28"/>
        <v>15</v>
      </c>
      <c r="V145" s="72">
        <f t="shared" si="29"/>
        <v>15</v>
      </c>
      <c r="W145" s="99"/>
      <c r="X145" s="100"/>
      <c r="Y145" s="85"/>
      <c r="Z145" s="73"/>
      <c r="AA145" s="74"/>
      <c r="AB145" s="75">
        <f t="shared" si="30"/>
        <v>0</v>
      </c>
      <c r="AC145" s="72">
        <f t="shared" si="31"/>
        <v>0</v>
      </c>
      <c r="AD145" s="52">
        <v>2</v>
      </c>
      <c r="AE145" s="71">
        <f t="shared" si="32"/>
        <v>2</v>
      </c>
      <c r="AF145" s="76"/>
      <c r="AG145" s="86"/>
      <c r="AH145" s="77">
        <f t="shared" si="33"/>
        <v>17</v>
      </c>
      <c r="AI145" s="56">
        <v>10</v>
      </c>
      <c r="AJ145" s="56">
        <v>10</v>
      </c>
      <c r="AK145" s="56">
        <v>45</v>
      </c>
      <c r="AL145" s="57">
        <f t="shared" si="34"/>
        <v>82</v>
      </c>
      <c r="AM145" s="55">
        <f t="shared" si="35"/>
        <v>82</v>
      </c>
      <c r="AN145" s="78">
        <f t="shared" si="36"/>
        <v>1.02</v>
      </c>
      <c r="AO145" s="79"/>
      <c r="AP145" s="80">
        <f t="shared" si="41"/>
        <v>1</v>
      </c>
      <c r="AQ145" s="80">
        <f t="shared" si="41"/>
        <v>2</v>
      </c>
      <c r="AR145" s="61"/>
      <c r="AS145" s="62"/>
      <c r="AT145" s="81"/>
      <c r="AU145" s="81"/>
      <c r="AV145" s="81"/>
      <c r="AW145" s="81"/>
      <c r="AX145" s="82"/>
      <c r="AY145" s="83">
        <f t="shared" si="37"/>
        <v>0</v>
      </c>
      <c r="AZ145" s="83">
        <f t="shared" si="27"/>
        <v>0</v>
      </c>
    </row>
    <row r="146" spans="1:52" s="23" customFormat="1" ht="39.75" customHeight="1" thickBot="1" x14ac:dyDescent="0.2">
      <c r="A146" s="101"/>
      <c r="B146" s="101"/>
      <c r="C146" s="101"/>
      <c r="D146" s="101"/>
      <c r="E146" s="101"/>
      <c r="F146" s="101"/>
      <c r="G146" s="90"/>
      <c r="H146" s="158"/>
      <c r="I146" s="92">
        <v>0.51</v>
      </c>
      <c r="J146" s="41">
        <v>0.49</v>
      </c>
      <c r="K146" s="41"/>
      <c r="L146" s="41"/>
      <c r="M146" s="93"/>
      <c r="N146" s="94">
        <f t="shared" si="40"/>
        <v>1</v>
      </c>
      <c r="O146" s="44">
        <v>1</v>
      </c>
      <c r="P146" s="45">
        <v>15</v>
      </c>
      <c r="Q146" s="46">
        <v>15</v>
      </c>
      <c r="R146" s="46"/>
      <c r="S146" s="46"/>
      <c r="T146" s="47"/>
      <c r="U146" s="71">
        <f t="shared" si="28"/>
        <v>15</v>
      </c>
      <c r="V146" s="72">
        <f t="shared" si="29"/>
        <v>15</v>
      </c>
      <c r="W146" s="99"/>
      <c r="X146" s="100"/>
      <c r="Y146" s="85"/>
      <c r="Z146" s="73"/>
      <c r="AA146" s="74"/>
      <c r="AB146" s="75">
        <f t="shared" si="30"/>
        <v>0</v>
      </c>
      <c r="AC146" s="72">
        <f t="shared" si="31"/>
        <v>0</v>
      </c>
      <c r="AD146" s="52">
        <v>2</v>
      </c>
      <c r="AE146" s="71">
        <f t="shared" si="32"/>
        <v>2</v>
      </c>
      <c r="AF146" s="76"/>
      <c r="AG146" s="86"/>
      <c r="AH146" s="77">
        <f t="shared" si="33"/>
        <v>17</v>
      </c>
      <c r="AI146" s="56">
        <v>10</v>
      </c>
      <c r="AJ146" s="56">
        <v>10</v>
      </c>
      <c r="AK146" s="56">
        <v>45</v>
      </c>
      <c r="AL146" s="57">
        <f t="shared" si="34"/>
        <v>82</v>
      </c>
      <c r="AM146" s="55">
        <f t="shared" si="35"/>
        <v>82</v>
      </c>
      <c r="AN146" s="78">
        <f t="shared" si="36"/>
        <v>1.02</v>
      </c>
      <c r="AO146" s="79"/>
      <c r="AP146" s="80">
        <f t="shared" si="41"/>
        <v>1</v>
      </c>
      <c r="AQ146" s="80">
        <f t="shared" si="41"/>
        <v>2</v>
      </c>
      <c r="AR146" s="61"/>
      <c r="AS146" s="62"/>
      <c r="AT146" s="81"/>
      <c r="AU146" s="81"/>
      <c r="AV146" s="81"/>
      <c r="AW146" s="81"/>
      <c r="AX146" s="82"/>
      <c r="AY146" s="83">
        <f t="shared" si="37"/>
        <v>0</v>
      </c>
      <c r="AZ146" s="83">
        <f t="shared" si="27"/>
        <v>0</v>
      </c>
    </row>
    <row r="147" spans="1:52" s="66" customFormat="1" ht="39.75" customHeight="1" thickBot="1" x14ac:dyDescent="0.2">
      <c r="A147" s="101"/>
      <c r="B147" s="101"/>
      <c r="C147" s="101"/>
      <c r="D147" s="101"/>
      <c r="E147" s="101"/>
      <c r="F147" s="101"/>
      <c r="G147" s="90"/>
      <c r="H147" s="158"/>
      <c r="I147" s="92">
        <v>0.51</v>
      </c>
      <c r="J147" s="41">
        <v>0.49</v>
      </c>
      <c r="K147" s="41"/>
      <c r="L147" s="41"/>
      <c r="M147" s="93"/>
      <c r="N147" s="94">
        <f t="shared" si="40"/>
        <v>1</v>
      </c>
      <c r="O147" s="44">
        <v>1</v>
      </c>
      <c r="P147" s="45">
        <v>15</v>
      </c>
      <c r="Q147" s="46">
        <v>15</v>
      </c>
      <c r="R147" s="46"/>
      <c r="S147" s="46"/>
      <c r="T147" s="47"/>
      <c r="U147" s="71">
        <f t="shared" si="28"/>
        <v>15</v>
      </c>
      <c r="V147" s="72">
        <f t="shared" si="29"/>
        <v>15</v>
      </c>
      <c r="W147" s="99"/>
      <c r="X147" s="100"/>
      <c r="Y147" s="85"/>
      <c r="Z147" s="73"/>
      <c r="AA147" s="74"/>
      <c r="AB147" s="75">
        <f t="shared" si="30"/>
        <v>0</v>
      </c>
      <c r="AC147" s="72">
        <f t="shared" si="31"/>
        <v>0</v>
      </c>
      <c r="AD147" s="52">
        <v>2</v>
      </c>
      <c r="AE147" s="71">
        <f t="shared" si="32"/>
        <v>2</v>
      </c>
      <c r="AF147" s="76"/>
      <c r="AG147" s="86"/>
      <c r="AH147" s="77">
        <f t="shared" si="33"/>
        <v>17</v>
      </c>
      <c r="AI147" s="56">
        <v>10</v>
      </c>
      <c r="AJ147" s="56">
        <v>10</v>
      </c>
      <c r="AK147" s="56">
        <v>45</v>
      </c>
      <c r="AL147" s="57">
        <f t="shared" si="34"/>
        <v>82</v>
      </c>
      <c r="AM147" s="55">
        <f t="shared" si="35"/>
        <v>82</v>
      </c>
      <c r="AN147" s="78">
        <f t="shared" si="36"/>
        <v>1.02</v>
      </c>
      <c r="AO147" s="79"/>
      <c r="AP147" s="80">
        <f t="shared" si="41"/>
        <v>1</v>
      </c>
      <c r="AQ147" s="80">
        <f t="shared" si="41"/>
        <v>2</v>
      </c>
      <c r="AR147" s="61"/>
      <c r="AS147" s="62"/>
      <c r="AT147" s="81"/>
      <c r="AU147" s="81"/>
      <c r="AV147" s="81"/>
      <c r="AW147" s="81"/>
      <c r="AX147" s="82"/>
      <c r="AY147" s="83">
        <f t="shared" si="37"/>
        <v>0</v>
      </c>
      <c r="AZ147" s="83">
        <f t="shared" si="27"/>
        <v>0</v>
      </c>
    </row>
    <row r="148" spans="1:52" s="66" customFormat="1" ht="39.75" customHeight="1" thickBot="1" x14ac:dyDescent="0.2">
      <c r="A148" s="101"/>
      <c r="B148" s="101"/>
      <c r="C148" s="101"/>
      <c r="D148" s="101"/>
      <c r="E148" s="101"/>
      <c r="F148" s="101"/>
      <c r="G148" s="90"/>
      <c r="H148" s="158"/>
      <c r="I148" s="92">
        <v>0.51</v>
      </c>
      <c r="J148" s="41">
        <v>0.49</v>
      </c>
      <c r="K148" s="41"/>
      <c r="L148" s="41"/>
      <c r="M148" s="93"/>
      <c r="N148" s="94">
        <f t="shared" si="40"/>
        <v>1</v>
      </c>
      <c r="O148" s="44">
        <v>1</v>
      </c>
      <c r="P148" s="45">
        <v>15</v>
      </c>
      <c r="Q148" s="46">
        <v>15</v>
      </c>
      <c r="R148" s="46"/>
      <c r="S148" s="46"/>
      <c r="T148" s="47"/>
      <c r="U148" s="71">
        <f t="shared" si="28"/>
        <v>15</v>
      </c>
      <c r="V148" s="72">
        <f t="shared" si="29"/>
        <v>15</v>
      </c>
      <c r="W148" s="99"/>
      <c r="X148" s="100"/>
      <c r="Y148" s="85"/>
      <c r="Z148" s="73"/>
      <c r="AA148" s="74"/>
      <c r="AB148" s="75">
        <f t="shared" si="30"/>
        <v>0</v>
      </c>
      <c r="AC148" s="72">
        <f t="shared" si="31"/>
        <v>0</v>
      </c>
      <c r="AD148" s="52">
        <v>2</v>
      </c>
      <c r="AE148" s="71">
        <f t="shared" si="32"/>
        <v>2</v>
      </c>
      <c r="AF148" s="86"/>
      <c r="AG148" s="86"/>
      <c r="AH148" s="77">
        <f t="shared" si="33"/>
        <v>17</v>
      </c>
      <c r="AI148" s="56">
        <v>10</v>
      </c>
      <c r="AJ148" s="56">
        <v>10</v>
      </c>
      <c r="AK148" s="56">
        <v>45</v>
      </c>
      <c r="AL148" s="57">
        <f t="shared" si="34"/>
        <v>82</v>
      </c>
      <c r="AM148" s="55">
        <f t="shared" si="35"/>
        <v>82</v>
      </c>
      <c r="AN148" s="78">
        <f t="shared" si="36"/>
        <v>1.02</v>
      </c>
      <c r="AO148" s="79"/>
      <c r="AP148" s="80">
        <f t="shared" si="41"/>
        <v>1</v>
      </c>
      <c r="AQ148" s="80">
        <f t="shared" si="41"/>
        <v>2</v>
      </c>
      <c r="AR148" s="61"/>
      <c r="AS148" s="62"/>
      <c r="AT148" s="81"/>
      <c r="AU148" s="81"/>
      <c r="AV148" s="81"/>
      <c r="AW148" s="81"/>
      <c r="AX148" s="82"/>
      <c r="AY148" s="83">
        <f t="shared" si="37"/>
        <v>0</v>
      </c>
      <c r="AZ148" s="83">
        <f t="shared" si="27"/>
        <v>0</v>
      </c>
    </row>
  </sheetData>
  <mergeCells count="52">
    <mergeCell ref="C28:G28"/>
    <mergeCell ref="C6:G6"/>
    <mergeCell ref="C8:G8"/>
    <mergeCell ref="C10:G10"/>
    <mergeCell ref="C12:G12"/>
    <mergeCell ref="C14:G14"/>
    <mergeCell ref="C16:G16"/>
    <mergeCell ref="C18:G18"/>
    <mergeCell ref="C20:G20"/>
    <mergeCell ref="C22:G22"/>
    <mergeCell ref="C24:G24"/>
    <mergeCell ref="C26:G26"/>
    <mergeCell ref="AR3:AR4"/>
    <mergeCell ref="AZ3:AZ4"/>
    <mergeCell ref="AT3:AT4"/>
    <mergeCell ref="AU3:AU4"/>
    <mergeCell ref="AV3:AV4"/>
    <mergeCell ref="AW3:AW4"/>
    <mergeCell ref="AX3:AX4"/>
    <mergeCell ref="AY3:AY4"/>
    <mergeCell ref="AE1:AF1"/>
    <mergeCell ref="AS3:AS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AN3:AN4"/>
    <mergeCell ref="AO3:AO4"/>
    <mergeCell ref="AP3:AP4"/>
    <mergeCell ref="AQ3:AQ4"/>
    <mergeCell ref="C41:G41"/>
    <mergeCell ref="C32:G32"/>
    <mergeCell ref="C36:G36"/>
    <mergeCell ref="AG1:AJ1"/>
    <mergeCell ref="D2:E2"/>
    <mergeCell ref="I2:J2"/>
    <mergeCell ref="M2:P2"/>
    <mergeCell ref="W2:X2"/>
    <mergeCell ref="Y2:Z2"/>
    <mergeCell ref="AA2:AB2"/>
    <mergeCell ref="AE2:AL2"/>
    <mergeCell ref="D1:E1"/>
    <mergeCell ref="I1:J1"/>
    <mergeCell ref="W1:X1"/>
    <mergeCell ref="Y1:Z1"/>
    <mergeCell ref="AA1:AB1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70" max="51" man="1"/>
  </rowBreaks>
  <colBreaks count="2" manualBreakCount="2">
    <brk id="14" max="132" man="1"/>
    <brk id="40" max="13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Z138"/>
  <sheetViews>
    <sheetView zoomScale="86" zoomScaleNormal="86" workbookViewId="0">
      <selection activeCell="C31" sqref="C31:G31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8.77734375" style="102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103" hidden="1" customWidth="1"/>
    <col min="23" max="27" width="8.33203125" style="1" customWidth="1"/>
    <col min="28" max="28" width="7.6640625" style="1" customWidth="1"/>
    <col min="29" max="29" width="7.6640625" style="103" hidden="1" customWidth="1"/>
    <col min="30" max="31" width="7.6640625" style="103" customWidth="1"/>
    <col min="32" max="33" width="6.109375" style="1" customWidth="1"/>
    <col min="34" max="34" width="7.6640625" style="1" customWidth="1"/>
    <col min="35" max="37" width="4.5546875" style="1" customWidth="1"/>
    <col min="38" max="38" width="6.7773437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58</v>
      </c>
      <c r="D1" s="366">
        <v>6352400000</v>
      </c>
      <c r="E1" s="366"/>
      <c r="F1" s="4"/>
      <c r="G1" s="5"/>
      <c r="H1" s="6" t="s">
        <v>57</v>
      </c>
      <c r="I1" s="367">
        <v>6987640000</v>
      </c>
      <c r="J1" s="368"/>
      <c r="K1" s="7" t="s">
        <v>180</v>
      </c>
      <c r="L1" s="178"/>
      <c r="M1" s="178"/>
      <c r="N1" s="8"/>
      <c r="O1" s="8"/>
      <c r="P1" s="8"/>
      <c r="Q1" s="8"/>
      <c r="R1" s="8"/>
      <c r="S1" s="8"/>
      <c r="T1" s="8"/>
      <c r="U1" s="8"/>
      <c r="V1" s="8"/>
      <c r="W1" s="369" t="s">
        <v>56</v>
      </c>
      <c r="X1" s="369"/>
      <c r="Y1" s="370" t="s">
        <v>55</v>
      </c>
      <c r="Z1" s="371"/>
      <c r="AA1" s="372" t="s">
        <v>0</v>
      </c>
      <c r="AB1" s="373"/>
      <c r="AC1" s="11"/>
      <c r="AD1" s="11"/>
      <c r="AE1" s="374" t="s">
        <v>54</v>
      </c>
      <c r="AF1" s="375"/>
      <c r="AG1" s="355"/>
      <c r="AH1" s="355"/>
      <c r="AI1" s="355"/>
      <c r="AJ1" s="355"/>
      <c r="AK1" s="9" t="s">
        <v>53</v>
      </c>
      <c r="AL1" s="10"/>
      <c r="AM1" s="10"/>
      <c r="AN1" s="8"/>
      <c r="AQ1" s="104"/>
    </row>
    <row r="2" spans="1:52" s="19" customFormat="1" ht="29.25" customHeight="1" thickBot="1" x14ac:dyDescent="0.2">
      <c r="A2" s="11"/>
      <c r="B2" s="12"/>
      <c r="C2" s="13" t="s">
        <v>52</v>
      </c>
      <c r="D2" s="356">
        <v>6987640000</v>
      </c>
      <c r="E2" s="356"/>
      <c r="F2" s="14"/>
      <c r="G2" s="15"/>
      <c r="H2" s="3" t="s">
        <v>51</v>
      </c>
      <c r="I2" s="357">
        <f>D2*2</f>
        <v>13975280000</v>
      </c>
      <c r="J2" s="358"/>
      <c r="K2" s="16" t="s">
        <v>50</v>
      </c>
      <c r="L2" s="177" t="s">
        <v>49</v>
      </c>
      <c r="M2" s="359">
        <v>45923.458333333336</v>
      </c>
      <c r="N2" s="359"/>
      <c r="O2" s="359"/>
      <c r="P2" s="359"/>
      <c r="Q2" s="176" t="s">
        <v>169</v>
      </c>
      <c r="R2" s="176"/>
      <c r="S2" s="176"/>
      <c r="T2" s="17"/>
      <c r="U2" s="175"/>
      <c r="V2" s="175"/>
      <c r="W2" s="360">
        <v>2306550000</v>
      </c>
      <c r="X2" s="360"/>
      <c r="Y2" s="361">
        <f>I1</f>
        <v>6987640000</v>
      </c>
      <c r="Z2" s="362"/>
      <c r="AA2" s="363">
        <f>TRUNC(W2/Y2,4)</f>
        <v>0.33</v>
      </c>
      <c r="AB2" s="364"/>
      <c r="AC2" s="18"/>
      <c r="AD2" s="143"/>
      <c r="AE2" s="365" t="s">
        <v>178</v>
      </c>
      <c r="AF2" s="365"/>
      <c r="AG2" s="365"/>
      <c r="AH2" s="365"/>
      <c r="AI2" s="365"/>
      <c r="AJ2" s="365"/>
      <c r="AK2" s="365"/>
      <c r="AL2" s="365"/>
      <c r="AM2" s="145"/>
      <c r="AN2" s="104" t="s">
        <v>61</v>
      </c>
      <c r="AO2" s="20"/>
      <c r="AP2" s="104"/>
      <c r="AQ2" s="104"/>
      <c r="AR2" s="104"/>
      <c r="AS2" s="1"/>
      <c r="AT2" s="21" t="s">
        <v>48</v>
      </c>
      <c r="AU2" s="377">
        <f>AG1</f>
        <v>0</v>
      </c>
      <c r="AV2" s="378"/>
      <c r="AY2" s="22"/>
    </row>
    <row r="3" spans="1:52" s="23" customFormat="1" ht="24.95" customHeight="1" thickBot="1" x14ac:dyDescent="0.2">
      <c r="A3" s="379" t="s">
        <v>47</v>
      </c>
      <c r="B3" s="381" t="s">
        <v>46</v>
      </c>
      <c r="C3" s="383" t="s">
        <v>45</v>
      </c>
      <c r="D3" s="384"/>
      <c r="E3" s="384"/>
      <c r="F3" s="384"/>
      <c r="G3" s="384"/>
      <c r="H3" s="385"/>
      <c r="I3" s="383" t="s">
        <v>19</v>
      </c>
      <c r="J3" s="384"/>
      <c r="K3" s="384"/>
      <c r="L3" s="384"/>
      <c r="M3" s="385"/>
      <c r="N3" s="386" t="s">
        <v>18</v>
      </c>
      <c r="O3" s="388" t="s">
        <v>17</v>
      </c>
      <c r="P3" s="383" t="s">
        <v>44</v>
      </c>
      <c r="Q3" s="384"/>
      <c r="R3" s="390"/>
      <c r="S3" s="390"/>
      <c r="T3" s="384"/>
      <c r="U3" s="385"/>
      <c r="V3" s="184"/>
      <c r="W3" s="383" t="s">
        <v>4</v>
      </c>
      <c r="X3" s="384"/>
      <c r="Y3" s="384"/>
      <c r="Z3" s="384"/>
      <c r="AA3" s="384"/>
      <c r="AB3" s="384"/>
      <c r="AC3" s="384"/>
      <c r="AD3" s="384"/>
      <c r="AE3" s="385"/>
      <c r="AF3" s="383"/>
      <c r="AG3" s="384"/>
      <c r="AH3" s="384"/>
      <c r="AI3" s="384"/>
      <c r="AJ3" s="384"/>
      <c r="AK3" s="384"/>
      <c r="AL3" s="384"/>
      <c r="AM3" s="385"/>
      <c r="AN3" s="391" t="s">
        <v>43</v>
      </c>
      <c r="AO3" s="393" t="s">
        <v>42</v>
      </c>
      <c r="AP3" s="395" t="s">
        <v>41</v>
      </c>
      <c r="AQ3" s="397" t="s">
        <v>16</v>
      </c>
      <c r="AR3" s="399" t="s">
        <v>40</v>
      </c>
      <c r="AS3" s="376" t="s">
        <v>39</v>
      </c>
      <c r="AT3" s="393" t="s">
        <v>38</v>
      </c>
      <c r="AU3" s="376" t="s">
        <v>15</v>
      </c>
      <c r="AV3" s="376" t="s">
        <v>37</v>
      </c>
      <c r="AW3" s="376" t="s">
        <v>36</v>
      </c>
      <c r="AX3" s="400" t="s">
        <v>14</v>
      </c>
      <c r="AY3" s="376" t="s">
        <v>13</v>
      </c>
      <c r="AZ3" s="376" t="s">
        <v>12</v>
      </c>
    </row>
    <row r="4" spans="1:52" s="23" customFormat="1" ht="39.75" customHeight="1" thickBot="1" x14ac:dyDescent="0.2">
      <c r="A4" s="380"/>
      <c r="B4" s="382"/>
      <c r="C4" s="24" t="s">
        <v>32</v>
      </c>
      <c r="D4" s="25" t="s">
        <v>31</v>
      </c>
      <c r="E4" s="26" t="s">
        <v>9</v>
      </c>
      <c r="F4" s="26" t="s">
        <v>8</v>
      </c>
      <c r="G4" s="27" t="s">
        <v>10</v>
      </c>
      <c r="H4" s="184" t="s">
        <v>35</v>
      </c>
      <c r="I4" s="28" t="s">
        <v>32</v>
      </c>
      <c r="J4" s="29" t="s">
        <v>31</v>
      </c>
      <c r="K4" s="25" t="s">
        <v>9</v>
      </c>
      <c r="L4" s="25" t="s">
        <v>8</v>
      </c>
      <c r="M4" s="30" t="s">
        <v>7</v>
      </c>
      <c r="N4" s="387"/>
      <c r="O4" s="389"/>
      <c r="P4" s="28" t="s">
        <v>32</v>
      </c>
      <c r="Q4" s="29" t="s">
        <v>31</v>
      </c>
      <c r="R4" s="25" t="s">
        <v>9</v>
      </c>
      <c r="S4" s="25" t="s">
        <v>11</v>
      </c>
      <c r="T4" s="30" t="s">
        <v>7</v>
      </c>
      <c r="U4" s="31" t="s">
        <v>34</v>
      </c>
      <c r="V4" s="32" t="s">
        <v>33</v>
      </c>
      <c r="W4" s="33" t="s">
        <v>32</v>
      </c>
      <c r="X4" s="29" t="s">
        <v>31</v>
      </c>
      <c r="Y4" s="29" t="s">
        <v>30</v>
      </c>
      <c r="Z4" s="29" t="s">
        <v>11</v>
      </c>
      <c r="AA4" s="30" t="s">
        <v>10</v>
      </c>
      <c r="AB4" s="34" t="s">
        <v>29</v>
      </c>
      <c r="AC4" s="35" t="s">
        <v>28</v>
      </c>
      <c r="AD4" s="36" t="s">
        <v>27</v>
      </c>
      <c r="AE4" s="36" t="s">
        <v>26</v>
      </c>
      <c r="AF4" s="37" t="s">
        <v>25</v>
      </c>
      <c r="AG4" s="37" t="s">
        <v>24</v>
      </c>
      <c r="AH4" s="38" t="s">
        <v>23</v>
      </c>
      <c r="AI4" s="38" t="s">
        <v>22</v>
      </c>
      <c r="AJ4" s="38" t="s">
        <v>21</v>
      </c>
      <c r="AK4" s="39" t="s">
        <v>6</v>
      </c>
      <c r="AL4" s="39"/>
      <c r="AM4" s="39" t="s">
        <v>5</v>
      </c>
      <c r="AN4" s="392"/>
      <c r="AO4" s="394"/>
      <c r="AP4" s="396"/>
      <c r="AQ4" s="398"/>
      <c r="AR4" s="399"/>
      <c r="AS4" s="376"/>
      <c r="AT4" s="394"/>
      <c r="AU4" s="376"/>
      <c r="AV4" s="376"/>
      <c r="AW4" s="376"/>
      <c r="AX4" s="401"/>
      <c r="AY4" s="376"/>
      <c r="AZ4" s="376"/>
    </row>
    <row r="5" spans="1:52" s="66" customFormat="1" ht="39.75" customHeight="1" thickBot="1" x14ac:dyDescent="0.2">
      <c r="A5" s="96">
        <v>1</v>
      </c>
      <c r="B5" s="91"/>
      <c r="C5" s="134" t="s">
        <v>122</v>
      </c>
      <c r="D5" s="188"/>
      <c r="E5" s="131"/>
      <c r="F5" s="110"/>
      <c r="G5" s="97"/>
      <c r="H5" s="158"/>
      <c r="I5" s="92">
        <v>1</v>
      </c>
      <c r="J5" s="41"/>
      <c r="K5" s="174"/>
      <c r="L5" s="42"/>
      <c r="M5" s="68"/>
      <c r="N5" s="69">
        <f t="shared" ref="N5:N10" si="0">SUM(I5:M5)</f>
        <v>1</v>
      </c>
      <c r="O5" s="125">
        <v>1</v>
      </c>
      <c r="P5" s="173">
        <v>15</v>
      </c>
      <c r="Q5" s="113">
        <v>15</v>
      </c>
      <c r="R5" s="113"/>
      <c r="S5" s="120"/>
      <c r="T5" s="70"/>
      <c r="U5" s="71">
        <f t="shared" ref="U5:U10" si="1">ROUND(((P5*I5)+(Q5*J5)+(R5*K5)+(S5*L5)+(T5*M5))*O5,2)</f>
        <v>15</v>
      </c>
      <c r="V5" s="72">
        <f t="shared" ref="V5:V10" si="2">IF(U5&gt;=15,15,U5)</f>
        <v>15</v>
      </c>
      <c r="W5" s="204">
        <v>59183685000</v>
      </c>
      <c r="X5" s="201"/>
      <c r="Y5" s="116"/>
      <c r="Z5" s="119"/>
      <c r="AA5" s="74"/>
      <c r="AB5" s="75">
        <f t="shared" ref="AB5:AB10" si="3">ROUND((((W5*I5)+(X5*J5)+(Y5*K5)+(Z5*L5)+(AA5*M5))/$I$2),2)*13</f>
        <v>54.990000000000009</v>
      </c>
      <c r="AC5" s="72">
        <f t="shared" ref="AC5:AC10" si="4">IF(AB5&gt;=13,13,AB5)</f>
        <v>13</v>
      </c>
      <c r="AD5" s="124">
        <v>2</v>
      </c>
      <c r="AE5" s="71">
        <f t="shared" ref="AE5:AE10" si="5">IF((AC5+AD5)&gt;=15,15,(AC5+AD5))</f>
        <v>15</v>
      </c>
      <c r="AF5" s="76"/>
      <c r="AG5" s="54">
        <v>2.92</v>
      </c>
      <c r="AH5" s="77">
        <f t="shared" ref="AH5:AH10" si="6">IF((V5+AE5+AF5)&gt;=30,30,(V5+AE5+AF5))</f>
        <v>30</v>
      </c>
      <c r="AI5" s="56">
        <v>10</v>
      </c>
      <c r="AJ5" s="56">
        <v>10</v>
      </c>
      <c r="AK5" s="56">
        <v>45</v>
      </c>
      <c r="AL5" s="57">
        <f t="shared" ref="AL5:AL10" si="7">V5+AE5+AF5+AI5+AJ5+AK5+AG5</f>
        <v>97.92</v>
      </c>
      <c r="AM5" s="55">
        <f t="shared" ref="AM5:AM10" si="8">IF(AH5+AI5+AJ5+AK5+AG5&gt;=95,95,AH5+AI5+AJ5+AK5+AG5)</f>
        <v>95</v>
      </c>
      <c r="AN5" s="78">
        <f t="shared" ref="AN5:AN10" si="9">-((50-((176+(45+(50-AH5)))))/200)</f>
        <v>0.95499999999999996</v>
      </c>
      <c r="AO5" s="79"/>
      <c r="AP5" s="80">
        <f t="shared" ref="AP5:AQ10" si="10">100%+AO5</f>
        <v>1</v>
      </c>
      <c r="AQ5" s="80">
        <f t="shared" si="10"/>
        <v>2</v>
      </c>
      <c r="AR5" s="61"/>
      <c r="AS5" s="62"/>
      <c r="AT5" s="81"/>
      <c r="AU5" s="81"/>
      <c r="AV5" s="81"/>
      <c r="AW5" s="81"/>
      <c r="AX5" s="82"/>
      <c r="AY5" s="83">
        <f t="shared" ref="AY5:AY10" si="11">AT5+AU5+AV5+AW5+AX5</f>
        <v>0</v>
      </c>
      <c r="AZ5" s="83">
        <f t="shared" ref="AZ5:AZ10" si="12">(AT5*I5)+(AU5*J5)+(AV5*K5)+(AW5*L5)+(AX5*M5)</f>
        <v>0</v>
      </c>
    </row>
    <row r="6" spans="1:52" s="66" customFormat="1" ht="39.75" customHeight="1" thickBot="1" x14ac:dyDescent="0.2">
      <c r="A6" s="96">
        <v>2</v>
      </c>
      <c r="B6" s="91"/>
      <c r="C6" s="132" t="s">
        <v>123</v>
      </c>
      <c r="D6" s="133"/>
      <c r="E6" s="133"/>
      <c r="F6" s="122"/>
      <c r="G6" s="97"/>
      <c r="H6" s="165"/>
      <c r="I6" s="92">
        <v>1</v>
      </c>
      <c r="J6" s="41"/>
      <c r="K6" s="41"/>
      <c r="L6" s="42"/>
      <c r="M6" s="68"/>
      <c r="N6" s="69">
        <f t="shared" si="0"/>
        <v>1</v>
      </c>
      <c r="O6" s="125">
        <v>1</v>
      </c>
      <c r="P6" s="112">
        <v>15</v>
      </c>
      <c r="Q6" s="113">
        <v>15</v>
      </c>
      <c r="R6" s="113"/>
      <c r="S6" s="120"/>
      <c r="T6" s="70"/>
      <c r="U6" s="71">
        <f t="shared" si="1"/>
        <v>15</v>
      </c>
      <c r="V6" s="72">
        <f t="shared" si="2"/>
        <v>15</v>
      </c>
      <c r="W6" s="205">
        <v>39361754000</v>
      </c>
      <c r="X6" s="201"/>
      <c r="Y6" s="136"/>
      <c r="Z6" s="136"/>
      <c r="AA6" s="74"/>
      <c r="AB6" s="75">
        <f t="shared" si="3"/>
        <v>36.659999999999997</v>
      </c>
      <c r="AC6" s="72">
        <f t="shared" si="4"/>
        <v>13</v>
      </c>
      <c r="AD6" s="124">
        <v>2</v>
      </c>
      <c r="AE6" s="71">
        <f t="shared" si="5"/>
        <v>15</v>
      </c>
      <c r="AF6" s="76"/>
      <c r="AG6" s="54">
        <v>2.92</v>
      </c>
      <c r="AH6" s="77">
        <f t="shared" si="6"/>
        <v>30</v>
      </c>
      <c r="AI6" s="56">
        <v>10</v>
      </c>
      <c r="AJ6" s="56">
        <v>10</v>
      </c>
      <c r="AK6" s="56">
        <v>45</v>
      </c>
      <c r="AL6" s="57">
        <f t="shared" si="7"/>
        <v>97.92</v>
      </c>
      <c r="AM6" s="55">
        <f t="shared" si="8"/>
        <v>95</v>
      </c>
      <c r="AN6" s="78">
        <f t="shared" si="9"/>
        <v>0.95499999999999996</v>
      </c>
      <c r="AO6" s="79"/>
      <c r="AP6" s="80">
        <f t="shared" si="10"/>
        <v>1</v>
      </c>
      <c r="AQ6" s="80">
        <f t="shared" si="10"/>
        <v>2</v>
      </c>
      <c r="AR6" s="61"/>
      <c r="AS6" s="62"/>
      <c r="AT6" s="81"/>
      <c r="AU6" s="81"/>
      <c r="AV6" s="81"/>
      <c r="AW6" s="81"/>
      <c r="AX6" s="82"/>
      <c r="AY6" s="83">
        <f t="shared" si="11"/>
        <v>0</v>
      </c>
      <c r="AZ6" s="83">
        <f t="shared" si="12"/>
        <v>0</v>
      </c>
    </row>
    <row r="7" spans="1:52" s="66" customFormat="1" ht="39.75" customHeight="1" thickBot="1" x14ac:dyDescent="0.2">
      <c r="A7" s="96">
        <v>3</v>
      </c>
      <c r="B7" s="91"/>
      <c r="C7" s="189" t="s">
        <v>124</v>
      </c>
      <c r="D7" s="122"/>
      <c r="E7" s="133"/>
      <c r="F7" s="110"/>
      <c r="G7" s="161"/>
      <c r="H7" s="165"/>
      <c r="I7" s="92">
        <v>1</v>
      </c>
      <c r="J7" s="41"/>
      <c r="K7" s="41"/>
      <c r="L7" s="42"/>
      <c r="M7" s="128"/>
      <c r="N7" s="43">
        <f t="shared" si="0"/>
        <v>1</v>
      </c>
      <c r="O7" s="125">
        <v>1</v>
      </c>
      <c r="P7" s="112">
        <v>15</v>
      </c>
      <c r="Q7" s="113">
        <v>15</v>
      </c>
      <c r="R7" s="113">
        <v>15</v>
      </c>
      <c r="S7" s="120"/>
      <c r="T7" s="156"/>
      <c r="U7" s="48">
        <f t="shared" si="1"/>
        <v>15</v>
      </c>
      <c r="V7" s="49">
        <f t="shared" si="2"/>
        <v>15</v>
      </c>
      <c r="W7" s="116">
        <v>34748832000</v>
      </c>
      <c r="X7" s="205"/>
      <c r="Y7" s="162"/>
      <c r="Z7" s="163"/>
      <c r="AA7" s="164"/>
      <c r="AB7" s="50">
        <f t="shared" si="3"/>
        <v>32.370000000000005</v>
      </c>
      <c r="AC7" s="51">
        <f t="shared" si="4"/>
        <v>13</v>
      </c>
      <c r="AD7" s="124">
        <v>2</v>
      </c>
      <c r="AE7" s="48">
        <f t="shared" si="5"/>
        <v>15</v>
      </c>
      <c r="AF7" s="76"/>
      <c r="AG7" s="54">
        <v>2.92</v>
      </c>
      <c r="AH7" s="55">
        <f t="shared" si="6"/>
        <v>30</v>
      </c>
      <c r="AI7" s="56">
        <v>10</v>
      </c>
      <c r="AJ7" s="56">
        <v>10</v>
      </c>
      <c r="AK7" s="56">
        <v>45</v>
      </c>
      <c r="AL7" s="57">
        <f t="shared" si="7"/>
        <v>97.92</v>
      </c>
      <c r="AM7" s="55">
        <f t="shared" si="8"/>
        <v>95</v>
      </c>
      <c r="AN7" s="58">
        <f t="shared" si="9"/>
        <v>0.95499999999999996</v>
      </c>
      <c r="AO7" s="59"/>
      <c r="AP7" s="60">
        <f t="shared" si="10"/>
        <v>1</v>
      </c>
      <c r="AQ7" s="60">
        <f t="shared" si="10"/>
        <v>2</v>
      </c>
      <c r="AR7" s="61"/>
      <c r="AS7" s="62"/>
      <c r="AT7" s="63"/>
      <c r="AU7" s="63"/>
      <c r="AV7" s="63"/>
      <c r="AW7" s="63"/>
      <c r="AX7" s="64"/>
      <c r="AY7" s="65">
        <f t="shared" si="11"/>
        <v>0</v>
      </c>
      <c r="AZ7" s="65">
        <f t="shared" si="12"/>
        <v>0</v>
      </c>
    </row>
    <row r="8" spans="1:52" s="66" customFormat="1" ht="39.75" customHeight="1" thickBot="1" x14ac:dyDescent="0.2">
      <c r="A8" s="96">
        <v>4</v>
      </c>
      <c r="B8" s="91"/>
      <c r="C8" s="122" t="s">
        <v>126</v>
      </c>
      <c r="D8" s="132" t="s">
        <v>125</v>
      </c>
      <c r="E8" s="131"/>
      <c r="F8" s="109"/>
      <c r="G8" s="170"/>
      <c r="H8" s="158"/>
      <c r="I8" s="92">
        <v>0.51</v>
      </c>
      <c r="J8" s="41">
        <v>0.49</v>
      </c>
      <c r="K8" s="41"/>
      <c r="L8" s="42"/>
      <c r="M8" s="147"/>
      <c r="N8" s="94">
        <f t="shared" si="0"/>
        <v>1</v>
      </c>
      <c r="O8" s="125">
        <v>1</v>
      </c>
      <c r="P8" s="112">
        <v>15</v>
      </c>
      <c r="Q8" s="113">
        <v>15</v>
      </c>
      <c r="R8" s="113"/>
      <c r="S8" s="120"/>
      <c r="T8" s="70"/>
      <c r="U8" s="71">
        <f t="shared" si="1"/>
        <v>15</v>
      </c>
      <c r="V8" s="72">
        <f t="shared" si="2"/>
        <v>15</v>
      </c>
      <c r="W8" s="201">
        <v>15960644000</v>
      </c>
      <c r="X8" s="201">
        <v>14977246000</v>
      </c>
      <c r="Y8" s="136"/>
      <c r="Z8" s="136"/>
      <c r="AA8" s="74"/>
      <c r="AB8" s="75">
        <f t="shared" si="3"/>
        <v>14.430000000000001</v>
      </c>
      <c r="AC8" s="72">
        <f t="shared" si="4"/>
        <v>13</v>
      </c>
      <c r="AD8" s="124">
        <v>2</v>
      </c>
      <c r="AE8" s="71">
        <f t="shared" si="5"/>
        <v>15</v>
      </c>
      <c r="AF8" s="76"/>
      <c r="AG8" s="54">
        <v>2.92</v>
      </c>
      <c r="AH8" s="77">
        <f t="shared" si="6"/>
        <v>30</v>
      </c>
      <c r="AI8" s="56">
        <v>10</v>
      </c>
      <c r="AJ8" s="56">
        <v>10</v>
      </c>
      <c r="AK8" s="56">
        <v>45</v>
      </c>
      <c r="AL8" s="57">
        <f t="shared" si="7"/>
        <v>97.92</v>
      </c>
      <c r="AM8" s="55">
        <f t="shared" si="8"/>
        <v>95</v>
      </c>
      <c r="AN8" s="78">
        <f t="shared" si="9"/>
        <v>0.95499999999999996</v>
      </c>
      <c r="AO8" s="79"/>
      <c r="AP8" s="80">
        <f t="shared" si="10"/>
        <v>1</v>
      </c>
      <c r="AQ8" s="80">
        <f t="shared" si="10"/>
        <v>2</v>
      </c>
      <c r="AR8" s="61"/>
      <c r="AS8" s="62"/>
      <c r="AT8" s="81"/>
      <c r="AU8" s="81"/>
      <c r="AV8" s="81"/>
      <c r="AW8" s="81"/>
      <c r="AX8" s="82"/>
      <c r="AY8" s="83">
        <f t="shared" si="11"/>
        <v>0</v>
      </c>
      <c r="AZ8" s="83">
        <f t="shared" si="12"/>
        <v>0</v>
      </c>
    </row>
    <row r="9" spans="1:52" s="66" customFormat="1" ht="39.75" customHeight="1" thickBot="1" x14ac:dyDescent="0.2">
      <c r="A9" s="96">
        <v>5</v>
      </c>
      <c r="B9" s="91"/>
      <c r="C9" s="122" t="s">
        <v>127</v>
      </c>
      <c r="D9" s="132" t="s">
        <v>129</v>
      </c>
      <c r="E9" s="131"/>
      <c r="F9" s="110"/>
      <c r="G9" s="97"/>
      <c r="H9" s="158"/>
      <c r="I9" s="92">
        <v>0.51</v>
      </c>
      <c r="J9" s="41">
        <v>0.49</v>
      </c>
      <c r="K9" s="41"/>
      <c r="L9" s="42"/>
      <c r="M9" s="68"/>
      <c r="N9" s="69">
        <f t="shared" si="0"/>
        <v>1</v>
      </c>
      <c r="O9" s="125">
        <v>1</v>
      </c>
      <c r="P9" s="112">
        <v>15</v>
      </c>
      <c r="Q9" s="113">
        <v>15</v>
      </c>
      <c r="R9" s="113"/>
      <c r="S9" s="120"/>
      <c r="T9" s="70"/>
      <c r="U9" s="71">
        <f t="shared" si="1"/>
        <v>15</v>
      </c>
      <c r="V9" s="72">
        <f t="shared" si="2"/>
        <v>15</v>
      </c>
      <c r="W9" s="206">
        <v>11882803000</v>
      </c>
      <c r="X9" s="201">
        <v>14643377000</v>
      </c>
      <c r="Y9" s="136"/>
      <c r="Z9" s="116"/>
      <c r="AA9" s="74"/>
      <c r="AB9" s="75">
        <f t="shared" si="3"/>
        <v>12.35</v>
      </c>
      <c r="AC9" s="72">
        <f t="shared" si="4"/>
        <v>12.35</v>
      </c>
      <c r="AD9" s="124">
        <v>2</v>
      </c>
      <c r="AE9" s="71">
        <f t="shared" si="5"/>
        <v>14.35</v>
      </c>
      <c r="AF9" s="76"/>
      <c r="AG9" s="54">
        <v>2.92</v>
      </c>
      <c r="AH9" s="77">
        <f t="shared" si="6"/>
        <v>29.35</v>
      </c>
      <c r="AI9" s="56">
        <v>10</v>
      </c>
      <c r="AJ9" s="56">
        <v>10</v>
      </c>
      <c r="AK9" s="56">
        <v>45</v>
      </c>
      <c r="AL9" s="57">
        <f t="shared" si="7"/>
        <v>97.27</v>
      </c>
      <c r="AM9" s="55">
        <f t="shared" si="8"/>
        <v>95</v>
      </c>
      <c r="AN9" s="78">
        <f t="shared" si="9"/>
        <v>0.95825000000000005</v>
      </c>
      <c r="AO9" s="79"/>
      <c r="AP9" s="80">
        <f t="shared" si="10"/>
        <v>1</v>
      </c>
      <c r="AQ9" s="80">
        <f t="shared" si="10"/>
        <v>2</v>
      </c>
      <c r="AR9" s="61"/>
      <c r="AS9" s="62"/>
      <c r="AT9" s="81">
        <v>6911393000</v>
      </c>
      <c r="AU9" s="81">
        <v>3414248000</v>
      </c>
      <c r="AV9" s="81"/>
      <c r="AW9" s="81"/>
      <c r="AX9" s="82"/>
      <c r="AY9" s="83">
        <f t="shared" si="11"/>
        <v>10325641000</v>
      </c>
      <c r="AZ9" s="83">
        <f t="shared" si="12"/>
        <v>5197791950</v>
      </c>
    </row>
    <row r="10" spans="1:52" s="66" customFormat="1" ht="39.75" customHeight="1" thickBot="1" x14ac:dyDescent="0.2">
      <c r="A10" s="96">
        <v>6</v>
      </c>
      <c r="B10" s="91"/>
      <c r="C10" s="122" t="s">
        <v>128</v>
      </c>
      <c r="D10" s="134" t="s">
        <v>63</v>
      </c>
      <c r="E10" s="122"/>
      <c r="F10" s="109"/>
      <c r="G10" s="170"/>
      <c r="H10" s="195" t="s">
        <v>182</v>
      </c>
      <c r="I10" s="194">
        <v>0.43740000000000001</v>
      </c>
      <c r="J10" s="41">
        <v>0.49</v>
      </c>
      <c r="K10" s="41"/>
      <c r="L10" s="41"/>
      <c r="M10" s="147"/>
      <c r="N10" s="94">
        <f t="shared" si="0"/>
        <v>0.9274</v>
      </c>
      <c r="O10" s="125">
        <v>1</v>
      </c>
      <c r="P10" s="112">
        <v>15</v>
      </c>
      <c r="Q10" s="113">
        <v>15</v>
      </c>
      <c r="R10" s="113">
        <v>15</v>
      </c>
      <c r="S10" s="120"/>
      <c r="T10" s="70"/>
      <c r="U10" s="71">
        <f t="shared" si="1"/>
        <v>13.91</v>
      </c>
      <c r="V10" s="72">
        <f t="shared" si="2"/>
        <v>13.91</v>
      </c>
      <c r="W10" s="206">
        <v>2762807000</v>
      </c>
      <c r="X10" s="201">
        <v>57539030000</v>
      </c>
      <c r="Y10" s="85"/>
      <c r="Z10" s="136"/>
      <c r="AA10" s="74"/>
      <c r="AB10" s="75">
        <f t="shared" si="3"/>
        <v>27.3</v>
      </c>
      <c r="AC10" s="72">
        <f t="shared" si="4"/>
        <v>13</v>
      </c>
      <c r="AD10" s="149">
        <v>0</v>
      </c>
      <c r="AE10" s="71">
        <f t="shared" si="5"/>
        <v>13</v>
      </c>
      <c r="AF10" s="76">
        <f>1.5*J10</f>
        <v>0.73499999999999999</v>
      </c>
      <c r="AG10" s="54">
        <v>2.92</v>
      </c>
      <c r="AH10" s="77">
        <f t="shared" si="6"/>
        <v>27.645</v>
      </c>
      <c r="AI10" s="56">
        <v>10</v>
      </c>
      <c r="AJ10" s="56">
        <v>10</v>
      </c>
      <c r="AK10" s="56">
        <v>45</v>
      </c>
      <c r="AL10" s="57">
        <f t="shared" si="7"/>
        <v>95.564999999999998</v>
      </c>
      <c r="AM10" s="55">
        <f t="shared" si="8"/>
        <v>95</v>
      </c>
      <c r="AN10" s="78">
        <f t="shared" si="9"/>
        <v>0.96677500000000005</v>
      </c>
      <c r="AO10" s="79"/>
      <c r="AP10" s="80">
        <f t="shared" si="10"/>
        <v>1</v>
      </c>
      <c r="AQ10" s="80">
        <f t="shared" si="10"/>
        <v>2</v>
      </c>
      <c r="AR10" s="61"/>
      <c r="AS10" s="62"/>
      <c r="AT10" s="81"/>
      <c r="AU10" s="81"/>
      <c r="AV10" s="81"/>
      <c r="AW10" s="81"/>
      <c r="AX10" s="82"/>
      <c r="AY10" s="83">
        <f t="shared" si="11"/>
        <v>0</v>
      </c>
      <c r="AZ10" s="83">
        <f t="shared" si="12"/>
        <v>0</v>
      </c>
    </row>
    <row r="11" spans="1:52" s="66" customFormat="1" ht="21.95" customHeight="1" thickBot="1" x14ac:dyDescent="0.2">
      <c r="A11" s="96"/>
      <c r="B11" s="91"/>
      <c r="C11" s="352" t="s">
        <v>3</v>
      </c>
      <c r="D11" s="353"/>
      <c r="E11" s="353"/>
      <c r="F11" s="353"/>
      <c r="G11" s="354"/>
      <c r="H11" s="67"/>
      <c r="I11" s="84">
        <v>85</v>
      </c>
      <c r="J11" s="199">
        <v>85</v>
      </c>
      <c r="K11" s="84">
        <v>85</v>
      </c>
      <c r="L11" s="84"/>
      <c r="M11" s="84"/>
      <c r="N11" s="168">
        <f>I11*I10+J11*J10+K11*K10+L11*L10+M11*M10</f>
        <v>78.829000000000008</v>
      </c>
      <c r="O11" s="44"/>
      <c r="P11" s="45"/>
      <c r="Q11" s="46"/>
      <c r="R11" s="46"/>
      <c r="S11" s="47"/>
      <c r="T11" s="70"/>
      <c r="U11" s="71"/>
      <c r="V11" s="72"/>
      <c r="W11" s="150"/>
      <c r="X11" s="85"/>
      <c r="Y11" s="151"/>
      <c r="Z11" s="85"/>
      <c r="AA11" s="74"/>
      <c r="AB11" s="75"/>
      <c r="AC11" s="72"/>
      <c r="AD11" s="71"/>
      <c r="AE11" s="71"/>
      <c r="AF11" s="152"/>
      <c r="AG11" s="86"/>
      <c r="AH11" s="77"/>
      <c r="AI11" s="87"/>
      <c r="AJ11" s="46"/>
      <c r="AK11" s="77"/>
      <c r="AL11" s="78"/>
      <c r="AM11" s="79"/>
      <c r="AN11" s="80"/>
      <c r="AO11" s="80"/>
      <c r="AP11" s="61"/>
      <c r="AQ11" s="62"/>
      <c r="AR11" s="81"/>
      <c r="AS11" s="81"/>
      <c r="AT11" s="81"/>
      <c r="AU11" s="81"/>
      <c r="AV11" s="82"/>
      <c r="AW11" s="83"/>
      <c r="AX11" s="83"/>
      <c r="AZ11" s="66">
        <f t="shared" ref="AZ11" si="13">(AT11*I11)+(AU11*J11)+(AV11*K11)+(AW11*L11)+(AX11*M11)</f>
        <v>0</v>
      </c>
    </row>
    <row r="12" spans="1:52" s="66" customFormat="1" ht="39.75" customHeight="1" thickBot="1" x14ac:dyDescent="0.2">
      <c r="A12" s="96">
        <v>7</v>
      </c>
      <c r="B12" s="91"/>
      <c r="C12" s="122" t="s">
        <v>131</v>
      </c>
      <c r="D12" s="132" t="s">
        <v>158</v>
      </c>
      <c r="E12" s="110"/>
      <c r="F12" s="131"/>
      <c r="G12" s="97"/>
      <c r="H12" s="158"/>
      <c r="I12" s="92">
        <v>0.51</v>
      </c>
      <c r="J12" s="41">
        <v>0.49</v>
      </c>
      <c r="K12" s="133"/>
      <c r="L12" s="42"/>
      <c r="M12" s="68"/>
      <c r="N12" s="69">
        <f>SUM(I12:M12)</f>
        <v>1</v>
      </c>
      <c r="O12" s="125">
        <v>1</v>
      </c>
      <c r="P12" s="112">
        <v>15</v>
      </c>
      <c r="Q12" s="113">
        <v>15</v>
      </c>
      <c r="R12" s="113">
        <v>15</v>
      </c>
      <c r="S12" s="120"/>
      <c r="T12" s="70"/>
      <c r="U12" s="71">
        <f>ROUND(((P12*I12)+(Q12*J12)+(R12*K12)+(S12*L12)+(T12*M12))*O12,2)</f>
        <v>15</v>
      </c>
      <c r="V12" s="72">
        <f>IF(U12&gt;=15,15,U12)</f>
        <v>15</v>
      </c>
      <c r="W12" s="200">
        <v>1628261000</v>
      </c>
      <c r="X12" s="205">
        <v>36722664000</v>
      </c>
      <c r="Y12" s="201"/>
      <c r="Z12" s="136"/>
      <c r="AA12" s="74"/>
      <c r="AB12" s="75">
        <f>ROUND((((W12*I12)+(X12*J12)+(Y12*K12)+(Z12*L12)+(AA12*M12))/$I$2),2)*13</f>
        <v>17.55</v>
      </c>
      <c r="AC12" s="72">
        <f>IF(AB12&gt;=13,13,AB12)</f>
        <v>13</v>
      </c>
      <c r="AD12" s="124">
        <v>2</v>
      </c>
      <c r="AE12" s="71">
        <f>IF((AC12+AD12)&gt;=15,15,(AC12+AD12))</f>
        <v>15</v>
      </c>
      <c r="AF12" s="76"/>
      <c r="AG12" s="54">
        <v>2.92</v>
      </c>
      <c r="AH12" s="77">
        <f>IF((V12+AE12+AF12)&gt;=30,30,(V12+AE12+AF12))</f>
        <v>30</v>
      </c>
      <c r="AI12" s="56">
        <v>10</v>
      </c>
      <c r="AJ12" s="56">
        <v>10</v>
      </c>
      <c r="AK12" s="56">
        <v>45</v>
      </c>
      <c r="AL12" s="57">
        <f>V12+AE12+AF12+AI12+AJ12+AK12+AG12</f>
        <v>97.92</v>
      </c>
      <c r="AM12" s="55">
        <f>IF(AH12+AI12+AJ12+AK12+AG12&gt;=95,95,AH12+AI12+AJ12+AK12+AG12)</f>
        <v>95</v>
      </c>
      <c r="AN12" s="78">
        <f>-((50-((176+(45+(50-AH12)))))/200)</f>
        <v>0.95499999999999996</v>
      </c>
      <c r="AO12" s="79"/>
      <c r="AP12" s="80">
        <f t="shared" ref="AP12:AQ14" si="14">100%+AO12</f>
        <v>1</v>
      </c>
      <c r="AQ12" s="80">
        <f t="shared" si="14"/>
        <v>2</v>
      </c>
      <c r="AR12" s="61"/>
      <c r="AS12" s="62"/>
      <c r="AT12" s="81"/>
      <c r="AU12" s="81"/>
      <c r="AV12" s="81"/>
      <c r="AW12" s="81"/>
      <c r="AX12" s="82"/>
      <c r="AY12" s="83">
        <f>AT12+AU12+AV12+AW12+AX12</f>
        <v>0</v>
      </c>
      <c r="AZ12" s="83">
        <f>(AT12*I12)+(AU12*J12)+(AV12*K12)+(AW12*L12)+(AX12*M12)</f>
        <v>0</v>
      </c>
    </row>
    <row r="13" spans="1:52" s="66" customFormat="1" ht="39.75" customHeight="1" thickBot="1" x14ac:dyDescent="0.2">
      <c r="A13" s="96">
        <v>8</v>
      </c>
      <c r="B13" s="91"/>
      <c r="C13" s="132" t="s">
        <v>133</v>
      </c>
      <c r="D13" s="131" t="s">
        <v>134</v>
      </c>
      <c r="E13" s="131" t="s">
        <v>135</v>
      </c>
      <c r="F13" s="131"/>
      <c r="G13" s="170"/>
      <c r="H13" s="158"/>
      <c r="I13" s="92">
        <v>0.4</v>
      </c>
      <c r="J13" s="41">
        <v>0.3</v>
      </c>
      <c r="K13" s="41">
        <v>0.3</v>
      </c>
      <c r="L13" s="42"/>
      <c r="M13" s="68"/>
      <c r="N13" s="94">
        <f>SUM(I13:M13)</f>
        <v>1</v>
      </c>
      <c r="O13" s="125">
        <v>1</v>
      </c>
      <c r="P13" s="112">
        <v>15</v>
      </c>
      <c r="Q13" s="113">
        <v>15</v>
      </c>
      <c r="R13" s="113">
        <v>15</v>
      </c>
      <c r="S13" s="120"/>
      <c r="T13" s="70"/>
      <c r="U13" s="71">
        <f>ROUND(((P13*I13)+(Q13*J13)+(R13*K13)+(S13*L13)+(T13*M13))*O13,2)</f>
        <v>15</v>
      </c>
      <c r="V13" s="72">
        <f>IF(U13&gt;=15,15,U13)</f>
        <v>15</v>
      </c>
      <c r="W13" s="202">
        <v>3425675000</v>
      </c>
      <c r="X13" s="201">
        <v>130509297000</v>
      </c>
      <c r="Y13" s="201">
        <v>8216820000</v>
      </c>
      <c r="Z13" s="136"/>
      <c r="AA13" s="74"/>
      <c r="AB13" s="75">
        <f>ROUND((((W13*I13)+(X13*J13)+(Y13*K13)+(Z13*L13)+(AA13*M13))/$I$2),2)*13</f>
        <v>40.04</v>
      </c>
      <c r="AC13" s="72">
        <f>IF(AB13&gt;=13,13,AB13)</f>
        <v>13</v>
      </c>
      <c r="AD13" s="124">
        <v>2</v>
      </c>
      <c r="AE13" s="71">
        <f>IF((AC13+AD13)&gt;=15,15,(AC13+AD13))</f>
        <v>15</v>
      </c>
      <c r="AF13" s="76"/>
      <c r="AG13" s="54">
        <v>2.92</v>
      </c>
      <c r="AH13" s="77">
        <f>IF((V13+AE13+AF13)&gt;=30,30,(V13+AE13+AF13))</f>
        <v>30</v>
      </c>
      <c r="AI13" s="56">
        <v>10</v>
      </c>
      <c r="AJ13" s="56">
        <v>10</v>
      </c>
      <c r="AK13" s="56">
        <v>45</v>
      </c>
      <c r="AL13" s="57">
        <f>V13+AE13+AF13+AI13+AJ13+AK13+AG13</f>
        <v>97.92</v>
      </c>
      <c r="AM13" s="55">
        <f>IF(AH13+AI13+AJ13+AK13+AG13&gt;=95,95,AH13+AI13+AJ13+AK13+AG13)</f>
        <v>95</v>
      </c>
      <c r="AN13" s="78">
        <f>-((50-((176+(45+(50-AH13)))))/200)</f>
        <v>0.95499999999999996</v>
      </c>
      <c r="AO13" s="79"/>
      <c r="AP13" s="80">
        <f t="shared" si="14"/>
        <v>1</v>
      </c>
      <c r="AQ13" s="80">
        <f t="shared" si="14"/>
        <v>2</v>
      </c>
      <c r="AR13" s="61"/>
      <c r="AS13" s="62"/>
      <c r="AT13" s="81"/>
      <c r="AU13" s="81"/>
      <c r="AV13" s="81"/>
      <c r="AW13" s="81"/>
      <c r="AX13" s="82"/>
      <c r="AY13" s="83">
        <f>AT13+AU13+AV13+AW13+AX13</f>
        <v>0</v>
      </c>
      <c r="AZ13" s="83">
        <f t="shared" ref="AZ13:AZ71" si="15">(AT13*I13)+(AU13*J13)+(AV13*K13)+(AW13*L13)+(AX13*M13)</f>
        <v>0</v>
      </c>
    </row>
    <row r="14" spans="1:52" s="66" customFormat="1" ht="39.75" customHeight="1" thickBot="1" x14ac:dyDescent="0.2">
      <c r="A14" s="96">
        <v>9</v>
      </c>
      <c r="B14" s="91"/>
      <c r="C14" s="122" t="s">
        <v>136</v>
      </c>
      <c r="D14" s="134" t="s">
        <v>137</v>
      </c>
      <c r="E14" s="131"/>
      <c r="F14" s="108"/>
      <c r="G14" s="170"/>
      <c r="H14" s="158"/>
      <c r="I14" s="92">
        <v>0.51</v>
      </c>
      <c r="J14" s="41">
        <v>0.49</v>
      </c>
      <c r="K14" s="133"/>
      <c r="L14" s="42"/>
      <c r="M14" s="147"/>
      <c r="N14" s="94">
        <f>SUM(I14:M14)</f>
        <v>1</v>
      </c>
      <c r="O14" s="125">
        <v>1</v>
      </c>
      <c r="P14" s="112">
        <v>15</v>
      </c>
      <c r="Q14" s="113">
        <v>15</v>
      </c>
      <c r="R14" s="113">
        <v>15</v>
      </c>
      <c r="S14" s="120"/>
      <c r="T14" s="70"/>
      <c r="U14" s="71">
        <f>ROUND(((P14*I14)+(Q14*J14)+(R14*K14)+(S14*L14)+(T14*M14))*O14,2)</f>
        <v>15</v>
      </c>
      <c r="V14" s="72">
        <f>IF(U14&gt;=15,15,U14)</f>
        <v>15</v>
      </c>
      <c r="W14" s="200">
        <v>5383000000</v>
      </c>
      <c r="X14" s="201">
        <v>17523143000</v>
      </c>
      <c r="Y14" s="201"/>
      <c r="Z14" s="136"/>
      <c r="AA14" s="74"/>
      <c r="AB14" s="75">
        <f>ROUND((((W14*I14)+(X14*J14)+(Y14*K14)+(Z14*L14)+(AA14*M14))/$I$2),2)*13</f>
        <v>10.530000000000001</v>
      </c>
      <c r="AC14" s="72">
        <f>IF(AB14&gt;=13,13,AB14)</f>
        <v>10.530000000000001</v>
      </c>
      <c r="AD14" s="124">
        <v>2</v>
      </c>
      <c r="AE14" s="71">
        <f>IF((AC14+AD14)&gt;=15,15,(AC14+AD14))</f>
        <v>12.530000000000001</v>
      </c>
      <c r="AF14" s="76"/>
      <c r="AG14" s="54">
        <v>2.92</v>
      </c>
      <c r="AH14" s="77">
        <f>IF((V14+AE14+AF14)&gt;=30,30,(V14+AE14+AF14))</f>
        <v>27.53</v>
      </c>
      <c r="AI14" s="56">
        <v>10</v>
      </c>
      <c r="AJ14" s="56">
        <v>10</v>
      </c>
      <c r="AK14" s="56">
        <v>45</v>
      </c>
      <c r="AL14" s="57">
        <f>V14+AE14+AF14+AI14+AJ14+AK14+AG14</f>
        <v>95.45</v>
      </c>
      <c r="AM14" s="55">
        <f>IF(AH14+AI14+AJ14+AK14+AG14&gt;=95,95,AH14+AI14+AJ14+AK14+AG14)</f>
        <v>95</v>
      </c>
      <c r="AN14" s="78">
        <f>-((50-((176+(45+(50-AH14)))))/200)</f>
        <v>0.96735000000000004</v>
      </c>
      <c r="AO14" s="79"/>
      <c r="AP14" s="80">
        <f t="shared" si="14"/>
        <v>1</v>
      </c>
      <c r="AQ14" s="80">
        <f t="shared" si="14"/>
        <v>2</v>
      </c>
      <c r="AR14" s="61"/>
      <c r="AS14" s="62"/>
      <c r="AT14" s="81"/>
      <c r="AU14" s="81"/>
      <c r="AV14" s="81"/>
      <c r="AW14" s="81"/>
      <c r="AX14" s="82"/>
      <c r="AY14" s="83">
        <f>AT14+AU14+AV14+AW14+AX14</f>
        <v>0</v>
      </c>
      <c r="AZ14" s="83">
        <f t="shared" si="15"/>
        <v>0</v>
      </c>
    </row>
    <row r="15" spans="1:52" s="66" customFormat="1" ht="39.75" customHeight="1" thickBot="1" x14ac:dyDescent="0.2">
      <c r="A15" s="96">
        <v>10</v>
      </c>
      <c r="B15" s="91"/>
      <c r="C15" s="129" t="s">
        <v>138</v>
      </c>
      <c r="D15" s="132" t="s">
        <v>153</v>
      </c>
      <c r="E15" s="131"/>
      <c r="F15" s="131"/>
      <c r="G15" s="97"/>
      <c r="H15" s="207" t="s">
        <v>177</v>
      </c>
      <c r="I15" s="92">
        <v>0.51</v>
      </c>
      <c r="J15" s="209">
        <v>0.45319999999999999</v>
      </c>
      <c r="K15" s="41"/>
      <c r="L15" s="42"/>
      <c r="M15" s="147"/>
      <c r="N15" s="69">
        <f>SUM(I15:M15)</f>
        <v>0.96320000000000006</v>
      </c>
      <c r="O15" s="141">
        <v>1.05</v>
      </c>
      <c r="P15" s="112">
        <v>15</v>
      </c>
      <c r="Q15" s="113">
        <v>15</v>
      </c>
      <c r="R15" s="113">
        <v>15</v>
      </c>
      <c r="S15" s="120"/>
      <c r="T15" s="70"/>
      <c r="U15" s="71">
        <f>ROUND(((P15*I15)+(Q15*J15)+(R15*K15)+(S15*L15)+(T15*M15))*O15,2)</f>
        <v>15.17</v>
      </c>
      <c r="V15" s="72">
        <f>IF(U15&gt;=15,15,U15)</f>
        <v>15</v>
      </c>
      <c r="W15" s="200">
        <v>21781049000</v>
      </c>
      <c r="X15" s="201">
        <v>3530749000</v>
      </c>
      <c r="Y15" s="205"/>
      <c r="Z15" s="119"/>
      <c r="AA15" s="74"/>
      <c r="AB15" s="75">
        <f>ROUND((((W15*I15)+(X15*J15)+(Y15*K15)+(Z15*L15)+(AA15*M15))/$I$2),2)*13</f>
        <v>11.83</v>
      </c>
      <c r="AC15" s="72">
        <f>IF(AB15&gt;=13,13,AB15)</f>
        <v>11.83</v>
      </c>
      <c r="AD15" s="149">
        <v>1</v>
      </c>
      <c r="AE15" s="71">
        <f>IF((AC15+AD15)&gt;=15,15,(AC15+AD15))</f>
        <v>12.83</v>
      </c>
      <c r="AF15" s="76"/>
      <c r="AG15" s="54">
        <v>2.92</v>
      </c>
      <c r="AH15" s="77">
        <f>IF((V15+AE15+AF15)&gt;=30,30,(V15+AE15+AF15))</f>
        <v>27.83</v>
      </c>
      <c r="AI15" s="56">
        <v>10</v>
      </c>
      <c r="AJ15" s="56">
        <v>10</v>
      </c>
      <c r="AK15" s="56">
        <v>45</v>
      </c>
      <c r="AL15" s="57">
        <f>V15+AE15+AF15+AI15+AJ15+AK15+AG15</f>
        <v>95.75</v>
      </c>
      <c r="AM15" s="55">
        <f>IF(AH15+AI15+AJ15+AK15+AG15&gt;=95,95,AH15+AI15+AJ15+AK15+AG15)</f>
        <v>95</v>
      </c>
      <c r="AN15" s="78">
        <f>-((50-((176+(45+(50-AH15)))))/200)</f>
        <v>0.9658500000000001</v>
      </c>
      <c r="AO15" s="79"/>
      <c r="AP15" s="80">
        <f t="shared" ref="AP15:AQ30" si="16">100%+AO15</f>
        <v>1</v>
      </c>
      <c r="AQ15" s="80">
        <f t="shared" si="16"/>
        <v>2</v>
      </c>
      <c r="AR15" s="61"/>
      <c r="AS15" s="62"/>
      <c r="AT15" s="81"/>
      <c r="AU15" s="81"/>
      <c r="AV15" s="81"/>
      <c r="AW15" s="81"/>
      <c r="AX15" s="82"/>
      <c r="AY15" s="83">
        <f>AT15+AU15+AV15+AW15+AX15</f>
        <v>0</v>
      </c>
      <c r="AZ15" s="83">
        <f t="shared" si="15"/>
        <v>0</v>
      </c>
    </row>
    <row r="16" spans="1:52" s="66" customFormat="1" ht="21.95" customHeight="1" thickBot="1" x14ac:dyDescent="0.2">
      <c r="A16" s="96"/>
      <c r="B16" s="91"/>
      <c r="C16" s="352" t="s">
        <v>3</v>
      </c>
      <c r="D16" s="353"/>
      <c r="E16" s="353"/>
      <c r="F16" s="353"/>
      <c r="G16" s="354"/>
      <c r="H16" s="67"/>
      <c r="I16" s="84">
        <v>85</v>
      </c>
      <c r="J16" s="199">
        <v>85</v>
      </c>
      <c r="K16" s="84">
        <v>85</v>
      </c>
      <c r="L16" s="84"/>
      <c r="M16" s="84"/>
      <c r="N16" s="168">
        <f>I16*I15+J16*J15+K16*K15+L16*L15+M16*M15</f>
        <v>81.872</v>
      </c>
      <c r="O16" s="44"/>
      <c r="P16" s="45"/>
      <c r="Q16" s="46"/>
      <c r="R16" s="46"/>
      <c r="S16" s="47"/>
      <c r="T16" s="70"/>
      <c r="U16" s="71"/>
      <c r="V16" s="72"/>
      <c r="W16" s="150"/>
      <c r="X16" s="85"/>
      <c r="Y16" s="151"/>
      <c r="Z16" s="85"/>
      <c r="AA16" s="74"/>
      <c r="AB16" s="75"/>
      <c r="AC16" s="72"/>
      <c r="AD16" s="71"/>
      <c r="AE16" s="71"/>
      <c r="AF16" s="152"/>
      <c r="AG16" s="86"/>
      <c r="AH16" s="77"/>
      <c r="AI16" s="87"/>
      <c r="AJ16" s="46"/>
      <c r="AK16" s="77"/>
      <c r="AL16" s="78"/>
      <c r="AM16" s="79"/>
      <c r="AN16" s="80"/>
      <c r="AO16" s="80"/>
      <c r="AP16" s="61"/>
      <c r="AQ16" s="62"/>
      <c r="AR16" s="81"/>
      <c r="AS16" s="81"/>
      <c r="AT16" s="81"/>
      <c r="AU16" s="81"/>
      <c r="AV16" s="82"/>
      <c r="AW16" s="83"/>
      <c r="AX16" s="83"/>
      <c r="AZ16" s="66">
        <f t="shared" ref="AZ16" si="17">(AT16*I16)+(AU16*J16)+(AV16*K16)+(AW16*L16)+(AX16*M16)</f>
        <v>0</v>
      </c>
    </row>
    <row r="17" spans="1:52" s="66" customFormat="1" ht="39.75" customHeight="1" thickBot="1" x14ac:dyDescent="0.2">
      <c r="A17" s="96">
        <v>11</v>
      </c>
      <c r="B17" s="91"/>
      <c r="C17" s="129" t="s">
        <v>172</v>
      </c>
      <c r="D17" s="132" t="s">
        <v>140</v>
      </c>
      <c r="E17" s="91"/>
      <c r="F17" s="108"/>
      <c r="G17" s="170"/>
      <c r="H17" s="158"/>
      <c r="I17" s="92">
        <v>0.51</v>
      </c>
      <c r="J17" s="41">
        <v>0.49</v>
      </c>
      <c r="K17" s="41"/>
      <c r="L17" s="42"/>
      <c r="M17" s="147"/>
      <c r="N17" s="69">
        <f>SUM(I17:M17)</f>
        <v>1</v>
      </c>
      <c r="O17" s="125">
        <v>1</v>
      </c>
      <c r="P17" s="112">
        <v>15</v>
      </c>
      <c r="Q17" s="113">
        <v>15</v>
      </c>
      <c r="R17" s="113"/>
      <c r="S17" s="120"/>
      <c r="T17" s="70"/>
      <c r="U17" s="71">
        <f>ROUND(((P17*I17)+(Q17*J17)+(R17*K17)+(S17*L17)+(T17*M17))*O17,2)</f>
        <v>15</v>
      </c>
      <c r="V17" s="72">
        <f>IF(U17&gt;=15,15,U17)</f>
        <v>15</v>
      </c>
      <c r="W17" s="200">
        <v>19760143000</v>
      </c>
      <c r="X17" s="203">
        <v>8139504000</v>
      </c>
      <c r="Y17" s="201"/>
      <c r="Z17" s="116"/>
      <c r="AA17" s="74"/>
      <c r="AB17" s="75">
        <f>ROUND((((W17*I17)+(X17*J17)+(Y17*K17)+(Z17*L17)+(AA17*M17))/$I$2),2)*13</f>
        <v>13.13</v>
      </c>
      <c r="AC17" s="72">
        <f>IF(AB17&gt;=13,13,AB17)</f>
        <v>13</v>
      </c>
      <c r="AD17" s="124">
        <v>2</v>
      </c>
      <c r="AE17" s="71">
        <f>IF((AC17+AD17)&gt;=15,15,(AC17+AD17))</f>
        <v>15</v>
      </c>
      <c r="AF17" s="53"/>
      <c r="AG17" s="54">
        <v>2.92</v>
      </c>
      <c r="AH17" s="77">
        <f>IF((V17+AE17+AF17)&gt;=30,30,(V17+AE17+AF17))</f>
        <v>30</v>
      </c>
      <c r="AI17" s="56">
        <v>10</v>
      </c>
      <c r="AJ17" s="56">
        <v>10</v>
      </c>
      <c r="AK17" s="56">
        <v>45</v>
      </c>
      <c r="AL17" s="57">
        <f>V17+AE17+AF17+AI17+AJ17+AK17+AG17</f>
        <v>97.92</v>
      </c>
      <c r="AM17" s="55">
        <f>IF(AH17+AI17+AJ17+AK17+AG17&gt;=95,95,AH17+AI17+AJ17+AK17+AG17)</f>
        <v>95</v>
      </c>
      <c r="AN17" s="78">
        <f>-((50-((176+(45+(50-AH17)))))/200)</f>
        <v>0.95499999999999996</v>
      </c>
      <c r="AO17" s="79"/>
      <c r="AP17" s="80">
        <f t="shared" si="16"/>
        <v>1</v>
      </c>
      <c r="AQ17" s="80">
        <f t="shared" si="16"/>
        <v>2</v>
      </c>
      <c r="AR17" s="61"/>
      <c r="AS17" s="62"/>
      <c r="AT17" s="81"/>
      <c r="AU17" s="81"/>
      <c r="AV17" s="81"/>
      <c r="AW17" s="81"/>
      <c r="AX17" s="82"/>
      <c r="AY17" s="83">
        <f>AT17+AU17+AV17+AW17+AX17</f>
        <v>0</v>
      </c>
      <c r="AZ17" s="83">
        <f t="shared" si="15"/>
        <v>0</v>
      </c>
    </row>
    <row r="18" spans="1:52" s="66" customFormat="1" ht="21.95" customHeight="1" thickBot="1" x14ac:dyDescent="0.2">
      <c r="A18" s="96"/>
      <c r="B18" s="91"/>
      <c r="C18" s="352" t="s">
        <v>3</v>
      </c>
      <c r="D18" s="353"/>
      <c r="E18" s="353"/>
      <c r="F18" s="353"/>
      <c r="G18" s="354"/>
      <c r="H18" s="67"/>
      <c r="I18" s="84">
        <v>85</v>
      </c>
      <c r="J18" s="199">
        <v>85</v>
      </c>
      <c r="K18" s="84">
        <v>85</v>
      </c>
      <c r="L18" s="84"/>
      <c r="M18" s="84"/>
      <c r="N18" s="168">
        <f>I18*I17+J18*J17+K18*K17+L18*L17+M18*M17</f>
        <v>85</v>
      </c>
      <c r="O18" s="44"/>
      <c r="P18" s="45"/>
      <c r="Q18" s="46"/>
      <c r="R18" s="46"/>
      <c r="S18" s="47"/>
      <c r="T18" s="70"/>
      <c r="U18" s="71"/>
      <c r="V18" s="72"/>
      <c r="W18" s="150"/>
      <c r="X18" s="85"/>
      <c r="Y18" s="151"/>
      <c r="Z18" s="85"/>
      <c r="AA18" s="74"/>
      <c r="AB18" s="75"/>
      <c r="AC18" s="72"/>
      <c r="AD18" s="71"/>
      <c r="AE18" s="71"/>
      <c r="AF18" s="152"/>
      <c r="AG18" s="86"/>
      <c r="AH18" s="77"/>
      <c r="AI18" s="87"/>
      <c r="AJ18" s="46"/>
      <c r="AK18" s="77"/>
      <c r="AL18" s="78"/>
      <c r="AM18" s="79"/>
      <c r="AN18" s="80"/>
      <c r="AO18" s="80"/>
      <c r="AP18" s="61"/>
      <c r="AQ18" s="62"/>
      <c r="AR18" s="81"/>
      <c r="AS18" s="81"/>
      <c r="AT18" s="81"/>
      <c r="AU18" s="81"/>
      <c r="AV18" s="82"/>
      <c r="AW18" s="83"/>
      <c r="AX18" s="83"/>
      <c r="AZ18" s="66">
        <f t="shared" si="15"/>
        <v>0</v>
      </c>
    </row>
    <row r="19" spans="1:52" s="66" customFormat="1" ht="39.75" customHeight="1" thickBot="1" x14ac:dyDescent="0.2">
      <c r="A19" s="96">
        <v>12</v>
      </c>
      <c r="B19" s="210"/>
      <c r="C19" s="129" t="s">
        <v>144</v>
      </c>
      <c r="D19" s="192" t="s">
        <v>148</v>
      </c>
      <c r="E19" s="134" t="s">
        <v>183</v>
      </c>
      <c r="F19" s="109"/>
      <c r="G19" s="170"/>
      <c r="H19" s="158"/>
      <c r="I19" s="92">
        <v>0.5</v>
      </c>
      <c r="J19" s="41">
        <v>0.25</v>
      </c>
      <c r="K19" s="41">
        <v>0.25</v>
      </c>
      <c r="L19" s="42"/>
      <c r="M19" s="147"/>
      <c r="N19" s="94">
        <f>SUM(I19:M19)</f>
        <v>1</v>
      </c>
      <c r="O19" s="125">
        <v>1</v>
      </c>
      <c r="P19" s="112">
        <v>15</v>
      </c>
      <c r="Q19" s="113">
        <v>15</v>
      </c>
      <c r="R19" s="113">
        <v>15</v>
      </c>
      <c r="S19" s="120"/>
      <c r="T19" s="70"/>
      <c r="U19" s="71">
        <f>ROUND(((P19*I19)+(Q19*J19)+(R19*K19)+(S19*L19)+(T19*M19))*O19,2)</f>
        <v>15</v>
      </c>
      <c r="V19" s="72">
        <f>IF(U19&gt;=15,15,U19)</f>
        <v>15</v>
      </c>
      <c r="W19" s="200">
        <v>101360213000</v>
      </c>
      <c r="X19" s="197">
        <v>1803756000</v>
      </c>
      <c r="Y19" s="136">
        <v>3441663000</v>
      </c>
      <c r="Z19" s="136"/>
      <c r="AA19" s="74"/>
      <c r="AB19" s="75">
        <f>ROUND((((W19*I19)+(X19*J19)+(Y19*K19)+(Z19*L19)+(AA19*M19))/$I$2),2)*13</f>
        <v>48.36</v>
      </c>
      <c r="AC19" s="72">
        <f>IF(AB19&gt;=13,13,AB19)</f>
        <v>13</v>
      </c>
      <c r="AD19" s="124">
        <v>2</v>
      </c>
      <c r="AE19" s="71">
        <f>IF((AC19+AD19)&gt;=15,15,(AC19+AD19))</f>
        <v>15</v>
      </c>
      <c r="AF19" s="53"/>
      <c r="AG19" s="54">
        <v>2.92</v>
      </c>
      <c r="AH19" s="77">
        <f>IF((V19+AE19+AF19)&gt;=30,30,(V19+AE19+AF19))</f>
        <v>30</v>
      </c>
      <c r="AI19" s="56">
        <v>10</v>
      </c>
      <c r="AJ19" s="56">
        <v>10</v>
      </c>
      <c r="AK19" s="56">
        <v>45</v>
      </c>
      <c r="AL19" s="57">
        <f>V19+AE19+AF19+AI19+AJ19+AK19+AG19</f>
        <v>97.92</v>
      </c>
      <c r="AM19" s="55">
        <f>IF(AH19+AI19+AJ19+AK19+AG19&gt;=95,95,AH19+AI19+AJ19+AK19+AG19)</f>
        <v>95</v>
      </c>
      <c r="AN19" s="78">
        <f>-((50-((176+(45+(50-AH19)))))/200)</f>
        <v>0.95499999999999996</v>
      </c>
      <c r="AO19" s="79"/>
      <c r="AP19" s="80">
        <f t="shared" si="16"/>
        <v>1</v>
      </c>
      <c r="AQ19" s="80">
        <f t="shared" si="16"/>
        <v>2</v>
      </c>
      <c r="AR19" s="61"/>
      <c r="AS19" s="62"/>
      <c r="AT19" s="81"/>
      <c r="AU19" s="81"/>
      <c r="AV19" s="81"/>
      <c r="AW19" s="81"/>
      <c r="AX19" s="82"/>
      <c r="AY19" s="83">
        <f>AT19+AU19+AV19+AW19+AX19</f>
        <v>0</v>
      </c>
      <c r="AZ19" s="83">
        <f t="shared" si="15"/>
        <v>0</v>
      </c>
    </row>
    <row r="20" spans="1:52" s="66" customFormat="1" ht="39.75" customHeight="1" thickBot="1" x14ac:dyDescent="0.2">
      <c r="A20" s="96">
        <v>13</v>
      </c>
      <c r="B20" s="91"/>
      <c r="C20" s="129" t="s">
        <v>147</v>
      </c>
      <c r="D20" s="134" t="s">
        <v>146</v>
      </c>
      <c r="E20" s="109"/>
      <c r="F20" s="109"/>
      <c r="G20" s="170"/>
      <c r="H20" s="207" t="s">
        <v>170</v>
      </c>
      <c r="I20" s="92">
        <v>0.7</v>
      </c>
      <c r="J20" s="41">
        <v>0.3</v>
      </c>
      <c r="K20" s="41"/>
      <c r="L20" s="42"/>
      <c r="M20" s="147"/>
      <c r="N20" s="69">
        <f>SUM(I20:M20)</f>
        <v>1</v>
      </c>
      <c r="O20" s="125">
        <v>1</v>
      </c>
      <c r="P20" s="112">
        <v>15</v>
      </c>
      <c r="Q20" s="113">
        <v>15</v>
      </c>
      <c r="R20" s="113">
        <v>15</v>
      </c>
      <c r="S20" s="120"/>
      <c r="T20" s="70"/>
      <c r="U20" s="71">
        <f>ROUND(((P20*I20)+(Q20*J20)+(R20*K20)+(S20*L20)+(T20*M20))*O20,2)</f>
        <v>15</v>
      </c>
      <c r="V20" s="72">
        <f>IF(U20&gt;=15,15,U20)</f>
        <v>15</v>
      </c>
      <c r="W20" s="200">
        <v>229675529000</v>
      </c>
      <c r="X20" s="201">
        <v>4319931000</v>
      </c>
      <c r="Y20" s="201"/>
      <c r="Z20" s="201"/>
      <c r="AA20" s="74"/>
      <c r="AB20" s="75">
        <f>ROUND((((W20*I20)+(X20*J20)+(Y20*K20)+(Z20*L20)+(AA20*M20))/$I$2),2)*13</f>
        <v>150.79999999999998</v>
      </c>
      <c r="AC20" s="72">
        <f>IF(AB20&gt;=13,13,AB20)</f>
        <v>13</v>
      </c>
      <c r="AD20" s="124">
        <v>2</v>
      </c>
      <c r="AE20" s="71">
        <f>IF((AC20+AD20)&gt;=15,15,(AC20+AD20))</f>
        <v>15</v>
      </c>
      <c r="AF20" s="76"/>
      <c r="AG20" s="54">
        <v>2.92</v>
      </c>
      <c r="AH20" s="77">
        <f>IF((V20+AE20+AF20)&gt;=30,30,(V20+AE20+AF20))</f>
        <v>30</v>
      </c>
      <c r="AI20" s="56">
        <v>10</v>
      </c>
      <c r="AJ20" s="56">
        <v>10</v>
      </c>
      <c r="AK20" s="56">
        <v>45</v>
      </c>
      <c r="AL20" s="57">
        <f>V20+AE20+AF20+AI20+AJ20+AK20+AG20</f>
        <v>97.92</v>
      </c>
      <c r="AM20" s="55">
        <f>IF(AH20+AI20+AJ20+AK20+AG20&gt;=95,95,AH20+AI20+AJ20+AK20+AG20)</f>
        <v>95</v>
      </c>
      <c r="AN20" s="78">
        <f>-((50-((176+(45+(50-AH20)))))/200)</f>
        <v>0.95499999999999996</v>
      </c>
      <c r="AO20" s="79"/>
      <c r="AP20" s="80">
        <f t="shared" si="16"/>
        <v>1</v>
      </c>
      <c r="AQ20" s="80">
        <f t="shared" si="16"/>
        <v>2</v>
      </c>
      <c r="AR20" s="61"/>
      <c r="AS20" s="62"/>
      <c r="AT20" s="81"/>
      <c r="AU20" s="81"/>
      <c r="AV20" s="81"/>
      <c r="AW20" s="81"/>
      <c r="AX20" s="82"/>
      <c r="AY20" s="83">
        <f>AT20+AU20+AV20+AW20+AX20</f>
        <v>0</v>
      </c>
      <c r="AZ20" s="83">
        <f t="shared" si="15"/>
        <v>0</v>
      </c>
    </row>
    <row r="21" spans="1:52" s="66" customFormat="1" ht="39.75" customHeight="1" thickBot="1" x14ac:dyDescent="0.2">
      <c r="A21" s="96">
        <v>14</v>
      </c>
      <c r="B21" s="91"/>
      <c r="C21" s="131" t="s">
        <v>150</v>
      </c>
      <c r="D21" s="130" t="s">
        <v>151</v>
      </c>
      <c r="E21" s="133"/>
      <c r="F21" s="109"/>
      <c r="G21" s="170"/>
      <c r="H21" s="207" t="s">
        <v>170</v>
      </c>
      <c r="I21" s="92">
        <v>0.7</v>
      </c>
      <c r="J21" s="41">
        <v>0.3</v>
      </c>
      <c r="K21" s="41"/>
      <c r="L21" s="42"/>
      <c r="M21" s="68"/>
      <c r="N21" s="94">
        <f t="shared" ref="N21:N50" si="18">SUM(I21:M21)</f>
        <v>1</v>
      </c>
      <c r="O21" s="125">
        <v>1</v>
      </c>
      <c r="P21" s="112">
        <v>15</v>
      </c>
      <c r="Q21" s="120">
        <v>15</v>
      </c>
      <c r="R21" s="89">
        <v>15</v>
      </c>
      <c r="S21" s="120">
        <v>15</v>
      </c>
      <c r="T21" s="70"/>
      <c r="U21" s="71">
        <f t="shared" ref="U21:U87" si="19">ROUND(((P21*I21)+(Q21*J21)+(R21*K21)+(S21*L21)+(T21*M21))*O21,2)</f>
        <v>15</v>
      </c>
      <c r="V21" s="72">
        <f t="shared" ref="V21:V87" si="20">IF(U21&gt;=15,15,U21)</f>
        <v>15</v>
      </c>
      <c r="W21" s="201">
        <v>816103333000</v>
      </c>
      <c r="X21" s="205">
        <v>2284052000</v>
      </c>
      <c r="Y21" s="117"/>
      <c r="Z21" s="139"/>
      <c r="AA21" s="85"/>
      <c r="AB21" s="71">
        <f t="shared" ref="AB21:AB87" si="21">ROUND((((W21*I21)+(X21*J21)+(Y21*K21)+(Z21*L21)+(AA21*M21))/$I$2),2)*13</f>
        <v>532.09</v>
      </c>
      <c r="AC21" s="72">
        <f t="shared" ref="AC21:AC87" si="22">IF(AB21&gt;=13,13,AB21)</f>
        <v>13</v>
      </c>
      <c r="AD21" s="124">
        <v>2</v>
      </c>
      <c r="AE21" s="71">
        <f t="shared" ref="AE21:AE87" si="23">IF((AC21+AD21)&gt;=15,15,(AC21+AD21))</f>
        <v>15</v>
      </c>
      <c r="AF21" s="76"/>
      <c r="AG21" s="54">
        <v>2.92</v>
      </c>
      <c r="AH21" s="77">
        <f t="shared" ref="AH21:AH87" si="24">IF((V21+AE21+AF21)&gt;=30,30,(V21+AE21+AF21))</f>
        <v>30</v>
      </c>
      <c r="AI21" s="56">
        <v>10</v>
      </c>
      <c r="AJ21" s="56">
        <v>10</v>
      </c>
      <c r="AK21" s="56">
        <v>45</v>
      </c>
      <c r="AL21" s="57">
        <f t="shared" ref="AL21:AL87" si="25">V21+AE21+AF21+AI21+AJ21+AK21+AG21</f>
        <v>97.92</v>
      </c>
      <c r="AM21" s="55">
        <f t="shared" ref="AM21:AM87" si="26">IF(AH21+AI21+AJ21+AK21+AG21&gt;=95,95,AH21+AI21+AJ21+AK21+AG21)</f>
        <v>95</v>
      </c>
      <c r="AN21" s="78">
        <f t="shared" ref="AN21:AN87" si="27">-((50-((176+(45+(50-AH21)))))/200)</f>
        <v>0.95499999999999996</v>
      </c>
      <c r="AO21" s="79"/>
      <c r="AP21" s="80">
        <f t="shared" si="16"/>
        <v>1</v>
      </c>
      <c r="AQ21" s="80">
        <f t="shared" si="16"/>
        <v>2</v>
      </c>
      <c r="AR21" s="61"/>
      <c r="AS21" s="62"/>
      <c r="AT21" s="81"/>
      <c r="AU21" s="81"/>
      <c r="AV21" s="81"/>
      <c r="AW21" s="81"/>
      <c r="AX21" s="82"/>
      <c r="AY21" s="83">
        <f t="shared" ref="AY21:AY87" si="28">AT21+AU21+AV21+AW21+AX21</f>
        <v>0</v>
      </c>
      <c r="AZ21" s="83">
        <f t="shared" si="15"/>
        <v>0</v>
      </c>
    </row>
    <row r="22" spans="1:52" s="66" customFormat="1" ht="39.75" customHeight="1" thickBot="1" x14ac:dyDescent="0.2">
      <c r="A22" s="96">
        <v>15</v>
      </c>
      <c r="B22" s="91"/>
      <c r="C22" s="131" t="s">
        <v>152</v>
      </c>
      <c r="D22" s="192" t="s">
        <v>143</v>
      </c>
      <c r="E22" s="133"/>
      <c r="F22" s="108"/>
      <c r="G22" s="170"/>
      <c r="H22" s="158"/>
      <c r="I22" s="92">
        <v>0.51</v>
      </c>
      <c r="J22" s="41">
        <v>0.49</v>
      </c>
      <c r="K22" s="41"/>
      <c r="L22" s="42"/>
      <c r="M22" s="147"/>
      <c r="N22" s="94">
        <f>SUM(I22:M22)</f>
        <v>1</v>
      </c>
      <c r="O22" s="125">
        <v>1</v>
      </c>
      <c r="P22" s="112">
        <v>15</v>
      </c>
      <c r="Q22" s="113">
        <v>15</v>
      </c>
      <c r="R22" s="89">
        <v>15</v>
      </c>
      <c r="S22" s="120"/>
      <c r="T22" s="70"/>
      <c r="U22" s="71">
        <f>ROUND(((P22*I22)+(Q22*J22)+(R22*K22)+(S22*L22)+(T22*M22))*O22,2)</f>
        <v>15</v>
      </c>
      <c r="V22" s="72">
        <f>IF(U22&gt;=15,15,U22)</f>
        <v>15</v>
      </c>
      <c r="W22" s="208">
        <v>180536694000</v>
      </c>
      <c r="X22" s="201">
        <v>7882757000</v>
      </c>
      <c r="Y22" s="201"/>
      <c r="Z22" s="117"/>
      <c r="AA22" s="74"/>
      <c r="AB22" s="75">
        <f>ROUND((((W22*I22)+(X22*J22)+(Y22*K22)+(Z22*L22)+(AA22*M22))/$I$2),2)*13</f>
        <v>89.18</v>
      </c>
      <c r="AC22" s="72">
        <f>IF(AB22&gt;=13,13,AB22)</f>
        <v>13</v>
      </c>
      <c r="AD22" s="124">
        <v>2</v>
      </c>
      <c r="AE22" s="71">
        <f>IF((AC22+AD22)&gt;=15,15,(AC22+AD22))</f>
        <v>15</v>
      </c>
      <c r="AF22" s="76"/>
      <c r="AG22" s="54">
        <v>2.92</v>
      </c>
      <c r="AH22" s="77">
        <f>IF((V22+AE22+AF22)&gt;=30,30,(V22+AE22+AF22))</f>
        <v>30</v>
      </c>
      <c r="AI22" s="56">
        <v>10</v>
      </c>
      <c r="AJ22" s="56">
        <v>10</v>
      </c>
      <c r="AK22" s="56">
        <v>45</v>
      </c>
      <c r="AL22" s="57">
        <f>V22+AE22+AF22+AI22+AJ22+AK22+AG22</f>
        <v>97.92</v>
      </c>
      <c r="AM22" s="55">
        <f>IF(AH22+AI22+AJ22+AK22+AG22&gt;=95,95,AH22+AI22+AJ22+AK22+AG22)</f>
        <v>95</v>
      </c>
      <c r="AN22" s="78">
        <f>-((50-((176+(45+(50-AH22)))))/200)</f>
        <v>0.95499999999999996</v>
      </c>
      <c r="AO22" s="79"/>
      <c r="AP22" s="80">
        <f>100%+AO22</f>
        <v>1</v>
      </c>
      <c r="AQ22" s="80">
        <f>100%+AP22</f>
        <v>2</v>
      </c>
      <c r="AR22" s="61"/>
      <c r="AS22" s="62"/>
      <c r="AT22" s="81"/>
      <c r="AU22" s="81"/>
      <c r="AV22" s="81"/>
      <c r="AW22" s="81"/>
      <c r="AX22" s="82"/>
      <c r="AY22" s="83">
        <f>AT22+AU22+AV22+AW22+AX22</f>
        <v>0</v>
      </c>
      <c r="AZ22" s="83">
        <f>(AT22*I22)+(AU22*J22)+(AV22*K22)+(AW22*L22)+(AX22*M22)</f>
        <v>0</v>
      </c>
    </row>
    <row r="23" spans="1:52" s="66" customFormat="1" ht="39.75" customHeight="1" thickBot="1" x14ac:dyDescent="0.2">
      <c r="A23" s="96">
        <v>16</v>
      </c>
      <c r="B23" s="91"/>
      <c r="C23" s="132" t="s">
        <v>154</v>
      </c>
      <c r="D23" s="131" t="s">
        <v>155</v>
      </c>
      <c r="E23" s="188"/>
      <c r="F23" s="109"/>
      <c r="G23" s="170"/>
      <c r="H23" s="158"/>
      <c r="I23" s="92">
        <v>0.51</v>
      </c>
      <c r="J23" s="41">
        <v>0.49</v>
      </c>
      <c r="K23" s="41"/>
      <c r="L23" s="42"/>
      <c r="M23" s="147"/>
      <c r="N23" s="94">
        <f t="shared" si="18"/>
        <v>1</v>
      </c>
      <c r="O23" s="125">
        <v>1</v>
      </c>
      <c r="P23" s="112">
        <v>15</v>
      </c>
      <c r="Q23" s="113">
        <v>15</v>
      </c>
      <c r="R23" s="113">
        <v>15</v>
      </c>
      <c r="S23" s="120"/>
      <c r="T23" s="70"/>
      <c r="U23" s="71">
        <f t="shared" si="19"/>
        <v>15</v>
      </c>
      <c r="V23" s="72">
        <f t="shared" si="20"/>
        <v>15</v>
      </c>
      <c r="W23" s="200">
        <v>7702371000</v>
      </c>
      <c r="X23" s="201">
        <v>78106522000</v>
      </c>
      <c r="Y23" s="201"/>
      <c r="Z23" s="136"/>
      <c r="AA23" s="74"/>
      <c r="AB23" s="75">
        <f t="shared" si="21"/>
        <v>39.26</v>
      </c>
      <c r="AC23" s="72">
        <f t="shared" si="22"/>
        <v>13</v>
      </c>
      <c r="AD23" s="124">
        <v>2</v>
      </c>
      <c r="AE23" s="71">
        <f t="shared" si="23"/>
        <v>15</v>
      </c>
      <c r="AF23" s="76"/>
      <c r="AG23" s="54">
        <v>2.92</v>
      </c>
      <c r="AH23" s="77">
        <f t="shared" si="24"/>
        <v>30</v>
      </c>
      <c r="AI23" s="56">
        <v>10</v>
      </c>
      <c r="AJ23" s="56">
        <v>10</v>
      </c>
      <c r="AK23" s="56">
        <v>45</v>
      </c>
      <c r="AL23" s="57">
        <f t="shared" si="25"/>
        <v>97.92</v>
      </c>
      <c r="AM23" s="55">
        <f t="shared" si="26"/>
        <v>95</v>
      </c>
      <c r="AN23" s="78">
        <f t="shared" si="27"/>
        <v>0.95499999999999996</v>
      </c>
      <c r="AO23" s="79"/>
      <c r="AP23" s="80">
        <f t="shared" si="16"/>
        <v>1</v>
      </c>
      <c r="AQ23" s="80">
        <f t="shared" si="16"/>
        <v>2</v>
      </c>
      <c r="AR23" s="61"/>
      <c r="AS23" s="62"/>
      <c r="AT23" s="81"/>
      <c r="AU23" s="81"/>
      <c r="AV23" s="81"/>
      <c r="AW23" s="81"/>
      <c r="AX23" s="82"/>
      <c r="AY23" s="83">
        <f t="shared" si="28"/>
        <v>0</v>
      </c>
      <c r="AZ23" s="83">
        <f t="shared" si="15"/>
        <v>0</v>
      </c>
    </row>
    <row r="24" spans="1:52" s="66" customFormat="1" ht="39.75" customHeight="1" thickBot="1" x14ac:dyDescent="0.2">
      <c r="A24" s="96">
        <v>17</v>
      </c>
      <c r="B24" s="210"/>
      <c r="C24" s="131" t="s">
        <v>156</v>
      </c>
      <c r="D24" s="134" t="s">
        <v>132</v>
      </c>
      <c r="E24" s="133"/>
      <c r="F24" s="131"/>
      <c r="G24" s="170"/>
      <c r="H24" s="158"/>
      <c r="I24" s="92">
        <v>0.51</v>
      </c>
      <c r="J24" s="41">
        <v>0.49</v>
      </c>
      <c r="K24" s="41"/>
      <c r="L24" s="42"/>
      <c r="M24" s="147"/>
      <c r="N24" s="94">
        <f t="shared" si="18"/>
        <v>1</v>
      </c>
      <c r="O24" s="125">
        <v>1</v>
      </c>
      <c r="P24" s="112">
        <v>15</v>
      </c>
      <c r="Q24" s="113">
        <v>15</v>
      </c>
      <c r="R24" s="114">
        <v>15</v>
      </c>
      <c r="S24" s="120"/>
      <c r="T24" s="70"/>
      <c r="U24" s="71">
        <f t="shared" si="19"/>
        <v>15</v>
      </c>
      <c r="V24" s="72">
        <f t="shared" si="20"/>
        <v>15</v>
      </c>
      <c r="W24" s="200">
        <v>10737437000</v>
      </c>
      <c r="X24" s="136">
        <v>20418317000</v>
      </c>
      <c r="Y24" s="201"/>
      <c r="Z24" s="136"/>
      <c r="AA24" s="74"/>
      <c r="AB24" s="75">
        <f t="shared" si="21"/>
        <v>14.430000000000001</v>
      </c>
      <c r="AC24" s="72">
        <f t="shared" si="22"/>
        <v>13</v>
      </c>
      <c r="AD24" s="124">
        <v>2</v>
      </c>
      <c r="AE24" s="71">
        <f t="shared" si="23"/>
        <v>15</v>
      </c>
      <c r="AF24" s="76"/>
      <c r="AG24" s="54">
        <v>2.92</v>
      </c>
      <c r="AH24" s="77">
        <f t="shared" si="24"/>
        <v>30</v>
      </c>
      <c r="AI24" s="56">
        <v>10</v>
      </c>
      <c r="AJ24" s="56">
        <v>10</v>
      </c>
      <c r="AK24" s="56">
        <v>45</v>
      </c>
      <c r="AL24" s="57">
        <f t="shared" si="25"/>
        <v>97.92</v>
      </c>
      <c r="AM24" s="55">
        <f t="shared" si="26"/>
        <v>95</v>
      </c>
      <c r="AN24" s="78">
        <f t="shared" si="27"/>
        <v>0.95499999999999996</v>
      </c>
      <c r="AO24" s="79"/>
      <c r="AP24" s="80">
        <f t="shared" si="16"/>
        <v>1</v>
      </c>
      <c r="AQ24" s="80">
        <f t="shared" si="16"/>
        <v>2</v>
      </c>
      <c r="AR24" s="61"/>
      <c r="AS24" s="62"/>
      <c r="AT24" s="81"/>
      <c r="AU24" s="81"/>
      <c r="AV24" s="81"/>
      <c r="AW24" s="81"/>
      <c r="AX24" s="82"/>
      <c r="AY24" s="83">
        <f t="shared" si="28"/>
        <v>0</v>
      </c>
      <c r="AZ24" s="83">
        <f t="shared" si="15"/>
        <v>0</v>
      </c>
    </row>
    <row r="25" spans="1:52" s="66" customFormat="1" ht="39.75" customHeight="1" thickBot="1" x14ac:dyDescent="0.2">
      <c r="A25" s="96">
        <v>18</v>
      </c>
      <c r="B25" s="91"/>
      <c r="C25" s="131" t="s">
        <v>157</v>
      </c>
      <c r="D25" s="132" t="s">
        <v>139</v>
      </c>
      <c r="E25" s="133"/>
      <c r="F25" s="131"/>
      <c r="G25" s="170"/>
      <c r="H25" s="158"/>
      <c r="I25" s="92">
        <v>0.51</v>
      </c>
      <c r="J25" s="41">
        <v>0.49</v>
      </c>
      <c r="K25" s="41"/>
      <c r="L25" s="42"/>
      <c r="M25" s="147"/>
      <c r="N25" s="94">
        <f t="shared" si="18"/>
        <v>1</v>
      </c>
      <c r="O25" s="125">
        <v>1</v>
      </c>
      <c r="P25" s="112">
        <v>15</v>
      </c>
      <c r="Q25" s="113">
        <v>15</v>
      </c>
      <c r="R25" s="114">
        <v>15</v>
      </c>
      <c r="S25" s="120">
        <v>15</v>
      </c>
      <c r="T25" s="70"/>
      <c r="U25" s="71">
        <f t="shared" si="19"/>
        <v>15</v>
      </c>
      <c r="V25" s="72">
        <f t="shared" si="20"/>
        <v>15</v>
      </c>
      <c r="W25" s="200">
        <v>12436699000</v>
      </c>
      <c r="X25" s="201">
        <v>15253741000</v>
      </c>
      <c r="Y25" s="201"/>
      <c r="Z25" s="136"/>
      <c r="AA25" s="74"/>
      <c r="AB25" s="75">
        <f t="shared" si="21"/>
        <v>12.87</v>
      </c>
      <c r="AC25" s="72">
        <f t="shared" si="22"/>
        <v>12.87</v>
      </c>
      <c r="AD25" s="124">
        <v>2</v>
      </c>
      <c r="AE25" s="71">
        <f t="shared" si="23"/>
        <v>14.87</v>
      </c>
      <c r="AF25" s="76"/>
      <c r="AG25" s="54">
        <v>2.92</v>
      </c>
      <c r="AH25" s="77">
        <f t="shared" si="24"/>
        <v>29.869999999999997</v>
      </c>
      <c r="AI25" s="56">
        <v>10</v>
      </c>
      <c r="AJ25" s="56">
        <v>10</v>
      </c>
      <c r="AK25" s="56">
        <v>45</v>
      </c>
      <c r="AL25" s="57">
        <f t="shared" si="25"/>
        <v>97.79</v>
      </c>
      <c r="AM25" s="55">
        <f t="shared" si="26"/>
        <v>95</v>
      </c>
      <c r="AN25" s="78">
        <f t="shared" si="27"/>
        <v>0.95565</v>
      </c>
      <c r="AO25" s="79"/>
      <c r="AP25" s="80">
        <f t="shared" si="16"/>
        <v>1</v>
      </c>
      <c r="AQ25" s="80">
        <f t="shared" si="16"/>
        <v>2</v>
      </c>
      <c r="AR25" s="61"/>
      <c r="AS25" s="62"/>
      <c r="AT25" s="81"/>
      <c r="AU25" s="81"/>
      <c r="AV25" s="81"/>
      <c r="AW25" s="81"/>
      <c r="AX25" s="82"/>
      <c r="AY25" s="83">
        <f t="shared" si="28"/>
        <v>0</v>
      </c>
      <c r="AZ25" s="83">
        <f t="shared" si="15"/>
        <v>0</v>
      </c>
    </row>
    <row r="26" spans="1:52" s="66" customFormat="1" ht="39.75" customHeight="1" thickBot="1" x14ac:dyDescent="0.2">
      <c r="A26" s="96">
        <v>19</v>
      </c>
      <c r="B26" s="91"/>
      <c r="C26" s="131" t="s">
        <v>159</v>
      </c>
      <c r="D26" s="132" t="s">
        <v>160</v>
      </c>
      <c r="E26" s="133" t="s">
        <v>161</v>
      </c>
      <c r="F26" s="109"/>
      <c r="G26" s="170"/>
      <c r="H26" s="158"/>
      <c r="I26" s="92">
        <v>0.4</v>
      </c>
      <c r="J26" s="41">
        <v>0.3</v>
      </c>
      <c r="K26" s="41">
        <v>0.3</v>
      </c>
      <c r="L26" s="42"/>
      <c r="M26" s="147"/>
      <c r="N26" s="94">
        <f>SUM(I26:M26)</f>
        <v>1</v>
      </c>
      <c r="O26" s="125">
        <v>1</v>
      </c>
      <c r="P26" s="126">
        <v>15</v>
      </c>
      <c r="Q26" s="89">
        <v>15</v>
      </c>
      <c r="R26" s="113">
        <v>15</v>
      </c>
      <c r="S26" s="114"/>
      <c r="T26" s="70"/>
      <c r="U26" s="71">
        <f>ROUND(((P26*I26)+(Q26*J26)+(R26*K26)+(S26*L26)+(T26*M26))*O26,2)</f>
        <v>15</v>
      </c>
      <c r="V26" s="72">
        <f>IF(U26&gt;=15,15,U26)</f>
        <v>15</v>
      </c>
      <c r="W26" s="200">
        <v>5867768000</v>
      </c>
      <c r="X26" s="201">
        <v>9901200000</v>
      </c>
      <c r="Y26" s="201">
        <v>80267427000</v>
      </c>
      <c r="Z26" s="117"/>
      <c r="AA26" s="74"/>
      <c r="AB26" s="75">
        <f>ROUND((((W26*I26)+(X26*J26)+(Y26*K26)+(Z26*L26)+(AA26*M26))/$I$2),2)*13</f>
        <v>27.3</v>
      </c>
      <c r="AC26" s="72">
        <f>IF(AB26&gt;=13,13,AB26)</f>
        <v>13</v>
      </c>
      <c r="AD26" s="124">
        <v>2</v>
      </c>
      <c r="AE26" s="71">
        <f>IF((AC26+AD26)&gt;=15,15,(AC26+AD26))</f>
        <v>15</v>
      </c>
      <c r="AF26" s="76"/>
      <c r="AG26" s="54">
        <v>2.92</v>
      </c>
      <c r="AH26" s="77">
        <f>IF((V26+AE26+AF26)&gt;=30,30,(V26+AE26+AF26))</f>
        <v>30</v>
      </c>
      <c r="AI26" s="56">
        <v>10</v>
      </c>
      <c r="AJ26" s="56">
        <v>10</v>
      </c>
      <c r="AK26" s="56">
        <v>45</v>
      </c>
      <c r="AL26" s="57">
        <f>V26+AE26+AF26+AI26+AJ26+AK26+AG26</f>
        <v>97.92</v>
      </c>
      <c r="AM26" s="55">
        <f>IF(AH26+AI26+AJ26+AK26+AG26&gt;=95,95,AH26+AI26+AJ26+AK26+AG26)</f>
        <v>95</v>
      </c>
      <c r="AN26" s="78">
        <f>-((50-((176+(45+(50-AH26)))))/200)</f>
        <v>0.95499999999999996</v>
      </c>
      <c r="AO26" s="79"/>
      <c r="AP26" s="80">
        <f>100%+AO26</f>
        <v>1</v>
      </c>
      <c r="AQ26" s="80">
        <f>100%+AP26</f>
        <v>2</v>
      </c>
      <c r="AR26" s="61"/>
      <c r="AS26" s="62"/>
      <c r="AT26" s="81"/>
      <c r="AU26" s="81"/>
      <c r="AV26" s="81"/>
      <c r="AW26" s="81"/>
      <c r="AX26" s="82"/>
      <c r="AY26" s="83">
        <f>AT26+AU26+AV26+AW26+AX26</f>
        <v>0</v>
      </c>
      <c r="AZ26" s="83">
        <f>(AT26*I26)+(AU26*J26)+(AV26*K26)+(AW26*L26)+(AX26*M26)</f>
        <v>0</v>
      </c>
    </row>
    <row r="27" spans="1:52" s="66" customFormat="1" ht="39.75" customHeight="1" thickBot="1" x14ac:dyDescent="0.2">
      <c r="A27" s="96">
        <v>20</v>
      </c>
      <c r="B27" s="91"/>
      <c r="C27" s="122" t="s">
        <v>162</v>
      </c>
      <c r="D27" s="134" t="s">
        <v>174</v>
      </c>
      <c r="E27" s="133" t="s">
        <v>164</v>
      </c>
      <c r="F27" s="110"/>
      <c r="G27" s="170"/>
      <c r="H27" s="158"/>
      <c r="I27" s="92">
        <v>0.4</v>
      </c>
      <c r="J27" s="41">
        <v>0.3</v>
      </c>
      <c r="K27" s="41">
        <v>0.3</v>
      </c>
      <c r="L27" s="42"/>
      <c r="M27" s="147"/>
      <c r="N27" s="94">
        <f t="shared" si="18"/>
        <v>1</v>
      </c>
      <c r="O27" s="125">
        <v>1</v>
      </c>
      <c r="P27" s="112">
        <v>15</v>
      </c>
      <c r="Q27" s="113">
        <v>15</v>
      </c>
      <c r="R27" s="114">
        <v>15</v>
      </c>
      <c r="S27" s="120"/>
      <c r="T27" s="70"/>
      <c r="U27" s="71">
        <f t="shared" si="19"/>
        <v>15</v>
      </c>
      <c r="V27" s="72">
        <f t="shared" si="20"/>
        <v>15</v>
      </c>
      <c r="W27" s="201">
        <v>3471340000</v>
      </c>
      <c r="X27" s="201">
        <v>7622761000</v>
      </c>
      <c r="Y27" s="201">
        <v>172249167000</v>
      </c>
      <c r="Z27" s="117"/>
      <c r="AA27" s="74"/>
      <c r="AB27" s="75">
        <f t="shared" si="21"/>
        <v>51.48</v>
      </c>
      <c r="AC27" s="72">
        <f t="shared" si="22"/>
        <v>13</v>
      </c>
      <c r="AD27" s="124">
        <v>2</v>
      </c>
      <c r="AE27" s="71">
        <f t="shared" si="23"/>
        <v>15</v>
      </c>
      <c r="AF27" s="76"/>
      <c r="AG27" s="54">
        <v>2.92</v>
      </c>
      <c r="AH27" s="77">
        <f t="shared" si="24"/>
        <v>30</v>
      </c>
      <c r="AI27" s="56">
        <v>10</v>
      </c>
      <c r="AJ27" s="56">
        <v>10</v>
      </c>
      <c r="AK27" s="56">
        <v>45</v>
      </c>
      <c r="AL27" s="57">
        <f t="shared" si="25"/>
        <v>97.92</v>
      </c>
      <c r="AM27" s="55">
        <f t="shared" si="26"/>
        <v>95</v>
      </c>
      <c r="AN27" s="78">
        <f t="shared" si="27"/>
        <v>0.95499999999999996</v>
      </c>
      <c r="AO27" s="79"/>
      <c r="AP27" s="80">
        <f t="shared" si="16"/>
        <v>1</v>
      </c>
      <c r="AQ27" s="80">
        <f t="shared" si="16"/>
        <v>2</v>
      </c>
      <c r="AR27" s="61"/>
      <c r="AS27" s="62"/>
      <c r="AT27" s="81"/>
      <c r="AU27" s="81"/>
      <c r="AV27" s="81"/>
      <c r="AW27" s="81"/>
      <c r="AX27" s="82"/>
      <c r="AY27" s="83">
        <f t="shared" si="28"/>
        <v>0</v>
      </c>
      <c r="AZ27" s="83">
        <f t="shared" si="15"/>
        <v>0</v>
      </c>
    </row>
    <row r="28" spans="1:52" s="66" customFormat="1" ht="39.75" customHeight="1" thickBot="1" x14ac:dyDescent="0.2">
      <c r="A28" s="96">
        <v>21</v>
      </c>
      <c r="B28" s="91"/>
      <c r="C28" s="131" t="s">
        <v>165</v>
      </c>
      <c r="D28" s="187" t="s">
        <v>171</v>
      </c>
      <c r="E28" s="193" t="s">
        <v>130</v>
      </c>
      <c r="F28" s="105"/>
      <c r="G28" s="170"/>
      <c r="H28" s="158"/>
      <c r="I28" s="92">
        <v>0.4</v>
      </c>
      <c r="J28" s="41">
        <v>0.3</v>
      </c>
      <c r="K28" s="41">
        <v>0.3</v>
      </c>
      <c r="L28" s="42"/>
      <c r="M28" s="147"/>
      <c r="N28" s="94">
        <f t="shared" si="18"/>
        <v>1</v>
      </c>
      <c r="O28" s="125">
        <v>1</v>
      </c>
      <c r="P28" s="126">
        <v>15</v>
      </c>
      <c r="Q28" s="89">
        <v>15</v>
      </c>
      <c r="R28" s="113">
        <v>15</v>
      </c>
      <c r="S28" s="114"/>
      <c r="T28" s="70"/>
      <c r="U28" s="71">
        <f t="shared" si="19"/>
        <v>15</v>
      </c>
      <c r="V28" s="72">
        <f t="shared" si="20"/>
        <v>15</v>
      </c>
      <c r="W28" s="208">
        <v>5770791000</v>
      </c>
      <c r="X28" s="197">
        <v>15283790000</v>
      </c>
      <c r="Y28" s="201">
        <v>32826052000</v>
      </c>
      <c r="Z28" s="85"/>
      <c r="AA28" s="74"/>
      <c r="AB28" s="75">
        <f t="shared" si="21"/>
        <v>15.6</v>
      </c>
      <c r="AC28" s="72">
        <f t="shared" si="22"/>
        <v>13</v>
      </c>
      <c r="AD28" s="124">
        <v>2</v>
      </c>
      <c r="AE28" s="71">
        <f t="shared" si="23"/>
        <v>15</v>
      </c>
      <c r="AF28" s="76"/>
      <c r="AG28" s="54">
        <v>2.92</v>
      </c>
      <c r="AH28" s="77">
        <f t="shared" si="24"/>
        <v>30</v>
      </c>
      <c r="AI28" s="56">
        <v>10</v>
      </c>
      <c r="AJ28" s="56">
        <v>10</v>
      </c>
      <c r="AK28" s="56">
        <v>45</v>
      </c>
      <c r="AL28" s="57">
        <f t="shared" si="25"/>
        <v>97.92</v>
      </c>
      <c r="AM28" s="55">
        <f t="shared" si="26"/>
        <v>95</v>
      </c>
      <c r="AN28" s="78">
        <f t="shared" si="27"/>
        <v>0.95499999999999996</v>
      </c>
      <c r="AO28" s="79"/>
      <c r="AP28" s="80">
        <f t="shared" si="16"/>
        <v>1</v>
      </c>
      <c r="AQ28" s="80">
        <f t="shared" si="16"/>
        <v>2</v>
      </c>
      <c r="AR28" s="61"/>
      <c r="AS28" s="62"/>
      <c r="AT28" s="81"/>
      <c r="AU28" s="81"/>
      <c r="AV28" s="81"/>
      <c r="AW28" s="81"/>
      <c r="AX28" s="82"/>
      <c r="AY28" s="83">
        <f t="shared" si="28"/>
        <v>0</v>
      </c>
      <c r="AZ28" s="83">
        <f t="shared" si="15"/>
        <v>0</v>
      </c>
    </row>
    <row r="29" spans="1:52" s="66" customFormat="1" ht="39.75" customHeight="1" thickBot="1" x14ac:dyDescent="0.2">
      <c r="A29" s="160">
        <v>22</v>
      </c>
      <c r="B29" s="105"/>
      <c r="C29" s="198" t="s">
        <v>173</v>
      </c>
      <c r="D29" s="108" t="s">
        <v>166</v>
      </c>
      <c r="E29" s="188"/>
      <c r="F29" s="105"/>
      <c r="G29" s="170"/>
      <c r="H29" s="158"/>
      <c r="I29" s="92">
        <v>0.51</v>
      </c>
      <c r="J29" s="41">
        <v>0.49</v>
      </c>
      <c r="K29" s="133"/>
      <c r="L29" s="42"/>
      <c r="M29" s="147"/>
      <c r="N29" s="94">
        <f t="shared" si="18"/>
        <v>1</v>
      </c>
      <c r="O29" s="125">
        <v>1</v>
      </c>
      <c r="P29" s="126">
        <v>15</v>
      </c>
      <c r="Q29" s="89">
        <v>15</v>
      </c>
      <c r="R29" s="113">
        <v>15</v>
      </c>
      <c r="S29" s="114"/>
      <c r="T29" s="70"/>
      <c r="U29" s="71">
        <f t="shared" si="19"/>
        <v>15</v>
      </c>
      <c r="V29" s="72">
        <f t="shared" si="20"/>
        <v>15</v>
      </c>
      <c r="W29" s="197">
        <v>13442616000</v>
      </c>
      <c r="X29" s="197">
        <v>227887155000</v>
      </c>
      <c r="Y29" s="105"/>
      <c r="Z29" s="117"/>
      <c r="AA29" s="74"/>
      <c r="AB29" s="75">
        <f t="shared" si="21"/>
        <v>110.24000000000001</v>
      </c>
      <c r="AC29" s="72">
        <f t="shared" si="22"/>
        <v>13</v>
      </c>
      <c r="AD29" s="124">
        <v>2</v>
      </c>
      <c r="AE29" s="71">
        <f t="shared" si="23"/>
        <v>15</v>
      </c>
      <c r="AF29" s="76"/>
      <c r="AG29" s="54">
        <v>2.92</v>
      </c>
      <c r="AH29" s="77">
        <f t="shared" si="24"/>
        <v>30</v>
      </c>
      <c r="AI29" s="56">
        <v>10</v>
      </c>
      <c r="AJ29" s="56">
        <v>10</v>
      </c>
      <c r="AK29" s="56">
        <v>45</v>
      </c>
      <c r="AL29" s="57">
        <f t="shared" si="25"/>
        <v>97.92</v>
      </c>
      <c r="AM29" s="55">
        <f t="shared" si="26"/>
        <v>95</v>
      </c>
      <c r="AN29" s="78">
        <f t="shared" si="27"/>
        <v>0.95499999999999996</v>
      </c>
      <c r="AO29" s="79"/>
      <c r="AP29" s="80">
        <f t="shared" si="16"/>
        <v>1</v>
      </c>
      <c r="AQ29" s="80">
        <f t="shared" si="16"/>
        <v>2</v>
      </c>
      <c r="AR29" s="61"/>
      <c r="AS29" s="62"/>
      <c r="AT29" s="81"/>
      <c r="AU29" s="81"/>
      <c r="AV29" s="81"/>
      <c r="AW29" s="81"/>
      <c r="AX29" s="82"/>
      <c r="AY29" s="83">
        <f t="shared" si="28"/>
        <v>0</v>
      </c>
      <c r="AZ29" s="83">
        <f t="shared" si="15"/>
        <v>0</v>
      </c>
    </row>
    <row r="30" spans="1:52" s="66" customFormat="1" ht="39.75" customHeight="1" thickBot="1" x14ac:dyDescent="0.2">
      <c r="A30" s="160">
        <v>23</v>
      </c>
      <c r="B30" s="105"/>
      <c r="C30" s="196" t="s">
        <v>167</v>
      </c>
      <c r="D30" s="190" t="s">
        <v>142</v>
      </c>
      <c r="E30" s="110"/>
      <c r="F30" s="110"/>
      <c r="G30" s="170"/>
      <c r="H30" s="207" t="s">
        <v>168</v>
      </c>
      <c r="I30" s="194">
        <v>0.44</v>
      </c>
      <c r="J30" s="41">
        <v>0.49</v>
      </c>
      <c r="K30" s="133"/>
      <c r="L30" s="42"/>
      <c r="M30" s="147"/>
      <c r="N30" s="94">
        <f t="shared" si="18"/>
        <v>0.92999999999999994</v>
      </c>
      <c r="O30" s="125">
        <v>1</v>
      </c>
      <c r="P30" s="112">
        <v>15</v>
      </c>
      <c r="Q30" s="113">
        <v>15</v>
      </c>
      <c r="R30" s="114">
        <v>15</v>
      </c>
      <c r="S30" s="120"/>
      <c r="T30" s="70"/>
      <c r="U30" s="71">
        <f t="shared" si="19"/>
        <v>13.95</v>
      </c>
      <c r="V30" s="72">
        <f t="shared" si="20"/>
        <v>13.95</v>
      </c>
      <c r="W30" s="201">
        <v>1956642000</v>
      </c>
      <c r="X30" s="201">
        <v>328448752000</v>
      </c>
      <c r="Y30" s="105"/>
      <c r="Z30" s="117"/>
      <c r="AA30" s="74"/>
      <c r="AB30" s="75">
        <f t="shared" si="21"/>
        <v>150.54</v>
      </c>
      <c r="AC30" s="72">
        <f t="shared" si="22"/>
        <v>13</v>
      </c>
      <c r="AD30" s="149">
        <v>1.5</v>
      </c>
      <c r="AE30" s="71">
        <f t="shared" si="23"/>
        <v>14.5</v>
      </c>
      <c r="AF30" s="76"/>
      <c r="AG30" s="54">
        <v>2.92</v>
      </c>
      <c r="AH30" s="77">
        <f t="shared" si="24"/>
        <v>28.45</v>
      </c>
      <c r="AI30" s="56">
        <v>10</v>
      </c>
      <c r="AJ30" s="56">
        <v>10</v>
      </c>
      <c r="AK30" s="56">
        <v>45</v>
      </c>
      <c r="AL30" s="57">
        <f t="shared" si="25"/>
        <v>96.37</v>
      </c>
      <c r="AM30" s="55">
        <f t="shared" si="26"/>
        <v>95</v>
      </c>
      <c r="AN30" s="78">
        <f t="shared" si="27"/>
        <v>0.96275000000000011</v>
      </c>
      <c r="AO30" s="79"/>
      <c r="AP30" s="80">
        <f t="shared" si="16"/>
        <v>1</v>
      </c>
      <c r="AQ30" s="80">
        <f t="shared" si="16"/>
        <v>2</v>
      </c>
      <c r="AR30" s="61"/>
      <c r="AS30" s="62"/>
      <c r="AT30" s="81"/>
      <c r="AU30" s="81"/>
      <c r="AV30" s="81"/>
      <c r="AW30" s="81"/>
      <c r="AX30" s="82"/>
      <c r="AY30" s="83">
        <f t="shared" si="28"/>
        <v>0</v>
      </c>
      <c r="AZ30" s="83">
        <f t="shared" si="15"/>
        <v>0</v>
      </c>
    </row>
    <row r="31" spans="1:52" s="66" customFormat="1" ht="21.95" customHeight="1" thickBot="1" x14ac:dyDescent="0.2">
      <c r="A31" s="96"/>
      <c r="B31" s="91"/>
      <c r="C31" s="352" t="s">
        <v>3</v>
      </c>
      <c r="D31" s="353"/>
      <c r="E31" s="353"/>
      <c r="F31" s="353"/>
      <c r="G31" s="354"/>
      <c r="H31" s="67"/>
      <c r="I31" s="84">
        <v>85</v>
      </c>
      <c r="J31" s="167">
        <v>93.38</v>
      </c>
      <c r="K31" s="84">
        <v>85</v>
      </c>
      <c r="L31" s="84"/>
      <c r="M31" s="84"/>
      <c r="N31" s="168">
        <f>I31*I30+J31*J30+K31*K30+L31*L30+M31*M30</f>
        <v>83.156199999999998</v>
      </c>
      <c r="O31" s="44"/>
      <c r="P31" s="45"/>
      <c r="Q31" s="46"/>
      <c r="R31" s="46"/>
      <c r="S31" s="47"/>
      <c r="T31" s="70"/>
      <c r="U31" s="71"/>
      <c r="V31" s="72"/>
      <c r="W31" s="150"/>
      <c r="X31" s="85"/>
      <c r="Y31" s="151"/>
      <c r="Z31" s="85"/>
      <c r="AA31" s="74"/>
      <c r="AB31" s="75"/>
      <c r="AC31" s="72"/>
      <c r="AD31" s="71"/>
      <c r="AE31" s="71"/>
      <c r="AF31" s="152"/>
      <c r="AG31" s="86"/>
      <c r="AH31" s="77"/>
      <c r="AI31" s="87"/>
      <c r="AJ31" s="46"/>
      <c r="AK31" s="77"/>
      <c r="AL31" s="78"/>
      <c r="AM31" s="79"/>
      <c r="AN31" s="80"/>
      <c r="AO31" s="80"/>
      <c r="AP31" s="61"/>
      <c r="AQ31" s="62"/>
      <c r="AR31" s="81"/>
      <c r="AS31" s="81"/>
      <c r="AT31" s="81"/>
      <c r="AU31" s="81"/>
      <c r="AV31" s="82"/>
      <c r="AW31" s="83"/>
      <c r="AX31" s="83"/>
      <c r="AZ31" s="66">
        <f t="shared" ref="AZ31:AZ32" si="29">(AT31*I31)+(AU31*J31)+(AV31*K31)+(AW31*L31)+(AX31*M31)</f>
        <v>0</v>
      </c>
    </row>
    <row r="32" spans="1:52" s="66" customFormat="1" ht="39.75" customHeight="1" thickBot="1" x14ac:dyDescent="0.2">
      <c r="A32" s="96">
        <v>24</v>
      </c>
      <c r="B32" s="105"/>
      <c r="C32" s="129" t="s">
        <v>175</v>
      </c>
      <c r="D32" s="132" t="s">
        <v>163</v>
      </c>
      <c r="E32" s="110"/>
      <c r="F32" s="131"/>
      <c r="G32" s="170"/>
      <c r="H32" s="207" t="s">
        <v>176</v>
      </c>
      <c r="I32" s="92">
        <v>0.7</v>
      </c>
      <c r="J32" s="41">
        <v>0.3</v>
      </c>
      <c r="K32" s="41"/>
      <c r="L32" s="42"/>
      <c r="M32" s="147"/>
      <c r="N32" s="94">
        <f>SUM(I32:M32)</f>
        <v>1</v>
      </c>
      <c r="O32" s="125">
        <v>1</v>
      </c>
      <c r="P32" s="112">
        <v>15</v>
      </c>
      <c r="Q32" s="113">
        <v>15</v>
      </c>
      <c r="R32" s="113">
        <v>15</v>
      </c>
      <c r="S32" s="120"/>
      <c r="T32" s="70"/>
      <c r="U32" s="71">
        <f>ROUND(((P32*I32)+(Q32*J32)+(R32*K32)+(S32*L32)+(T32*M32))*O32,2)</f>
        <v>15</v>
      </c>
      <c r="V32" s="72">
        <f>IF(U32&gt;=15,15,U32)</f>
        <v>15</v>
      </c>
      <c r="W32" s="201">
        <v>233566701000</v>
      </c>
      <c r="X32" s="201">
        <v>15552245000</v>
      </c>
      <c r="Y32" s="201"/>
      <c r="Z32" s="139"/>
      <c r="AA32" s="74"/>
      <c r="AB32" s="75">
        <f>ROUND((((W32*I32)+(X32*J32)+(Y32*K32)+(Z32*L32)+(AA32*M32))/$I$2),2)*13</f>
        <v>156.38999999999999</v>
      </c>
      <c r="AC32" s="72">
        <f>IF(AB32&gt;=13,13,AB32)</f>
        <v>13</v>
      </c>
      <c r="AD32" s="124">
        <v>2</v>
      </c>
      <c r="AE32" s="71">
        <f>IF((AC32+AD32)&gt;=15,15,(AC32+AD32))</f>
        <v>15</v>
      </c>
      <c r="AF32" s="76"/>
      <c r="AG32" s="54">
        <v>2.92</v>
      </c>
      <c r="AH32" s="77">
        <f>IF((V32+AE32+AF32)&gt;=30,30,(V32+AE32+AF32))</f>
        <v>30</v>
      </c>
      <c r="AI32" s="56">
        <v>10</v>
      </c>
      <c r="AJ32" s="56">
        <v>10</v>
      </c>
      <c r="AK32" s="56">
        <v>45</v>
      </c>
      <c r="AL32" s="57">
        <f>V32+AE32+AF32+AI32+AJ32+AK32+AG32</f>
        <v>97.92</v>
      </c>
      <c r="AM32" s="55">
        <f>IF(AH32+AI32+AJ32+AK32+AG32&gt;=95,95,AH32+AI32+AJ32+AK32+AG32)</f>
        <v>95</v>
      </c>
      <c r="AN32" s="78">
        <f>-((50-((176+(45+(50-AH32)))))/200)</f>
        <v>0.95499999999999996</v>
      </c>
      <c r="AO32" s="79"/>
      <c r="AP32" s="80">
        <f t="shared" ref="AP32" si="30">100%+AO32</f>
        <v>1</v>
      </c>
      <c r="AQ32" s="80">
        <f t="shared" ref="AQ32" si="31">100%+AP32</f>
        <v>2</v>
      </c>
      <c r="AR32" s="61"/>
      <c r="AS32" s="62"/>
      <c r="AT32" s="81"/>
      <c r="AU32" s="81"/>
      <c r="AV32" s="81"/>
      <c r="AW32" s="81"/>
      <c r="AX32" s="82"/>
      <c r="AY32" s="83">
        <f>AT32+AU32+AV32+AW32+AX32</f>
        <v>0</v>
      </c>
      <c r="AZ32" s="83">
        <f t="shared" si="29"/>
        <v>0</v>
      </c>
    </row>
    <row r="33" spans="1:52" s="66" customFormat="1" ht="21.95" customHeight="1" thickBot="1" x14ac:dyDescent="0.2">
      <c r="A33" s="96"/>
      <c r="B33" s="91"/>
      <c r="C33" s="352" t="s">
        <v>3</v>
      </c>
      <c r="D33" s="353"/>
      <c r="E33" s="353"/>
      <c r="F33" s="353"/>
      <c r="G33" s="354"/>
      <c r="H33" s="67"/>
      <c r="I33" s="84">
        <v>85</v>
      </c>
      <c r="J33" s="199">
        <v>85</v>
      </c>
      <c r="K33" s="84">
        <v>85</v>
      </c>
      <c r="L33" s="84"/>
      <c r="M33" s="84"/>
      <c r="N33" s="168">
        <f>I33*I32+J33*J32+K33*K32+L33*L32+M33*M32</f>
        <v>85</v>
      </c>
      <c r="O33" s="44"/>
      <c r="P33" s="45"/>
      <c r="Q33" s="46"/>
      <c r="R33" s="46"/>
      <c r="S33" s="47"/>
      <c r="T33" s="70"/>
      <c r="U33" s="71"/>
      <c r="V33" s="72"/>
      <c r="W33" s="150"/>
      <c r="X33" s="85"/>
      <c r="Y33" s="151"/>
      <c r="Z33" s="85"/>
      <c r="AA33" s="74"/>
      <c r="AB33" s="75"/>
      <c r="AC33" s="72"/>
      <c r="AD33" s="71"/>
      <c r="AE33" s="71"/>
      <c r="AF33" s="152"/>
      <c r="AG33" s="86"/>
      <c r="AH33" s="77"/>
      <c r="AI33" s="87"/>
      <c r="AJ33" s="46"/>
      <c r="AK33" s="77"/>
      <c r="AL33" s="78"/>
      <c r="AM33" s="79"/>
      <c r="AN33" s="80"/>
      <c r="AO33" s="80"/>
      <c r="AP33" s="61"/>
      <c r="AQ33" s="62"/>
      <c r="AR33" s="81"/>
      <c r="AS33" s="81"/>
      <c r="AT33" s="81"/>
      <c r="AU33" s="81"/>
      <c r="AV33" s="82"/>
      <c r="AW33" s="83"/>
      <c r="AX33" s="83"/>
      <c r="AZ33" s="66">
        <f t="shared" ref="AZ33" si="32">(AT33*I33)+(AU33*J33)+(AV33*K33)+(AW33*L33)+(AX33*M33)</f>
        <v>0</v>
      </c>
    </row>
    <row r="34" spans="1:52" s="66" customFormat="1" ht="39.75" customHeight="1" thickBot="1" x14ac:dyDescent="0.2">
      <c r="A34" s="96">
        <v>25</v>
      </c>
      <c r="B34" s="91"/>
      <c r="C34" s="129" t="s">
        <v>141</v>
      </c>
      <c r="D34" s="105" t="s">
        <v>79</v>
      </c>
      <c r="E34" s="192" t="s">
        <v>145</v>
      </c>
      <c r="F34" s="191" t="s">
        <v>149</v>
      </c>
      <c r="G34" s="170"/>
      <c r="H34" s="207" t="s">
        <v>181</v>
      </c>
      <c r="I34" s="194">
        <v>0.20860000000000001</v>
      </c>
      <c r="J34" s="41">
        <v>0.3</v>
      </c>
      <c r="K34" s="41">
        <v>0.19</v>
      </c>
      <c r="L34" s="42">
        <v>0.2</v>
      </c>
      <c r="M34" s="147"/>
      <c r="N34" s="94">
        <f t="shared" si="18"/>
        <v>0.89859999999999984</v>
      </c>
      <c r="O34" s="141">
        <v>1.05</v>
      </c>
      <c r="P34" s="112">
        <v>15</v>
      </c>
      <c r="Q34" s="113">
        <v>15</v>
      </c>
      <c r="R34" s="113">
        <v>15</v>
      </c>
      <c r="S34" s="113">
        <v>15</v>
      </c>
      <c r="T34" s="70"/>
      <c r="U34" s="71">
        <f t="shared" si="19"/>
        <v>14.15</v>
      </c>
      <c r="V34" s="72">
        <f t="shared" si="20"/>
        <v>14.15</v>
      </c>
      <c r="W34" s="201">
        <v>4128472000</v>
      </c>
      <c r="X34" s="197">
        <v>139068887000</v>
      </c>
      <c r="Y34" s="136">
        <v>708518000</v>
      </c>
      <c r="Z34" s="85">
        <v>1281708000</v>
      </c>
      <c r="AA34" s="74"/>
      <c r="AB34" s="75">
        <f t="shared" si="21"/>
        <v>39.909999999999997</v>
      </c>
      <c r="AC34" s="72">
        <f t="shared" si="22"/>
        <v>13</v>
      </c>
      <c r="AD34" s="149">
        <v>0</v>
      </c>
      <c r="AE34" s="71">
        <f t="shared" si="23"/>
        <v>13</v>
      </c>
      <c r="AF34" s="76">
        <f>0.5*I34+0.5*J34</f>
        <v>0.25429999999999997</v>
      </c>
      <c r="AG34" s="54">
        <v>2.92</v>
      </c>
      <c r="AH34" s="77">
        <f t="shared" si="24"/>
        <v>27.404299999999999</v>
      </c>
      <c r="AI34" s="56">
        <v>10</v>
      </c>
      <c r="AJ34" s="56">
        <v>10</v>
      </c>
      <c r="AK34" s="56">
        <v>45</v>
      </c>
      <c r="AL34" s="57">
        <f t="shared" si="25"/>
        <v>95.324300000000008</v>
      </c>
      <c r="AM34" s="55">
        <f t="shared" si="26"/>
        <v>95</v>
      </c>
      <c r="AN34" s="78">
        <f t="shared" si="27"/>
        <v>0.96797849999999996</v>
      </c>
      <c r="AO34" s="79"/>
      <c r="AP34" s="80">
        <f t="shared" ref="AP34:AQ50" si="33">100%+AO34</f>
        <v>1</v>
      </c>
      <c r="AQ34" s="80">
        <f t="shared" si="33"/>
        <v>2</v>
      </c>
      <c r="AR34" s="61"/>
      <c r="AS34" s="62"/>
      <c r="AT34" s="81"/>
      <c r="AU34" s="81"/>
      <c r="AV34" s="81"/>
      <c r="AW34" s="81"/>
      <c r="AX34" s="82"/>
      <c r="AY34" s="83">
        <f t="shared" si="28"/>
        <v>0</v>
      </c>
      <c r="AZ34" s="83">
        <f t="shared" si="15"/>
        <v>0</v>
      </c>
    </row>
    <row r="35" spans="1:52" s="66" customFormat="1" ht="21.95" customHeight="1" thickBot="1" x14ac:dyDescent="0.2">
      <c r="A35" s="96"/>
      <c r="B35" s="91"/>
      <c r="C35" s="352" t="s">
        <v>3</v>
      </c>
      <c r="D35" s="353"/>
      <c r="E35" s="353"/>
      <c r="F35" s="353"/>
      <c r="G35" s="354"/>
      <c r="H35" s="67"/>
      <c r="I35" s="84">
        <v>85</v>
      </c>
      <c r="J35" s="199">
        <v>85</v>
      </c>
      <c r="K35" s="84">
        <v>85</v>
      </c>
      <c r="L35" s="84">
        <v>85</v>
      </c>
      <c r="M35" s="84"/>
      <c r="N35" s="168">
        <f>I35*I34+J35*J34+K35*K34+L35*L34+M35*M34</f>
        <v>76.381</v>
      </c>
      <c r="O35" s="44"/>
      <c r="P35" s="45"/>
      <c r="Q35" s="46"/>
      <c r="R35" s="46"/>
      <c r="S35" s="47"/>
      <c r="T35" s="70"/>
      <c r="U35" s="71"/>
      <c r="V35" s="72"/>
      <c r="W35" s="150"/>
      <c r="X35" s="85"/>
      <c r="Y35" s="151"/>
      <c r="Z35" s="85"/>
      <c r="AA35" s="74"/>
      <c r="AB35" s="75"/>
      <c r="AC35" s="72"/>
      <c r="AD35" s="71"/>
      <c r="AE35" s="71"/>
      <c r="AF35" s="152"/>
      <c r="AG35" s="86"/>
      <c r="AH35" s="77"/>
      <c r="AI35" s="87"/>
      <c r="AJ35" s="46"/>
      <c r="AK35" s="77"/>
      <c r="AL35" s="78"/>
      <c r="AM35" s="79"/>
      <c r="AN35" s="80"/>
      <c r="AO35" s="80"/>
      <c r="AP35" s="61"/>
      <c r="AQ35" s="62"/>
      <c r="AR35" s="81"/>
      <c r="AS35" s="81"/>
      <c r="AT35" s="81"/>
      <c r="AU35" s="81"/>
      <c r="AV35" s="82"/>
      <c r="AW35" s="83"/>
      <c r="AX35" s="83"/>
      <c r="AZ35" s="66">
        <f t="shared" si="15"/>
        <v>0</v>
      </c>
    </row>
    <row r="36" spans="1:52" s="66" customFormat="1" ht="39.75" customHeight="1" thickBot="1" x14ac:dyDescent="0.2">
      <c r="A36" s="96"/>
      <c r="B36" s="91"/>
      <c r="C36" s="131"/>
      <c r="D36" s="131"/>
      <c r="E36" s="131"/>
      <c r="F36" s="131"/>
      <c r="G36" s="170"/>
      <c r="H36" s="158"/>
      <c r="I36" s="92">
        <v>0.7</v>
      </c>
      <c r="J36" s="41">
        <v>0.3</v>
      </c>
      <c r="K36" s="41"/>
      <c r="L36" s="42"/>
      <c r="M36" s="147"/>
      <c r="N36" s="94">
        <f t="shared" si="18"/>
        <v>1</v>
      </c>
      <c r="O36" s="125">
        <v>1</v>
      </c>
      <c r="P36" s="126">
        <v>15</v>
      </c>
      <c r="Q36" s="89">
        <v>15</v>
      </c>
      <c r="R36" s="89"/>
      <c r="S36" s="114"/>
      <c r="T36" s="70"/>
      <c r="U36" s="71">
        <f t="shared" si="19"/>
        <v>15</v>
      </c>
      <c r="V36" s="72">
        <f t="shared" si="20"/>
        <v>15</v>
      </c>
      <c r="W36" s="144"/>
      <c r="X36" s="136"/>
      <c r="Y36" s="148"/>
      <c r="Z36" s="138"/>
      <c r="AA36" s="74"/>
      <c r="AB36" s="75">
        <f t="shared" si="21"/>
        <v>0</v>
      </c>
      <c r="AC36" s="72">
        <f t="shared" si="22"/>
        <v>0</v>
      </c>
      <c r="AD36" s="124">
        <v>2</v>
      </c>
      <c r="AE36" s="71">
        <f t="shared" si="23"/>
        <v>2</v>
      </c>
      <c r="AF36" s="76"/>
      <c r="AG36" s="54"/>
      <c r="AH36" s="77">
        <f t="shared" si="24"/>
        <v>17</v>
      </c>
      <c r="AI36" s="56">
        <v>10</v>
      </c>
      <c r="AJ36" s="56">
        <v>10</v>
      </c>
      <c r="AK36" s="56">
        <v>45</v>
      </c>
      <c r="AL36" s="57">
        <f t="shared" si="25"/>
        <v>82</v>
      </c>
      <c r="AM36" s="55">
        <f t="shared" si="26"/>
        <v>82</v>
      </c>
      <c r="AN36" s="78">
        <f t="shared" si="27"/>
        <v>1.02</v>
      </c>
      <c r="AO36" s="79"/>
      <c r="AP36" s="80">
        <f t="shared" si="33"/>
        <v>1</v>
      </c>
      <c r="AQ36" s="80">
        <f t="shared" si="33"/>
        <v>2</v>
      </c>
      <c r="AR36" s="61"/>
      <c r="AS36" s="62"/>
      <c r="AT36" s="81"/>
      <c r="AU36" s="81"/>
      <c r="AV36" s="81"/>
      <c r="AW36" s="81"/>
      <c r="AX36" s="82"/>
      <c r="AY36" s="83">
        <f t="shared" si="28"/>
        <v>0</v>
      </c>
      <c r="AZ36" s="83">
        <f t="shared" si="15"/>
        <v>0</v>
      </c>
    </row>
    <row r="37" spans="1:52" s="66" customFormat="1" ht="39.75" customHeight="1" thickBot="1" x14ac:dyDescent="0.2">
      <c r="A37" s="96"/>
      <c r="B37" s="91"/>
      <c r="C37" s="122"/>
      <c r="D37" s="192" t="s">
        <v>179</v>
      </c>
      <c r="E37" s="134" t="s">
        <v>132</v>
      </c>
      <c r="F37" s="105"/>
      <c r="G37" s="97"/>
      <c r="H37" s="158"/>
      <c r="I37" s="92">
        <v>0.7</v>
      </c>
      <c r="J37" s="41">
        <v>0.3</v>
      </c>
      <c r="K37" s="41"/>
      <c r="L37" s="42"/>
      <c r="M37" s="68"/>
      <c r="N37" s="69">
        <f t="shared" si="18"/>
        <v>1</v>
      </c>
      <c r="O37" s="125">
        <v>1</v>
      </c>
      <c r="P37" s="112">
        <v>15</v>
      </c>
      <c r="Q37" s="113">
        <v>15</v>
      </c>
      <c r="R37" s="113"/>
      <c r="S37" s="120"/>
      <c r="T37" s="70"/>
      <c r="U37" s="71">
        <f t="shared" si="19"/>
        <v>15</v>
      </c>
      <c r="V37" s="72">
        <f t="shared" si="20"/>
        <v>15</v>
      </c>
      <c r="W37" s="139"/>
      <c r="X37" s="201">
        <v>6971585000</v>
      </c>
      <c r="Y37" s="136">
        <v>20418317000</v>
      </c>
      <c r="Z37" s="197"/>
      <c r="AA37" s="74"/>
      <c r="AB37" s="75">
        <f t="shared" si="21"/>
        <v>1.95</v>
      </c>
      <c r="AC37" s="72">
        <f t="shared" si="22"/>
        <v>1.95</v>
      </c>
      <c r="AD37" s="124">
        <v>2</v>
      </c>
      <c r="AE37" s="71">
        <f t="shared" si="23"/>
        <v>3.95</v>
      </c>
      <c r="AF37" s="76"/>
      <c r="AG37" s="54"/>
      <c r="AH37" s="77">
        <f t="shared" si="24"/>
        <v>18.95</v>
      </c>
      <c r="AI37" s="56">
        <v>10</v>
      </c>
      <c r="AJ37" s="56">
        <v>10</v>
      </c>
      <c r="AK37" s="56">
        <v>45</v>
      </c>
      <c r="AL37" s="57">
        <f t="shared" si="25"/>
        <v>83.95</v>
      </c>
      <c r="AM37" s="55">
        <f t="shared" si="26"/>
        <v>83.95</v>
      </c>
      <c r="AN37" s="78">
        <f t="shared" si="27"/>
        <v>1.0102500000000001</v>
      </c>
      <c r="AO37" s="79"/>
      <c r="AP37" s="80">
        <f t="shared" si="33"/>
        <v>1</v>
      </c>
      <c r="AQ37" s="80">
        <f t="shared" si="33"/>
        <v>2</v>
      </c>
      <c r="AR37" s="61"/>
      <c r="AS37" s="62"/>
      <c r="AT37" s="81"/>
      <c r="AU37" s="81"/>
      <c r="AV37" s="81"/>
      <c r="AW37" s="81"/>
      <c r="AX37" s="82"/>
      <c r="AY37" s="83">
        <f t="shared" si="28"/>
        <v>0</v>
      </c>
      <c r="AZ37" s="83">
        <f t="shared" si="15"/>
        <v>0</v>
      </c>
    </row>
    <row r="38" spans="1:52" s="66" customFormat="1" ht="39.75" customHeight="1" thickBot="1" x14ac:dyDescent="0.2">
      <c r="A38" s="96"/>
      <c r="B38" s="91"/>
      <c r="C38" s="110"/>
      <c r="D38" s="110"/>
      <c r="E38" s="110"/>
      <c r="F38" s="110"/>
      <c r="G38" s="170"/>
      <c r="H38" s="158"/>
      <c r="I38" s="92">
        <v>0.7</v>
      </c>
      <c r="J38" s="41">
        <v>0.3</v>
      </c>
      <c r="K38" s="41"/>
      <c r="L38" s="42"/>
      <c r="M38" s="147"/>
      <c r="N38" s="94">
        <f t="shared" si="18"/>
        <v>1</v>
      </c>
      <c r="O38" s="125">
        <v>1</v>
      </c>
      <c r="P38" s="112">
        <v>15</v>
      </c>
      <c r="Q38" s="113">
        <v>15</v>
      </c>
      <c r="R38" s="113"/>
      <c r="S38" s="120"/>
      <c r="T38" s="70"/>
      <c r="U38" s="71">
        <f t="shared" si="19"/>
        <v>15</v>
      </c>
      <c r="V38" s="72">
        <f t="shared" si="20"/>
        <v>15</v>
      </c>
      <c r="W38" s="139"/>
      <c r="X38" s="85"/>
      <c r="Y38" s="205">
        <v>6971585000</v>
      </c>
      <c r="Z38" s="205"/>
      <c r="AA38" s="74"/>
      <c r="AB38" s="75">
        <f t="shared" si="21"/>
        <v>0</v>
      </c>
      <c r="AC38" s="72">
        <f t="shared" si="22"/>
        <v>0</v>
      </c>
      <c r="AD38" s="124">
        <v>2</v>
      </c>
      <c r="AE38" s="71">
        <f t="shared" si="23"/>
        <v>2</v>
      </c>
      <c r="AF38" s="76"/>
      <c r="AG38" s="54"/>
      <c r="AH38" s="77">
        <f t="shared" si="24"/>
        <v>17</v>
      </c>
      <c r="AI38" s="56">
        <v>10</v>
      </c>
      <c r="AJ38" s="56">
        <v>10</v>
      </c>
      <c r="AK38" s="56">
        <v>45</v>
      </c>
      <c r="AL38" s="57">
        <f t="shared" si="25"/>
        <v>82</v>
      </c>
      <c r="AM38" s="55">
        <f t="shared" si="26"/>
        <v>82</v>
      </c>
      <c r="AN38" s="78">
        <f t="shared" si="27"/>
        <v>1.02</v>
      </c>
      <c r="AO38" s="79"/>
      <c r="AP38" s="80">
        <f t="shared" si="33"/>
        <v>1</v>
      </c>
      <c r="AQ38" s="80">
        <f t="shared" si="33"/>
        <v>2</v>
      </c>
      <c r="AR38" s="61"/>
      <c r="AS38" s="62"/>
      <c r="AT38" s="81"/>
      <c r="AU38" s="81"/>
      <c r="AV38" s="81"/>
      <c r="AW38" s="81"/>
      <c r="AX38" s="82"/>
      <c r="AY38" s="83">
        <f t="shared" si="28"/>
        <v>0</v>
      </c>
      <c r="AZ38" s="83">
        <f t="shared" si="15"/>
        <v>0</v>
      </c>
    </row>
    <row r="39" spans="1:52" s="66" customFormat="1" ht="39.75" customHeight="1" thickBot="1" x14ac:dyDescent="0.2">
      <c r="A39" s="96"/>
      <c r="B39" s="105"/>
      <c r="C39" s="108"/>
      <c r="E39" s="105"/>
      <c r="F39" s="123"/>
      <c r="G39" s="170"/>
      <c r="H39" s="158"/>
      <c r="I39" s="92">
        <v>0.7</v>
      </c>
      <c r="J39" s="41">
        <v>0.3</v>
      </c>
      <c r="K39" s="41"/>
      <c r="L39" s="42"/>
      <c r="M39" s="68"/>
      <c r="N39" s="94">
        <f t="shared" si="18"/>
        <v>1</v>
      </c>
      <c r="O39" s="125">
        <v>1</v>
      </c>
      <c r="P39" s="126">
        <v>15</v>
      </c>
      <c r="Q39" s="89">
        <v>15</v>
      </c>
      <c r="R39" s="89"/>
      <c r="S39" s="114"/>
      <c r="T39" s="70"/>
      <c r="U39" s="71">
        <f t="shared" si="19"/>
        <v>15</v>
      </c>
      <c r="V39" s="72">
        <f t="shared" si="20"/>
        <v>15</v>
      </c>
      <c r="W39" s="139"/>
      <c r="X39" s="85"/>
      <c r="Y39" s="105"/>
      <c r="Z39" s="109"/>
      <c r="AA39" s="74"/>
      <c r="AB39" s="75">
        <f t="shared" si="21"/>
        <v>0</v>
      </c>
      <c r="AC39" s="72">
        <f t="shared" si="22"/>
        <v>0</v>
      </c>
      <c r="AD39" s="124">
        <v>2</v>
      </c>
      <c r="AE39" s="71">
        <f t="shared" si="23"/>
        <v>2</v>
      </c>
      <c r="AF39" s="76"/>
      <c r="AG39" s="54"/>
      <c r="AH39" s="77">
        <f t="shared" si="24"/>
        <v>17</v>
      </c>
      <c r="AI39" s="56">
        <v>10</v>
      </c>
      <c r="AJ39" s="56">
        <v>10</v>
      </c>
      <c r="AK39" s="56">
        <v>45</v>
      </c>
      <c r="AL39" s="57">
        <f t="shared" si="25"/>
        <v>82</v>
      </c>
      <c r="AM39" s="55">
        <f t="shared" si="26"/>
        <v>82</v>
      </c>
      <c r="AN39" s="78">
        <f t="shared" si="27"/>
        <v>1.02</v>
      </c>
      <c r="AO39" s="79"/>
      <c r="AP39" s="80">
        <f t="shared" si="33"/>
        <v>1</v>
      </c>
      <c r="AQ39" s="80">
        <f t="shared" si="33"/>
        <v>2</v>
      </c>
      <c r="AR39" s="61"/>
      <c r="AS39" s="62"/>
      <c r="AT39" s="81"/>
      <c r="AU39" s="81"/>
      <c r="AV39" s="81"/>
      <c r="AW39" s="81"/>
      <c r="AX39" s="82"/>
      <c r="AY39" s="83">
        <f t="shared" si="28"/>
        <v>0</v>
      </c>
      <c r="AZ39" s="83">
        <f t="shared" si="15"/>
        <v>0</v>
      </c>
    </row>
    <row r="40" spans="1:52" s="66" customFormat="1" ht="39.75" customHeight="1" thickBot="1" x14ac:dyDescent="0.2">
      <c r="A40" s="96"/>
      <c r="B40" s="91"/>
      <c r="C40" s="131"/>
      <c r="D40" s="110"/>
      <c r="E40" s="108"/>
      <c r="F40" s="108"/>
      <c r="G40" s="170"/>
      <c r="H40" s="158"/>
      <c r="I40" s="92">
        <v>0.7</v>
      </c>
      <c r="J40" s="41">
        <v>0.3</v>
      </c>
      <c r="K40" s="41"/>
      <c r="L40" s="42"/>
      <c r="M40" s="147"/>
      <c r="N40" s="94">
        <f t="shared" si="18"/>
        <v>1</v>
      </c>
      <c r="O40" s="125">
        <v>1</v>
      </c>
      <c r="P40" s="112">
        <v>15</v>
      </c>
      <c r="Q40" s="113">
        <v>15</v>
      </c>
      <c r="R40" s="114"/>
      <c r="S40" s="120"/>
      <c r="T40" s="70"/>
      <c r="U40" s="71">
        <f t="shared" si="19"/>
        <v>15</v>
      </c>
      <c r="V40" s="72">
        <f t="shared" si="20"/>
        <v>15</v>
      </c>
      <c r="W40" s="136"/>
      <c r="X40" s="85"/>
      <c r="Y40" s="136"/>
      <c r="Z40" s="117"/>
      <c r="AA40" s="74"/>
      <c r="AB40" s="75">
        <f t="shared" si="21"/>
        <v>0</v>
      </c>
      <c r="AC40" s="72">
        <f t="shared" si="22"/>
        <v>0</v>
      </c>
      <c r="AD40" s="124">
        <v>2</v>
      </c>
      <c r="AE40" s="71">
        <f t="shared" si="23"/>
        <v>2</v>
      </c>
      <c r="AF40" s="76"/>
      <c r="AG40" s="54"/>
      <c r="AH40" s="77">
        <f t="shared" si="24"/>
        <v>17</v>
      </c>
      <c r="AI40" s="56">
        <v>10</v>
      </c>
      <c r="AJ40" s="56">
        <v>10</v>
      </c>
      <c r="AK40" s="56">
        <v>45</v>
      </c>
      <c r="AL40" s="57">
        <f t="shared" si="25"/>
        <v>82</v>
      </c>
      <c r="AM40" s="55">
        <f t="shared" si="26"/>
        <v>82</v>
      </c>
      <c r="AN40" s="78">
        <f t="shared" si="27"/>
        <v>1.02</v>
      </c>
      <c r="AO40" s="79"/>
      <c r="AP40" s="80">
        <f t="shared" si="33"/>
        <v>1</v>
      </c>
      <c r="AQ40" s="80">
        <f t="shared" si="33"/>
        <v>2</v>
      </c>
      <c r="AR40" s="61"/>
      <c r="AS40" s="62"/>
      <c r="AT40" s="81"/>
      <c r="AU40" s="81"/>
      <c r="AV40" s="81"/>
      <c r="AW40" s="81"/>
      <c r="AX40" s="82"/>
      <c r="AY40" s="83">
        <f t="shared" si="28"/>
        <v>0</v>
      </c>
      <c r="AZ40" s="83">
        <f t="shared" si="15"/>
        <v>0</v>
      </c>
    </row>
    <row r="41" spans="1:52" s="66" customFormat="1" ht="39.75" customHeight="1" thickBot="1" x14ac:dyDescent="0.2">
      <c r="A41" s="96"/>
      <c r="B41" s="91"/>
      <c r="C41" s="110"/>
      <c r="D41" s="108"/>
      <c r="E41" s="108"/>
      <c r="F41" s="105"/>
      <c r="G41" s="170"/>
      <c r="H41" s="158"/>
      <c r="I41" s="92">
        <v>0.7</v>
      </c>
      <c r="J41" s="41">
        <v>0.3</v>
      </c>
      <c r="K41" s="41"/>
      <c r="L41" s="42"/>
      <c r="M41" s="147"/>
      <c r="N41" s="94">
        <f t="shared" si="18"/>
        <v>1</v>
      </c>
      <c r="O41" s="125">
        <v>1</v>
      </c>
      <c r="P41" s="126">
        <v>15</v>
      </c>
      <c r="Q41" s="89">
        <v>15</v>
      </c>
      <c r="R41" s="89"/>
      <c r="S41" s="114"/>
      <c r="T41" s="70"/>
      <c r="U41" s="71">
        <f t="shared" si="19"/>
        <v>15</v>
      </c>
      <c r="V41" s="72">
        <f t="shared" si="20"/>
        <v>15</v>
      </c>
      <c r="W41" s="117"/>
      <c r="X41" s="136"/>
      <c r="Y41" s="136"/>
      <c r="Z41" s="136"/>
      <c r="AA41" s="74"/>
      <c r="AB41" s="75">
        <f t="shared" si="21"/>
        <v>0</v>
      </c>
      <c r="AC41" s="72">
        <f t="shared" si="22"/>
        <v>0</v>
      </c>
      <c r="AD41" s="124">
        <v>2</v>
      </c>
      <c r="AE41" s="71">
        <f t="shared" si="23"/>
        <v>2</v>
      </c>
      <c r="AF41" s="76"/>
      <c r="AG41" s="54"/>
      <c r="AH41" s="77">
        <f t="shared" si="24"/>
        <v>17</v>
      </c>
      <c r="AI41" s="56">
        <v>10</v>
      </c>
      <c r="AJ41" s="56">
        <v>10</v>
      </c>
      <c r="AK41" s="56">
        <v>45</v>
      </c>
      <c r="AL41" s="57">
        <f t="shared" si="25"/>
        <v>82</v>
      </c>
      <c r="AM41" s="55">
        <f t="shared" si="26"/>
        <v>82</v>
      </c>
      <c r="AN41" s="78">
        <f t="shared" si="27"/>
        <v>1.02</v>
      </c>
      <c r="AO41" s="79"/>
      <c r="AP41" s="80">
        <f t="shared" si="33"/>
        <v>1</v>
      </c>
      <c r="AQ41" s="80">
        <f t="shared" si="33"/>
        <v>2</v>
      </c>
      <c r="AR41" s="61"/>
      <c r="AS41" s="62"/>
      <c r="AT41" s="81"/>
      <c r="AU41" s="81"/>
      <c r="AV41" s="81"/>
      <c r="AW41" s="81"/>
      <c r="AX41" s="82"/>
      <c r="AY41" s="83">
        <f t="shared" si="28"/>
        <v>0</v>
      </c>
      <c r="AZ41" s="83">
        <f t="shared" si="15"/>
        <v>0</v>
      </c>
    </row>
    <row r="42" spans="1:52" s="66" customFormat="1" ht="39.75" customHeight="1" thickBot="1" x14ac:dyDescent="0.2">
      <c r="A42" s="107"/>
      <c r="B42" s="91"/>
      <c r="C42" s="131"/>
      <c r="D42" s="105"/>
      <c r="E42" s="131"/>
      <c r="F42" s="110"/>
      <c r="G42" s="170"/>
      <c r="H42" s="158"/>
      <c r="I42" s="92">
        <v>0.7</v>
      </c>
      <c r="J42" s="41">
        <v>0.3</v>
      </c>
      <c r="K42" s="41"/>
      <c r="L42" s="42"/>
      <c r="M42" s="68"/>
      <c r="N42" s="94">
        <f t="shared" si="18"/>
        <v>1</v>
      </c>
      <c r="O42" s="125">
        <v>1</v>
      </c>
      <c r="P42" s="112">
        <v>15</v>
      </c>
      <c r="Q42" s="113">
        <v>15</v>
      </c>
      <c r="R42" s="113"/>
      <c r="S42" s="114"/>
      <c r="T42" s="70"/>
      <c r="U42" s="71">
        <f t="shared" si="19"/>
        <v>15</v>
      </c>
      <c r="V42" s="72">
        <f t="shared" si="20"/>
        <v>15</v>
      </c>
      <c r="W42" s="136"/>
      <c r="X42" s="148"/>
      <c r="Y42" s="148"/>
      <c r="Z42" s="119"/>
      <c r="AA42" s="74"/>
      <c r="AB42" s="75">
        <f t="shared" si="21"/>
        <v>0</v>
      </c>
      <c r="AC42" s="72">
        <f t="shared" si="22"/>
        <v>0</v>
      </c>
      <c r="AD42" s="124">
        <v>2</v>
      </c>
      <c r="AE42" s="71">
        <f t="shared" si="23"/>
        <v>2</v>
      </c>
      <c r="AF42" s="76"/>
      <c r="AG42" s="54"/>
      <c r="AH42" s="77">
        <f t="shared" si="24"/>
        <v>17</v>
      </c>
      <c r="AI42" s="56">
        <v>10</v>
      </c>
      <c r="AJ42" s="56">
        <v>10</v>
      </c>
      <c r="AK42" s="56">
        <v>45</v>
      </c>
      <c r="AL42" s="57">
        <f t="shared" si="25"/>
        <v>82</v>
      </c>
      <c r="AM42" s="55">
        <f t="shared" si="26"/>
        <v>82</v>
      </c>
      <c r="AN42" s="78">
        <f t="shared" si="27"/>
        <v>1.02</v>
      </c>
      <c r="AO42" s="79"/>
      <c r="AP42" s="80">
        <f t="shared" si="33"/>
        <v>1</v>
      </c>
      <c r="AQ42" s="80">
        <f t="shared" si="33"/>
        <v>2</v>
      </c>
      <c r="AR42" s="61"/>
      <c r="AS42" s="62"/>
      <c r="AT42" s="81"/>
      <c r="AU42" s="81"/>
      <c r="AV42" s="81"/>
      <c r="AW42" s="81"/>
      <c r="AX42" s="82"/>
      <c r="AY42" s="83">
        <f t="shared" si="28"/>
        <v>0</v>
      </c>
      <c r="AZ42" s="83">
        <f t="shared" si="15"/>
        <v>0</v>
      </c>
    </row>
    <row r="43" spans="1:52" s="66" customFormat="1" ht="39.75" customHeight="1" thickBot="1" x14ac:dyDescent="0.2">
      <c r="A43" s="96"/>
      <c r="B43" s="91"/>
      <c r="C43" s="131"/>
      <c r="D43" s="131"/>
      <c r="E43" s="131"/>
      <c r="F43" s="131"/>
      <c r="G43" s="170"/>
      <c r="H43" s="158"/>
      <c r="I43" s="92">
        <v>0.7</v>
      </c>
      <c r="J43" s="41">
        <v>0.3</v>
      </c>
      <c r="K43" s="41"/>
      <c r="L43" s="42"/>
      <c r="M43" s="147"/>
      <c r="N43" s="94">
        <f t="shared" si="18"/>
        <v>1</v>
      </c>
      <c r="O43" s="125">
        <v>1</v>
      </c>
      <c r="P43" s="112">
        <v>15</v>
      </c>
      <c r="Q43" s="113">
        <v>15</v>
      </c>
      <c r="R43" s="114"/>
      <c r="S43" s="120"/>
      <c r="T43" s="70"/>
      <c r="U43" s="71">
        <f t="shared" si="19"/>
        <v>15</v>
      </c>
      <c r="V43" s="72">
        <f t="shared" si="20"/>
        <v>15</v>
      </c>
      <c r="W43" s="137"/>
      <c r="X43" s="136"/>
      <c r="Y43" s="119"/>
      <c r="Z43" s="148"/>
      <c r="AA43" s="74"/>
      <c r="AB43" s="75">
        <f t="shared" si="21"/>
        <v>0</v>
      </c>
      <c r="AC43" s="72">
        <f t="shared" si="22"/>
        <v>0</v>
      </c>
      <c r="AD43" s="124">
        <v>2</v>
      </c>
      <c r="AE43" s="71">
        <f t="shared" si="23"/>
        <v>2</v>
      </c>
      <c r="AF43" s="76"/>
      <c r="AG43" s="54"/>
      <c r="AH43" s="77">
        <f t="shared" si="24"/>
        <v>17</v>
      </c>
      <c r="AI43" s="56">
        <v>10</v>
      </c>
      <c r="AJ43" s="56">
        <v>10</v>
      </c>
      <c r="AK43" s="56">
        <v>45</v>
      </c>
      <c r="AL43" s="57">
        <f t="shared" si="25"/>
        <v>82</v>
      </c>
      <c r="AM43" s="55">
        <f t="shared" si="26"/>
        <v>82</v>
      </c>
      <c r="AN43" s="78">
        <f t="shared" si="27"/>
        <v>1.02</v>
      </c>
      <c r="AO43" s="79"/>
      <c r="AP43" s="80">
        <f t="shared" si="33"/>
        <v>1</v>
      </c>
      <c r="AQ43" s="80">
        <f t="shared" si="33"/>
        <v>2</v>
      </c>
      <c r="AR43" s="61"/>
      <c r="AS43" s="62"/>
      <c r="AT43" s="81"/>
      <c r="AU43" s="81"/>
      <c r="AV43" s="81"/>
      <c r="AW43" s="81"/>
      <c r="AX43" s="82"/>
      <c r="AY43" s="83">
        <f t="shared" si="28"/>
        <v>0</v>
      </c>
      <c r="AZ43" s="83">
        <f t="shared" si="15"/>
        <v>0</v>
      </c>
    </row>
    <row r="44" spans="1:52" s="66" customFormat="1" ht="39.75" customHeight="1" thickBot="1" x14ac:dyDescent="0.2">
      <c r="A44" s="96"/>
      <c r="B44" s="91"/>
      <c r="C44" s="131"/>
      <c r="D44" s="131"/>
      <c r="E44" s="131"/>
      <c r="F44" s="131"/>
      <c r="G44" s="97"/>
      <c r="H44" s="158"/>
      <c r="I44" s="92">
        <v>0.7</v>
      </c>
      <c r="J44" s="41">
        <v>0.3</v>
      </c>
      <c r="K44" s="41"/>
      <c r="L44" s="42"/>
      <c r="M44" s="147"/>
      <c r="N44" s="69">
        <f t="shared" si="18"/>
        <v>1</v>
      </c>
      <c r="O44" s="125">
        <v>1</v>
      </c>
      <c r="P44" s="112">
        <v>15</v>
      </c>
      <c r="Q44" s="113">
        <v>15</v>
      </c>
      <c r="R44" s="113"/>
      <c r="S44" s="114"/>
      <c r="T44" s="70"/>
      <c r="U44" s="71">
        <f t="shared" si="19"/>
        <v>15</v>
      </c>
      <c r="V44" s="72">
        <f t="shared" si="20"/>
        <v>15</v>
      </c>
      <c r="W44" s="136"/>
      <c r="X44" s="148"/>
      <c r="Y44" s="136"/>
      <c r="Z44" s="119"/>
      <c r="AA44" s="74"/>
      <c r="AB44" s="75">
        <f t="shared" si="21"/>
        <v>0</v>
      </c>
      <c r="AC44" s="72">
        <f t="shared" si="22"/>
        <v>0</v>
      </c>
      <c r="AD44" s="124">
        <v>2</v>
      </c>
      <c r="AE44" s="71">
        <f t="shared" si="23"/>
        <v>2</v>
      </c>
      <c r="AF44" s="76"/>
      <c r="AG44" s="54"/>
      <c r="AH44" s="77">
        <f t="shared" si="24"/>
        <v>17</v>
      </c>
      <c r="AI44" s="56">
        <v>10</v>
      </c>
      <c r="AJ44" s="56">
        <v>10</v>
      </c>
      <c r="AK44" s="56">
        <v>45</v>
      </c>
      <c r="AL44" s="57">
        <f t="shared" si="25"/>
        <v>82</v>
      </c>
      <c r="AM44" s="55">
        <f t="shared" si="26"/>
        <v>82</v>
      </c>
      <c r="AN44" s="78">
        <f t="shared" si="27"/>
        <v>1.02</v>
      </c>
      <c r="AO44" s="79"/>
      <c r="AP44" s="80">
        <f t="shared" si="33"/>
        <v>1</v>
      </c>
      <c r="AQ44" s="80">
        <f t="shared" si="33"/>
        <v>2</v>
      </c>
      <c r="AR44" s="61"/>
      <c r="AS44" s="62"/>
      <c r="AT44" s="81"/>
      <c r="AU44" s="81"/>
      <c r="AV44" s="81"/>
      <c r="AW44" s="81"/>
      <c r="AX44" s="82"/>
      <c r="AY44" s="83">
        <f t="shared" si="28"/>
        <v>0</v>
      </c>
      <c r="AZ44" s="83">
        <f t="shared" si="15"/>
        <v>0</v>
      </c>
    </row>
    <row r="45" spans="1:52" s="66" customFormat="1" ht="39.75" customHeight="1" thickBot="1" x14ac:dyDescent="0.2">
      <c r="A45" s="96"/>
      <c r="B45" s="91"/>
      <c r="C45" s="131"/>
      <c r="D45" s="131"/>
      <c r="E45" s="131"/>
      <c r="F45" s="131"/>
      <c r="G45" s="97"/>
      <c r="H45" s="158"/>
      <c r="I45" s="92">
        <v>0.7</v>
      </c>
      <c r="J45" s="41">
        <v>0.3</v>
      </c>
      <c r="K45" s="41"/>
      <c r="L45" s="42"/>
      <c r="M45" s="68"/>
      <c r="N45" s="69">
        <f t="shared" si="18"/>
        <v>1</v>
      </c>
      <c r="O45" s="125">
        <v>1</v>
      </c>
      <c r="P45" s="112">
        <v>15</v>
      </c>
      <c r="Q45" s="113">
        <v>15</v>
      </c>
      <c r="R45" s="113"/>
      <c r="S45" s="114"/>
      <c r="T45" s="70"/>
      <c r="U45" s="71">
        <f t="shared" si="19"/>
        <v>15</v>
      </c>
      <c r="V45" s="72">
        <f t="shared" si="20"/>
        <v>15</v>
      </c>
      <c r="W45" s="136"/>
      <c r="X45" s="136"/>
      <c r="Y45" s="117"/>
      <c r="Z45" s="116"/>
      <c r="AA45" s="74"/>
      <c r="AB45" s="75">
        <f t="shared" si="21"/>
        <v>0</v>
      </c>
      <c r="AC45" s="72">
        <f t="shared" si="22"/>
        <v>0</v>
      </c>
      <c r="AD45" s="124">
        <v>2</v>
      </c>
      <c r="AE45" s="71">
        <f t="shared" si="23"/>
        <v>2</v>
      </c>
      <c r="AF45" s="76"/>
      <c r="AG45" s="54"/>
      <c r="AH45" s="77">
        <f t="shared" si="24"/>
        <v>17</v>
      </c>
      <c r="AI45" s="56">
        <v>10</v>
      </c>
      <c r="AJ45" s="56">
        <v>10</v>
      </c>
      <c r="AK45" s="56">
        <v>45</v>
      </c>
      <c r="AL45" s="57">
        <f t="shared" si="25"/>
        <v>82</v>
      </c>
      <c r="AM45" s="55">
        <f t="shared" si="26"/>
        <v>82</v>
      </c>
      <c r="AN45" s="78">
        <f t="shared" si="27"/>
        <v>1.02</v>
      </c>
      <c r="AO45" s="79"/>
      <c r="AP45" s="80">
        <f t="shared" si="33"/>
        <v>1</v>
      </c>
      <c r="AQ45" s="80">
        <f t="shared" si="33"/>
        <v>2</v>
      </c>
      <c r="AR45" s="61"/>
      <c r="AS45" s="62"/>
      <c r="AT45" s="81"/>
      <c r="AU45" s="81"/>
      <c r="AV45" s="81"/>
      <c r="AW45" s="81"/>
      <c r="AX45" s="82"/>
      <c r="AY45" s="83">
        <f t="shared" si="28"/>
        <v>0</v>
      </c>
      <c r="AZ45" s="83">
        <f t="shared" si="15"/>
        <v>0</v>
      </c>
    </row>
    <row r="46" spans="1:52" s="66" customFormat="1" ht="39.75" customHeight="1" thickBot="1" x14ac:dyDescent="0.2">
      <c r="A46" s="96"/>
      <c r="B46" s="91"/>
      <c r="C46" s="131"/>
      <c r="D46" s="131"/>
      <c r="E46" s="110"/>
      <c r="F46" s="110"/>
      <c r="G46" s="170"/>
      <c r="H46" s="157"/>
      <c r="I46" s="92">
        <v>0.7</v>
      </c>
      <c r="J46" s="41">
        <v>0.3</v>
      </c>
      <c r="K46" s="41"/>
      <c r="L46" s="42"/>
      <c r="M46" s="128"/>
      <c r="N46" s="43">
        <f t="shared" si="18"/>
        <v>1</v>
      </c>
      <c r="O46" s="125">
        <v>1</v>
      </c>
      <c r="P46" s="112">
        <v>15</v>
      </c>
      <c r="Q46" s="89">
        <v>15</v>
      </c>
      <c r="R46" s="113"/>
      <c r="S46" s="120"/>
      <c r="T46" s="156"/>
      <c r="U46" s="48">
        <f t="shared" si="19"/>
        <v>15</v>
      </c>
      <c r="V46" s="49">
        <f t="shared" si="20"/>
        <v>15</v>
      </c>
      <c r="W46" s="136"/>
      <c r="X46" s="146"/>
      <c r="Y46" s="148"/>
      <c r="Z46" s="117"/>
      <c r="AA46" s="74"/>
      <c r="AB46" s="75">
        <f t="shared" si="21"/>
        <v>0</v>
      </c>
      <c r="AC46" s="72">
        <f t="shared" si="22"/>
        <v>0</v>
      </c>
      <c r="AD46" s="124">
        <v>2</v>
      </c>
      <c r="AE46" s="71">
        <f t="shared" si="23"/>
        <v>2</v>
      </c>
      <c r="AF46" s="76"/>
      <c r="AG46" s="54"/>
      <c r="AH46" s="77">
        <f t="shared" si="24"/>
        <v>17</v>
      </c>
      <c r="AI46" s="56">
        <v>10</v>
      </c>
      <c r="AJ46" s="56">
        <v>10</v>
      </c>
      <c r="AK46" s="56">
        <v>45</v>
      </c>
      <c r="AL46" s="57">
        <f t="shared" si="25"/>
        <v>82</v>
      </c>
      <c r="AM46" s="55">
        <f t="shared" si="26"/>
        <v>82</v>
      </c>
      <c r="AN46" s="78">
        <f t="shared" si="27"/>
        <v>1.02</v>
      </c>
      <c r="AO46" s="79"/>
      <c r="AP46" s="80">
        <f t="shared" si="33"/>
        <v>1</v>
      </c>
      <c r="AQ46" s="80">
        <f t="shared" si="33"/>
        <v>2</v>
      </c>
      <c r="AR46" s="61"/>
      <c r="AS46" s="62"/>
      <c r="AT46" s="81"/>
      <c r="AU46" s="81"/>
      <c r="AV46" s="81"/>
      <c r="AW46" s="81"/>
      <c r="AX46" s="82"/>
      <c r="AY46" s="83">
        <f t="shared" si="28"/>
        <v>0</v>
      </c>
      <c r="AZ46" s="83">
        <f t="shared" si="15"/>
        <v>0</v>
      </c>
    </row>
    <row r="47" spans="1:52" s="66" customFormat="1" ht="39.75" customHeight="1" thickBot="1" x14ac:dyDescent="0.2">
      <c r="A47" s="160"/>
      <c r="B47" s="91"/>
      <c r="C47" s="131"/>
      <c r="D47" s="105"/>
      <c r="E47" s="110"/>
      <c r="F47" s="131"/>
      <c r="G47" s="170"/>
      <c r="H47" s="158"/>
      <c r="I47" s="92">
        <v>0.7</v>
      </c>
      <c r="J47" s="41">
        <v>0.3</v>
      </c>
      <c r="K47" s="41"/>
      <c r="L47" s="42"/>
      <c r="M47" s="68"/>
      <c r="N47" s="94">
        <f t="shared" si="18"/>
        <v>1</v>
      </c>
      <c r="O47" s="125">
        <v>1</v>
      </c>
      <c r="P47" s="126">
        <v>15</v>
      </c>
      <c r="Q47" s="89">
        <v>15</v>
      </c>
      <c r="R47" s="89"/>
      <c r="S47" s="114"/>
      <c r="T47" s="70"/>
      <c r="U47" s="71">
        <f t="shared" si="19"/>
        <v>15</v>
      </c>
      <c r="V47" s="72">
        <f t="shared" si="20"/>
        <v>15</v>
      </c>
      <c r="W47" s="139"/>
      <c r="X47" s="136"/>
      <c r="Y47" s="148"/>
      <c r="Z47" s="146"/>
      <c r="AA47" s="74"/>
      <c r="AB47" s="75">
        <f t="shared" si="21"/>
        <v>0</v>
      </c>
      <c r="AC47" s="72">
        <f t="shared" si="22"/>
        <v>0</v>
      </c>
      <c r="AD47" s="124">
        <v>2</v>
      </c>
      <c r="AE47" s="71">
        <f t="shared" si="23"/>
        <v>2</v>
      </c>
      <c r="AF47" s="76"/>
      <c r="AG47" s="54"/>
      <c r="AH47" s="77">
        <f t="shared" si="24"/>
        <v>17</v>
      </c>
      <c r="AI47" s="56">
        <v>10</v>
      </c>
      <c r="AJ47" s="56">
        <v>10</v>
      </c>
      <c r="AK47" s="56">
        <v>45</v>
      </c>
      <c r="AL47" s="57">
        <f t="shared" si="25"/>
        <v>82</v>
      </c>
      <c r="AM47" s="55">
        <f t="shared" si="26"/>
        <v>82</v>
      </c>
      <c r="AN47" s="78">
        <f t="shared" si="27"/>
        <v>1.02</v>
      </c>
      <c r="AO47" s="79"/>
      <c r="AP47" s="80">
        <f t="shared" si="33"/>
        <v>1</v>
      </c>
      <c r="AQ47" s="80">
        <f t="shared" si="33"/>
        <v>2</v>
      </c>
      <c r="AR47" s="61"/>
      <c r="AS47" s="62"/>
      <c r="AT47" s="81"/>
      <c r="AU47" s="81"/>
      <c r="AV47" s="81"/>
      <c r="AW47" s="81"/>
      <c r="AX47" s="82"/>
      <c r="AY47" s="83">
        <f t="shared" si="28"/>
        <v>0</v>
      </c>
      <c r="AZ47" s="83">
        <f t="shared" si="15"/>
        <v>0</v>
      </c>
    </row>
    <row r="48" spans="1:52" s="66" customFormat="1" ht="39.75" customHeight="1" thickBot="1" x14ac:dyDescent="0.2">
      <c r="A48" s="96"/>
      <c r="B48" s="91"/>
      <c r="C48" s="131"/>
      <c r="D48" s="131"/>
      <c r="E48" s="105"/>
      <c r="F48" s="131"/>
      <c r="G48" s="170"/>
      <c r="H48" s="158"/>
      <c r="I48" s="92">
        <v>0.7</v>
      </c>
      <c r="J48" s="41">
        <v>0.3</v>
      </c>
      <c r="K48" s="41"/>
      <c r="L48" s="42"/>
      <c r="M48" s="68"/>
      <c r="N48" s="94">
        <f t="shared" si="18"/>
        <v>1</v>
      </c>
      <c r="O48" s="125">
        <v>1</v>
      </c>
      <c r="P48" s="112">
        <v>15</v>
      </c>
      <c r="Q48" s="113">
        <v>15</v>
      </c>
      <c r="R48" s="113"/>
      <c r="S48" s="114"/>
      <c r="T48" s="70"/>
      <c r="U48" s="71">
        <f t="shared" si="19"/>
        <v>15</v>
      </c>
      <c r="V48" s="72">
        <f t="shared" si="20"/>
        <v>15</v>
      </c>
      <c r="W48" s="136"/>
      <c r="X48" s="136"/>
      <c r="Y48" s="148"/>
      <c r="Z48" s="146"/>
      <c r="AA48" s="146"/>
      <c r="AB48" s="71">
        <f t="shared" si="21"/>
        <v>0</v>
      </c>
      <c r="AC48" s="72">
        <f t="shared" si="22"/>
        <v>0</v>
      </c>
      <c r="AD48" s="124">
        <v>2</v>
      </c>
      <c r="AE48" s="71">
        <f t="shared" si="23"/>
        <v>2</v>
      </c>
      <c r="AF48" s="76"/>
      <c r="AG48" s="54"/>
      <c r="AH48" s="77">
        <f t="shared" si="24"/>
        <v>17</v>
      </c>
      <c r="AI48" s="56">
        <v>10</v>
      </c>
      <c r="AJ48" s="56">
        <v>10</v>
      </c>
      <c r="AK48" s="56">
        <v>45</v>
      </c>
      <c r="AL48" s="57">
        <f t="shared" si="25"/>
        <v>82</v>
      </c>
      <c r="AM48" s="55">
        <f t="shared" si="26"/>
        <v>82</v>
      </c>
      <c r="AN48" s="78">
        <f t="shared" si="27"/>
        <v>1.02</v>
      </c>
      <c r="AO48" s="79"/>
      <c r="AP48" s="80">
        <f t="shared" si="33"/>
        <v>1</v>
      </c>
      <c r="AQ48" s="80">
        <f t="shared" si="33"/>
        <v>2</v>
      </c>
      <c r="AR48" s="61"/>
      <c r="AS48" s="62"/>
      <c r="AT48" s="81"/>
      <c r="AU48" s="81"/>
      <c r="AV48" s="81"/>
      <c r="AW48" s="81"/>
      <c r="AX48" s="82"/>
      <c r="AY48" s="83">
        <f t="shared" si="28"/>
        <v>0</v>
      </c>
      <c r="AZ48" s="83">
        <f t="shared" si="15"/>
        <v>0</v>
      </c>
    </row>
    <row r="49" spans="1:52" s="66" customFormat="1" ht="39.75" customHeight="1" thickBot="1" x14ac:dyDescent="0.2">
      <c r="A49" s="160"/>
      <c r="B49" s="91"/>
      <c r="C49" s="105"/>
      <c r="D49" s="171"/>
      <c r="E49" s="110"/>
      <c r="F49" s="109"/>
      <c r="G49" s="170"/>
      <c r="H49" s="158"/>
      <c r="I49" s="92">
        <v>0.7</v>
      </c>
      <c r="J49" s="41">
        <v>0.3</v>
      </c>
      <c r="K49" s="41"/>
      <c r="L49" s="42"/>
      <c r="M49" s="68"/>
      <c r="N49" s="94">
        <f t="shared" si="18"/>
        <v>1</v>
      </c>
      <c r="O49" s="125">
        <v>1</v>
      </c>
      <c r="P49" s="126">
        <v>15</v>
      </c>
      <c r="Q49" s="89">
        <v>15</v>
      </c>
      <c r="R49" s="89"/>
      <c r="S49" s="114"/>
      <c r="T49" s="70"/>
      <c r="U49" s="71">
        <f t="shared" si="19"/>
        <v>15</v>
      </c>
      <c r="V49" s="72">
        <f t="shared" si="20"/>
        <v>15</v>
      </c>
      <c r="W49" s="119"/>
      <c r="X49" s="136"/>
      <c r="Y49" s="148"/>
      <c r="Z49" s="109"/>
      <c r="AA49" s="74"/>
      <c r="AB49" s="75">
        <f t="shared" si="21"/>
        <v>0</v>
      </c>
      <c r="AC49" s="72">
        <f t="shared" si="22"/>
        <v>0</v>
      </c>
      <c r="AD49" s="124">
        <v>2</v>
      </c>
      <c r="AE49" s="71">
        <f t="shared" si="23"/>
        <v>2</v>
      </c>
      <c r="AF49" s="76"/>
      <c r="AG49" s="54"/>
      <c r="AH49" s="77">
        <f t="shared" si="24"/>
        <v>17</v>
      </c>
      <c r="AI49" s="56">
        <v>10</v>
      </c>
      <c r="AJ49" s="56">
        <v>10</v>
      </c>
      <c r="AK49" s="56">
        <v>45</v>
      </c>
      <c r="AL49" s="57">
        <f t="shared" si="25"/>
        <v>82</v>
      </c>
      <c r="AM49" s="55">
        <f t="shared" si="26"/>
        <v>82</v>
      </c>
      <c r="AN49" s="78">
        <f t="shared" si="27"/>
        <v>1.02</v>
      </c>
      <c r="AO49" s="79"/>
      <c r="AP49" s="80">
        <f t="shared" si="33"/>
        <v>1</v>
      </c>
      <c r="AQ49" s="80">
        <f t="shared" si="33"/>
        <v>2</v>
      </c>
      <c r="AR49" s="61"/>
      <c r="AS49" s="62"/>
      <c r="AT49" s="81"/>
      <c r="AU49" s="81"/>
      <c r="AV49" s="81"/>
      <c r="AW49" s="81"/>
      <c r="AX49" s="82"/>
      <c r="AY49" s="83">
        <f t="shared" si="28"/>
        <v>0</v>
      </c>
      <c r="AZ49" s="83">
        <f t="shared" si="15"/>
        <v>0</v>
      </c>
    </row>
    <row r="50" spans="1:52" s="66" customFormat="1" ht="39.75" customHeight="1" thickBot="1" x14ac:dyDescent="0.2">
      <c r="A50" s="131"/>
      <c r="B50" s="131"/>
      <c r="C50" s="131"/>
      <c r="D50" s="131"/>
      <c r="E50" s="131"/>
      <c r="F50" s="109"/>
      <c r="G50" s="170"/>
      <c r="H50" s="158"/>
      <c r="I50" s="92">
        <v>0.7</v>
      </c>
      <c r="J50" s="41">
        <v>0.3</v>
      </c>
      <c r="K50" s="41"/>
      <c r="L50" s="42"/>
      <c r="M50" s="147"/>
      <c r="N50" s="94">
        <f t="shared" si="18"/>
        <v>1</v>
      </c>
      <c r="O50" s="125">
        <v>1</v>
      </c>
      <c r="P50" s="112">
        <v>15</v>
      </c>
      <c r="Q50" s="113">
        <v>15</v>
      </c>
      <c r="R50" s="113"/>
      <c r="S50" s="120"/>
      <c r="T50" s="70"/>
      <c r="U50" s="71">
        <f t="shared" si="19"/>
        <v>15</v>
      </c>
      <c r="V50" s="72">
        <f t="shared" si="20"/>
        <v>15</v>
      </c>
      <c r="W50" s="119"/>
      <c r="X50" s="148"/>
      <c r="Y50" s="136"/>
      <c r="Z50" s="139"/>
      <c r="AA50" s="74"/>
      <c r="AB50" s="75">
        <f t="shared" si="21"/>
        <v>0</v>
      </c>
      <c r="AC50" s="72">
        <f t="shared" si="22"/>
        <v>0</v>
      </c>
      <c r="AD50" s="124">
        <v>2</v>
      </c>
      <c r="AE50" s="71">
        <f t="shared" si="23"/>
        <v>2</v>
      </c>
      <c r="AF50" s="76"/>
      <c r="AG50" s="54"/>
      <c r="AH50" s="77">
        <f t="shared" si="24"/>
        <v>17</v>
      </c>
      <c r="AI50" s="56">
        <v>10</v>
      </c>
      <c r="AJ50" s="56">
        <v>10</v>
      </c>
      <c r="AK50" s="56">
        <v>45</v>
      </c>
      <c r="AL50" s="57">
        <f t="shared" si="25"/>
        <v>82</v>
      </c>
      <c r="AM50" s="55">
        <f t="shared" si="26"/>
        <v>82</v>
      </c>
      <c r="AN50" s="78">
        <f t="shared" si="27"/>
        <v>1.02</v>
      </c>
      <c r="AO50" s="79"/>
      <c r="AP50" s="80">
        <f t="shared" si="33"/>
        <v>1</v>
      </c>
      <c r="AQ50" s="80">
        <f t="shared" si="33"/>
        <v>2</v>
      </c>
      <c r="AR50" s="61"/>
      <c r="AS50" s="62"/>
      <c r="AT50" s="81"/>
      <c r="AU50" s="81"/>
      <c r="AV50" s="81"/>
      <c r="AW50" s="81"/>
      <c r="AX50" s="82"/>
      <c r="AY50" s="83">
        <f t="shared" si="28"/>
        <v>0</v>
      </c>
      <c r="AZ50" s="83">
        <f t="shared" si="15"/>
        <v>0</v>
      </c>
    </row>
    <row r="51" spans="1:52" s="66" customFormat="1" ht="39.75" customHeight="1" thickBot="1" x14ac:dyDescent="0.2">
      <c r="A51" s="105"/>
      <c r="B51" s="105"/>
      <c r="C51" s="105"/>
      <c r="D51" s="105"/>
      <c r="E51" s="131"/>
      <c r="F51" s="105"/>
      <c r="G51" s="170"/>
      <c r="H51" s="158"/>
      <c r="I51" s="92">
        <v>0.7</v>
      </c>
      <c r="J51" s="41">
        <v>0.3</v>
      </c>
      <c r="K51" s="41"/>
      <c r="L51" s="42"/>
      <c r="M51" s="68"/>
      <c r="N51" s="94">
        <f t="shared" ref="N51:N114" si="34">SUM(I51:M51)</f>
        <v>1</v>
      </c>
      <c r="O51" s="125">
        <v>1</v>
      </c>
      <c r="P51" s="126">
        <v>15</v>
      </c>
      <c r="Q51" s="89">
        <v>15</v>
      </c>
      <c r="R51" s="89"/>
      <c r="S51" s="114"/>
      <c r="T51" s="70"/>
      <c r="U51" s="71">
        <f t="shared" si="19"/>
        <v>15</v>
      </c>
      <c r="V51" s="72">
        <f t="shared" si="20"/>
        <v>15</v>
      </c>
      <c r="W51" s="136"/>
      <c r="X51" s="136"/>
      <c r="Y51" s="85"/>
      <c r="Z51" s="139"/>
      <c r="AA51" s="74"/>
      <c r="AB51" s="71">
        <f t="shared" si="21"/>
        <v>0</v>
      </c>
      <c r="AC51" s="72">
        <f t="shared" si="22"/>
        <v>0</v>
      </c>
      <c r="AD51" s="124">
        <v>2</v>
      </c>
      <c r="AE51" s="71">
        <f t="shared" si="23"/>
        <v>2</v>
      </c>
      <c r="AF51" s="76"/>
      <c r="AG51" s="54"/>
      <c r="AH51" s="77">
        <f t="shared" si="24"/>
        <v>17</v>
      </c>
      <c r="AI51" s="56">
        <v>10</v>
      </c>
      <c r="AJ51" s="56">
        <v>10</v>
      </c>
      <c r="AK51" s="56">
        <v>45</v>
      </c>
      <c r="AL51" s="57">
        <f t="shared" si="25"/>
        <v>82</v>
      </c>
      <c r="AM51" s="55">
        <f t="shared" si="26"/>
        <v>82</v>
      </c>
      <c r="AN51" s="78">
        <f t="shared" si="27"/>
        <v>1.02</v>
      </c>
      <c r="AO51" s="79"/>
      <c r="AP51" s="80">
        <f t="shared" ref="AP51:AQ70" si="35">100%+AO51</f>
        <v>1</v>
      </c>
      <c r="AQ51" s="80">
        <f t="shared" si="35"/>
        <v>2</v>
      </c>
      <c r="AR51" s="61"/>
      <c r="AS51" s="62"/>
      <c r="AT51" s="81"/>
      <c r="AU51" s="81"/>
      <c r="AV51" s="81"/>
      <c r="AW51" s="81"/>
      <c r="AX51" s="82"/>
      <c r="AY51" s="83">
        <f t="shared" si="28"/>
        <v>0</v>
      </c>
      <c r="AZ51" s="83">
        <f t="shared" si="15"/>
        <v>0</v>
      </c>
    </row>
    <row r="52" spans="1:52" s="66" customFormat="1" ht="39.75" customHeight="1" thickBot="1" x14ac:dyDescent="0.2">
      <c r="A52" s="96"/>
      <c r="B52" s="91"/>
      <c r="C52" s="131"/>
      <c r="D52" s="122"/>
      <c r="E52" s="110"/>
      <c r="F52" s="110"/>
      <c r="G52" s="97"/>
      <c r="H52" s="158"/>
      <c r="I52" s="92">
        <v>0.7</v>
      </c>
      <c r="J52" s="41">
        <v>0.3</v>
      </c>
      <c r="K52" s="41"/>
      <c r="L52" s="42"/>
      <c r="M52" s="68"/>
      <c r="N52" s="69">
        <f t="shared" si="34"/>
        <v>1</v>
      </c>
      <c r="O52" s="125">
        <v>1</v>
      </c>
      <c r="P52" s="112">
        <v>15</v>
      </c>
      <c r="Q52" s="113">
        <v>15</v>
      </c>
      <c r="R52" s="133"/>
      <c r="S52" s="120"/>
      <c r="T52" s="70"/>
      <c r="U52" s="71">
        <f t="shared" si="19"/>
        <v>15</v>
      </c>
      <c r="V52" s="72">
        <f t="shared" si="20"/>
        <v>15</v>
      </c>
      <c r="W52" s="136"/>
      <c r="X52" s="136"/>
      <c r="Y52" s="136"/>
      <c r="Z52" s="146"/>
      <c r="AA52" s="74"/>
      <c r="AB52" s="75">
        <f t="shared" si="21"/>
        <v>0</v>
      </c>
      <c r="AC52" s="72">
        <f t="shared" si="22"/>
        <v>0</v>
      </c>
      <c r="AD52" s="124">
        <v>2</v>
      </c>
      <c r="AE52" s="71">
        <f t="shared" si="23"/>
        <v>2</v>
      </c>
      <c r="AF52" s="76"/>
      <c r="AG52" s="54"/>
      <c r="AH52" s="77">
        <f t="shared" si="24"/>
        <v>17</v>
      </c>
      <c r="AI52" s="56">
        <v>10</v>
      </c>
      <c r="AJ52" s="56">
        <v>10</v>
      </c>
      <c r="AK52" s="56">
        <v>45</v>
      </c>
      <c r="AL52" s="57">
        <f t="shared" si="25"/>
        <v>82</v>
      </c>
      <c r="AM52" s="55">
        <f t="shared" si="26"/>
        <v>82</v>
      </c>
      <c r="AN52" s="78">
        <f t="shared" si="27"/>
        <v>1.02</v>
      </c>
      <c r="AO52" s="79"/>
      <c r="AP52" s="80">
        <f t="shared" si="35"/>
        <v>1</v>
      </c>
      <c r="AQ52" s="80">
        <f t="shared" si="35"/>
        <v>2</v>
      </c>
      <c r="AR52" s="61"/>
      <c r="AS52" s="62"/>
      <c r="AT52" s="81"/>
      <c r="AU52" s="81"/>
      <c r="AV52" s="81"/>
      <c r="AW52" s="81"/>
      <c r="AX52" s="82"/>
      <c r="AY52" s="83">
        <f t="shared" si="28"/>
        <v>0</v>
      </c>
      <c r="AZ52" s="83">
        <f t="shared" si="15"/>
        <v>0</v>
      </c>
    </row>
    <row r="53" spans="1:52" s="66" customFormat="1" ht="39.75" customHeight="1" thickBot="1" x14ac:dyDescent="0.2">
      <c r="A53" s="96"/>
      <c r="B53" s="91"/>
      <c r="C53" s="131"/>
      <c r="D53" s="131"/>
      <c r="E53" s="131"/>
      <c r="F53" s="131"/>
      <c r="G53" s="170"/>
      <c r="H53" s="158"/>
      <c r="I53" s="92">
        <v>0.7</v>
      </c>
      <c r="J53" s="41">
        <v>0.3</v>
      </c>
      <c r="K53" s="41"/>
      <c r="L53" s="42"/>
      <c r="M53" s="147"/>
      <c r="N53" s="94">
        <f t="shared" si="34"/>
        <v>1</v>
      </c>
      <c r="O53" s="125">
        <v>1</v>
      </c>
      <c r="P53" s="112">
        <v>15</v>
      </c>
      <c r="Q53" s="113">
        <v>15</v>
      </c>
      <c r="R53" s="114"/>
      <c r="S53" s="120"/>
      <c r="T53" s="70"/>
      <c r="U53" s="71">
        <f t="shared" si="19"/>
        <v>15</v>
      </c>
      <c r="V53" s="72">
        <f t="shared" si="20"/>
        <v>15</v>
      </c>
      <c r="W53" s="137"/>
      <c r="X53" s="136"/>
      <c r="Y53" s="85"/>
      <c r="Z53" s="117"/>
      <c r="AA53" s="74"/>
      <c r="AB53" s="75">
        <f t="shared" si="21"/>
        <v>0</v>
      </c>
      <c r="AC53" s="72">
        <f t="shared" si="22"/>
        <v>0</v>
      </c>
      <c r="AD53" s="124">
        <v>2</v>
      </c>
      <c r="AE53" s="71">
        <f t="shared" si="23"/>
        <v>2</v>
      </c>
      <c r="AF53" s="76"/>
      <c r="AG53" s="54"/>
      <c r="AH53" s="77">
        <f t="shared" si="24"/>
        <v>17</v>
      </c>
      <c r="AI53" s="56">
        <v>10</v>
      </c>
      <c r="AJ53" s="56">
        <v>10</v>
      </c>
      <c r="AK53" s="56">
        <v>45</v>
      </c>
      <c r="AL53" s="57">
        <f t="shared" si="25"/>
        <v>82</v>
      </c>
      <c r="AM53" s="55">
        <f t="shared" si="26"/>
        <v>82</v>
      </c>
      <c r="AN53" s="78">
        <f t="shared" si="27"/>
        <v>1.02</v>
      </c>
      <c r="AO53" s="79"/>
      <c r="AP53" s="80">
        <f t="shared" si="35"/>
        <v>1</v>
      </c>
      <c r="AQ53" s="80">
        <f t="shared" si="35"/>
        <v>2</v>
      </c>
      <c r="AR53" s="61"/>
      <c r="AS53" s="62"/>
      <c r="AT53" s="81"/>
      <c r="AU53" s="81"/>
      <c r="AV53" s="81"/>
      <c r="AW53" s="81"/>
      <c r="AX53" s="82"/>
      <c r="AY53" s="83">
        <f t="shared" si="28"/>
        <v>0</v>
      </c>
      <c r="AZ53" s="83">
        <f t="shared" si="15"/>
        <v>0</v>
      </c>
    </row>
    <row r="54" spans="1:52" s="66" customFormat="1" ht="39.75" customHeight="1" thickBot="1" x14ac:dyDescent="0.2">
      <c r="A54" s="96"/>
      <c r="B54" s="91"/>
      <c r="C54" s="131"/>
      <c r="D54" s="131"/>
      <c r="E54" s="131"/>
      <c r="F54" s="131"/>
      <c r="G54" s="170"/>
      <c r="H54" s="158"/>
      <c r="I54" s="92">
        <v>0.7</v>
      </c>
      <c r="J54" s="41">
        <v>0.3</v>
      </c>
      <c r="K54" s="41"/>
      <c r="L54" s="42"/>
      <c r="M54" s="68"/>
      <c r="N54" s="94">
        <f t="shared" si="34"/>
        <v>1</v>
      </c>
      <c r="O54" s="125">
        <v>1</v>
      </c>
      <c r="P54" s="112">
        <v>15</v>
      </c>
      <c r="Q54" s="113">
        <v>15</v>
      </c>
      <c r="R54" s="113"/>
      <c r="S54" s="114"/>
      <c r="T54" s="70"/>
      <c r="U54" s="71">
        <f t="shared" si="19"/>
        <v>15</v>
      </c>
      <c r="V54" s="72">
        <f t="shared" si="20"/>
        <v>15</v>
      </c>
      <c r="W54" s="136"/>
      <c r="X54" s="117"/>
      <c r="Y54" s="136"/>
      <c r="Z54" s="117"/>
      <c r="AA54" s="74"/>
      <c r="AB54" s="75">
        <f t="shared" si="21"/>
        <v>0</v>
      </c>
      <c r="AC54" s="72">
        <f t="shared" si="22"/>
        <v>0</v>
      </c>
      <c r="AD54" s="124">
        <v>2</v>
      </c>
      <c r="AE54" s="71">
        <f t="shared" si="23"/>
        <v>2</v>
      </c>
      <c r="AF54" s="76"/>
      <c r="AG54" s="54"/>
      <c r="AH54" s="77">
        <f t="shared" si="24"/>
        <v>17</v>
      </c>
      <c r="AI54" s="56">
        <v>10</v>
      </c>
      <c r="AJ54" s="56">
        <v>10</v>
      </c>
      <c r="AK54" s="56">
        <v>45</v>
      </c>
      <c r="AL54" s="57">
        <f t="shared" si="25"/>
        <v>82</v>
      </c>
      <c r="AM54" s="55">
        <f t="shared" si="26"/>
        <v>82</v>
      </c>
      <c r="AN54" s="78">
        <f t="shared" si="27"/>
        <v>1.02</v>
      </c>
      <c r="AO54" s="79"/>
      <c r="AP54" s="80">
        <f t="shared" si="35"/>
        <v>1</v>
      </c>
      <c r="AQ54" s="80">
        <f t="shared" si="35"/>
        <v>2</v>
      </c>
      <c r="AR54" s="61"/>
      <c r="AS54" s="62"/>
      <c r="AT54" s="81"/>
      <c r="AU54" s="81"/>
      <c r="AV54" s="81"/>
      <c r="AW54" s="81"/>
      <c r="AX54" s="82"/>
      <c r="AY54" s="83">
        <f t="shared" si="28"/>
        <v>0</v>
      </c>
      <c r="AZ54" s="83">
        <f t="shared" si="15"/>
        <v>0</v>
      </c>
    </row>
    <row r="55" spans="1:52" s="66" customFormat="1" ht="39.75" customHeight="1" thickBot="1" x14ac:dyDescent="0.2">
      <c r="A55" s="96"/>
      <c r="B55" s="91"/>
      <c r="C55" s="108"/>
      <c r="D55" s="122"/>
      <c r="E55" s="122"/>
      <c r="F55" s="131"/>
      <c r="G55" s="170"/>
      <c r="H55" s="158"/>
      <c r="I55" s="92">
        <v>0.7</v>
      </c>
      <c r="J55" s="41">
        <v>0.3</v>
      </c>
      <c r="K55" s="41"/>
      <c r="L55" s="42"/>
      <c r="M55" s="68"/>
      <c r="N55" s="69">
        <f t="shared" si="34"/>
        <v>1</v>
      </c>
      <c r="O55" s="125">
        <v>1</v>
      </c>
      <c r="P55" s="112">
        <v>15</v>
      </c>
      <c r="Q55" s="113">
        <v>15</v>
      </c>
      <c r="R55" s="113"/>
      <c r="S55" s="120"/>
      <c r="T55" s="70"/>
      <c r="U55" s="71">
        <f t="shared" si="19"/>
        <v>15</v>
      </c>
      <c r="V55" s="72">
        <f t="shared" si="20"/>
        <v>15</v>
      </c>
      <c r="W55" s="117"/>
      <c r="X55" s="136"/>
      <c r="Y55" s="136"/>
      <c r="Z55" s="148"/>
      <c r="AA55" s="74"/>
      <c r="AB55" s="75">
        <f t="shared" si="21"/>
        <v>0</v>
      </c>
      <c r="AC55" s="72">
        <f t="shared" si="22"/>
        <v>0</v>
      </c>
      <c r="AD55" s="124">
        <v>2</v>
      </c>
      <c r="AE55" s="71">
        <f t="shared" si="23"/>
        <v>2</v>
      </c>
      <c r="AF55" s="76"/>
      <c r="AG55" s="54"/>
      <c r="AH55" s="77">
        <f t="shared" si="24"/>
        <v>17</v>
      </c>
      <c r="AI55" s="56">
        <v>10</v>
      </c>
      <c r="AJ55" s="56">
        <v>10</v>
      </c>
      <c r="AK55" s="56">
        <v>45</v>
      </c>
      <c r="AL55" s="57">
        <f t="shared" si="25"/>
        <v>82</v>
      </c>
      <c r="AM55" s="55">
        <f t="shared" si="26"/>
        <v>82</v>
      </c>
      <c r="AN55" s="78">
        <f t="shared" si="27"/>
        <v>1.02</v>
      </c>
      <c r="AO55" s="79"/>
      <c r="AP55" s="80">
        <f t="shared" si="35"/>
        <v>1</v>
      </c>
      <c r="AQ55" s="80">
        <f t="shared" si="35"/>
        <v>2</v>
      </c>
      <c r="AR55" s="61"/>
      <c r="AS55" s="62"/>
      <c r="AT55" s="81"/>
      <c r="AU55" s="81"/>
      <c r="AV55" s="81"/>
      <c r="AW55" s="81"/>
      <c r="AX55" s="82"/>
      <c r="AY55" s="83">
        <f t="shared" si="28"/>
        <v>0</v>
      </c>
      <c r="AZ55" s="83">
        <f t="shared" si="15"/>
        <v>0</v>
      </c>
    </row>
    <row r="56" spans="1:52" s="66" customFormat="1" ht="39.75" customHeight="1" thickBot="1" x14ac:dyDescent="0.2">
      <c r="A56" s="108"/>
      <c r="B56" s="108"/>
      <c r="C56" s="131"/>
      <c r="D56" s="109"/>
      <c r="E56" s="110"/>
      <c r="F56" s="129"/>
      <c r="G56" s="170"/>
      <c r="H56" s="158"/>
      <c r="I56" s="92">
        <v>0.7</v>
      </c>
      <c r="J56" s="41">
        <v>0.3</v>
      </c>
      <c r="K56" s="41"/>
      <c r="L56" s="42"/>
      <c r="M56" s="68"/>
      <c r="N56" s="94">
        <f t="shared" si="34"/>
        <v>1</v>
      </c>
      <c r="O56" s="125">
        <v>1</v>
      </c>
      <c r="P56" s="112">
        <v>15</v>
      </c>
      <c r="Q56" s="113">
        <v>15</v>
      </c>
      <c r="R56" s="113"/>
      <c r="S56" s="114"/>
      <c r="T56" s="70"/>
      <c r="U56" s="71">
        <f t="shared" si="19"/>
        <v>15</v>
      </c>
      <c r="V56" s="72">
        <f t="shared" si="20"/>
        <v>15</v>
      </c>
      <c r="W56" s="136"/>
      <c r="X56" s="119"/>
      <c r="Y56" s="85"/>
      <c r="Z56" s="139"/>
      <c r="AA56" s="74"/>
      <c r="AB56" s="75">
        <f t="shared" si="21"/>
        <v>0</v>
      </c>
      <c r="AC56" s="72">
        <f t="shared" si="22"/>
        <v>0</v>
      </c>
      <c r="AD56" s="124">
        <v>2</v>
      </c>
      <c r="AE56" s="71">
        <f t="shared" si="23"/>
        <v>2</v>
      </c>
      <c r="AF56" s="76"/>
      <c r="AG56" s="54"/>
      <c r="AH56" s="77">
        <f t="shared" si="24"/>
        <v>17</v>
      </c>
      <c r="AI56" s="56">
        <v>10</v>
      </c>
      <c r="AJ56" s="56">
        <v>10</v>
      </c>
      <c r="AK56" s="56">
        <v>45</v>
      </c>
      <c r="AL56" s="57">
        <f t="shared" si="25"/>
        <v>82</v>
      </c>
      <c r="AM56" s="55">
        <f t="shared" si="26"/>
        <v>82</v>
      </c>
      <c r="AN56" s="78">
        <f t="shared" si="27"/>
        <v>1.02</v>
      </c>
      <c r="AO56" s="79"/>
      <c r="AP56" s="80">
        <f t="shared" si="35"/>
        <v>1</v>
      </c>
      <c r="AQ56" s="80">
        <f t="shared" si="35"/>
        <v>2</v>
      </c>
      <c r="AR56" s="61"/>
      <c r="AS56" s="62"/>
      <c r="AT56" s="81"/>
      <c r="AU56" s="81"/>
      <c r="AV56" s="81"/>
      <c r="AW56" s="81"/>
      <c r="AX56" s="82"/>
      <c r="AY56" s="83">
        <f t="shared" si="28"/>
        <v>0</v>
      </c>
      <c r="AZ56" s="83">
        <f t="shared" si="15"/>
        <v>0</v>
      </c>
    </row>
    <row r="57" spans="1:52" s="66" customFormat="1" ht="39.75" customHeight="1" thickBot="1" x14ac:dyDescent="0.2">
      <c r="A57" s="155"/>
      <c r="B57" s="91"/>
      <c r="C57" s="129"/>
      <c r="D57" s="131"/>
      <c r="E57" s="109"/>
      <c r="F57" s="110"/>
      <c r="G57" s="170"/>
      <c r="H57" s="158"/>
      <c r="I57" s="92">
        <v>0.7</v>
      </c>
      <c r="J57" s="41">
        <v>0.3</v>
      </c>
      <c r="K57" s="41"/>
      <c r="L57" s="42"/>
      <c r="M57" s="147"/>
      <c r="N57" s="94">
        <f t="shared" si="34"/>
        <v>1</v>
      </c>
      <c r="O57" s="125">
        <v>1</v>
      </c>
      <c r="P57" s="112">
        <v>15</v>
      </c>
      <c r="Q57" s="113">
        <v>15</v>
      </c>
      <c r="R57" s="113"/>
      <c r="S57" s="114"/>
      <c r="T57" s="70"/>
      <c r="U57" s="71">
        <f t="shared" si="19"/>
        <v>15</v>
      </c>
      <c r="V57" s="72">
        <f t="shared" si="20"/>
        <v>15</v>
      </c>
      <c r="W57" s="136"/>
      <c r="X57" s="136"/>
      <c r="Y57" s="117"/>
      <c r="Z57" s="119"/>
      <c r="AA57" s="74"/>
      <c r="AB57" s="71">
        <f t="shared" si="21"/>
        <v>0</v>
      </c>
      <c r="AC57" s="72">
        <f t="shared" si="22"/>
        <v>0</v>
      </c>
      <c r="AD57" s="124">
        <v>2</v>
      </c>
      <c r="AE57" s="71">
        <f t="shared" si="23"/>
        <v>2</v>
      </c>
      <c r="AF57" s="76"/>
      <c r="AG57" s="54"/>
      <c r="AH57" s="77">
        <f t="shared" si="24"/>
        <v>17</v>
      </c>
      <c r="AI57" s="56">
        <v>10</v>
      </c>
      <c r="AJ57" s="56">
        <v>10</v>
      </c>
      <c r="AK57" s="56">
        <v>45</v>
      </c>
      <c r="AL57" s="57">
        <f t="shared" si="25"/>
        <v>82</v>
      </c>
      <c r="AM57" s="55">
        <f t="shared" si="26"/>
        <v>82</v>
      </c>
      <c r="AN57" s="78">
        <f t="shared" si="27"/>
        <v>1.02</v>
      </c>
      <c r="AO57" s="79"/>
      <c r="AP57" s="80">
        <f t="shared" si="35"/>
        <v>1</v>
      </c>
      <c r="AQ57" s="80">
        <f t="shared" si="35"/>
        <v>2</v>
      </c>
      <c r="AR57" s="61"/>
      <c r="AS57" s="62"/>
      <c r="AT57" s="81"/>
      <c r="AU57" s="81"/>
      <c r="AV57" s="81"/>
      <c r="AW57" s="81"/>
      <c r="AX57" s="82"/>
      <c r="AY57" s="83">
        <f t="shared" si="28"/>
        <v>0</v>
      </c>
      <c r="AZ57" s="83">
        <f t="shared" si="15"/>
        <v>0</v>
      </c>
    </row>
    <row r="58" spans="1:52" s="66" customFormat="1" ht="39.75" customHeight="1" thickBot="1" x14ac:dyDescent="0.2">
      <c r="A58" s="96"/>
      <c r="B58" s="91"/>
      <c r="C58" s="105"/>
      <c r="D58" s="131"/>
      <c r="E58" s="131"/>
      <c r="F58" s="131"/>
      <c r="G58" s="131"/>
      <c r="H58" s="158"/>
      <c r="I58" s="92">
        <v>0.7</v>
      </c>
      <c r="J58" s="41">
        <v>0.3</v>
      </c>
      <c r="K58" s="41"/>
      <c r="L58" s="42"/>
      <c r="M58" s="68"/>
      <c r="N58" s="94">
        <f t="shared" si="34"/>
        <v>1</v>
      </c>
      <c r="O58" s="125">
        <v>1</v>
      </c>
      <c r="P58" s="112">
        <v>15</v>
      </c>
      <c r="Q58" s="89">
        <v>15</v>
      </c>
      <c r="R58" s="114"/>
      <c r="S58" s="120"/>
      <c r="T58" s="70"/>
      <c r="U58" s="71">
        <f t="shared" si="19"/>
        <v>15</v>
      </c>
      <c r="V58" s="72">
        <f t="shared" si="20"/>
        <v>15</v>
      </c>
      <c r="W58" s="137"/>
      <c r="X58" s="139"/>
      <c r="Y58" s="148"/>
      <c r="Z58" s="116"/>
      <c r="AA58" s="139"/>
      <c r="AB58" s="71">
        <f t="shared" si="21"/>
        <v>0</v>
      </c>
      <c r="AC58" s="72">
        <f t="shared" si="22"/>
        <v>0</v>
      </c>
      <c r="AD58" s="124">
        <v>2</v>
      </c>
      <c r="AE58" s="71">
        <f t="shared" si="23"/>
        <v>2</v>
      </c>
      <c r="AF58" s="76"/>
      <c r="AG58" s="54"/>
      <c r="AH58" s="77">
        <f t="shared" si="24"/>
        <v>17</v>
      </c>
      <c r="AI58" s="56">
        <v>10</v>
      </c>
      <c r="AJ58" s="56">
        <v>10</v>
      </c>
      <c r="AK58" s="56">
        <v>45</v>
      </c>
      <c r="AL58" s="57">
        <f t="shared" si="25"/>
        <v>82</v>
      </c>
      <c r="AM58" s="55">
        <f t="shared" si="26"/>
        <v>82</v>
      </c>
      <c r="AN58" s="78">
        <f t="shared" si="27"/>
        <v>1.02</v>
      </c>
      <c r="AO58" s="79"/>
      <c r="AP58" s="80">
        <f t="shared" si="35"/>
        <v>1</v>
      </c>
      <c r="AQ58" s="80">
        <f t="shared" si="35"/>
        <v>2</v>
      </c>
      <c r="AR58" s="61"/>
      <c r="AS58" s="62"/>
      <c r="AT58" s="81"/>
      <c r="AU58" s="81"/>
      <c r="AV58" s="81"/>
      <c r="AW58" s="81"/>
      <c r="AX58" s="82"/>
      <c r="AY58" s="83">
        <f t="shared" si="28"/>
        <v>0</v>
      </c>
      <c r="AZ58" s="83">
        <f t="shared" si="15"/>
        <v>0</v>
      </c>
    </row>
    <row r="59" spans="1:52" s="66" customFormat="1" ht="39.75" customHeight="1" thickBot="1" x14ac:dyDescent="0.2">
      <c r="A59" s="96"/>
      <c r="B59" s="91"/>
      <c r="C59" s="131"/>
      <c r="D59" s="105"/>
      <c r="E59" s="98"/>
      <c r="F59" s="110"/>
      <c r="G59" s="170"/>
      <c r="H59" s="158"/>
      <c r="I59" s="92">
        <v>0.7</v>
      </c>
      <c r="J59" s="41">
        <v>0.3</v>
      </c>
      <c r="K59" s="41"/>
      <c r="L59" s="42"/>
      <c r="M59" s="68"/>
      <c r="N59" s="69">
        <f t="shared" si="34"/>
        <v>1</v>
      </c>
      <c r="O59" s="125">
        <v>1</v>
      </c>
      <c r="P59" s="112">
        <v>15</v>
      </c>
      <c r="Q59" s="113">
        <v>15</v>
      </c>
      <c r="R59" s="113"/>
      <c r="S59" s="114"/>
      <c r="T59" s="70"/>
      <c r="U59" s="71">
        <f t="shared" si="19"/>
        <v>15</v>
      </c>
      <c r="V59" s="72">
        <f t="shared" si="20"/>
        <v>15</v>
      </c>
      <c r="W59" s="139"/>
      <c r="X59" s="136"/>
      <c r="Y59" s="116"/>
      <c r="Z59" s="85"/>
      <c r="AA59" s="74"/>
      <c r="AB59" s="75">
        <f t="shared" si="21"/>
        <v>0</v>
      </c>
      <c r="AC59" s="72">
        <f t="shared" si="22"/>
        <v>0</v>
      </c>
      <c r="AD59" s="124">
        <v>2</v>
      </c>
      <c r="AE59" s="71">
        <f t="shared" si="23"/>
        <v>2</v>
      </c>
      <c r="AF59" s="76"/>
      <c r="AG59" s="54"/>
      <c r="AH59" s="77">
        <f t="shared" si="24"/>
        <v>17</v>
      </c>
      <c r="AI59" s="56">
        <v>10</v>
      </c>
      <c r="AJ59" s="56">
        <v>10</v>
      </c>
      <c r="AK59" s="56">
        <v>45</v>
      </c>
      <c r="AL59" s="57">
        <f t="shared" si="25"/>
        <v>82</v>
      </c>
      <c r="AM59" s="55">
        <f t="shared" si="26"/>
        <v>82</v>
      </c>
      <c r="AN59" s="78">
        <f t="shared" si="27"/>
        <v>1.02</v>
      </c>
      <c r="AO59" s="79"/>
      <c r="AP59" s="80">
        <f t="shared" si="35"/>
        <v>1</v>
      </c>
      <c r="AQ59" s="80">
        <f t="shared" si="35"/>
        <v>2</v>
      </c>
      <c r="AR59" s="61"/>
      <c r="AS59" s="62"/>
      <c r="AT59" s="81"/>
      <c r="AU59" s="81"/>
      <c r="AV59" s="81"/>
      <c r="AW59" s="81"/>
      <c r="AX59" s="82"/>
      <c r="AY59" s="83">
        <f t="shared" si="28"/>
        <v>0</v>
      </c>
      <c r="AZ59" s="83">
        <f t="shared" si="15"/>
        <v>0</v>
      </c>
    </row>
    <row r="60" spans="1:52" s="66" customFormat="1" ht="39.75" customHeight="1" thickBot="1" x14ac:dyDescent="0.2">
      <c r="A60" s="105"/>
      <c r="B60" s="105"/>
      <c r="C60" s="105"/>
      <c r="D60" s="105"/>
      <c r="E60" s="109"/>
      <c r="F60" s="110"/>
      <c r="G60" s="170"/>
      <c r="H60" s="158"/>
      <c r="I60" s="92">
        <v>0.7</v>
      </c>
      <c r="J60" s="41">
        <v>0.3</v>
      </c>
      <c r="K60" s="41"/>
      <c r="L60" s="42"/>
      <c r="M60" s="68"/>
      <c r="N60" s="94">
        <f t="shared" si="34"/>
        <v>1</v>
      </c>
      <c r="O60" s="125">
        <v>1</v>
      </c>
      <c r="P60" s="126">
        <v>15</v>
      </c>
      <c r="Q60" s="127">
        <v>15</v>
      </c>
      <c r="R60" s="89"/>
      <c r="S60" s="114"/>
      <c r="T60" s="70"/>
      <c r="U60" s="71">
        <f t="shared" si="19"/>
        <v>15</v>
      </c>
      <c r="V60" s="72">
        <f t="shared" si="20"/>
        <v>15</v>
      </c>
      <c r="W60" s="118"/>
      <c r="X60" s="117"/>
      <c r="Y60" s="119"/>
      <c r="Z60" s="85"/>
      <c r="AA60" s="74"/>
      <c r="AB60" s="75">
        <f t="shared" si="21"/>
        <v>0</v>
      </c>
      <c r="AC60" s="72">
        <f t="shared" si="22"/>
        <v>0</v>
      </c>
      <c r="AD60" s="124">
        <v>2</v>
      </c>
      <c r="AE60" s="71">
        <f t="shared" si="23"/>
        <v>2</v>
      </c>
      <c r="AF60" s="76"/>
      <c r="AG60" s="54"/>
      <c r="AH60" s="77">
        <f t="shared" si="24"/>
        <v>17</v>
      </c>
      <c r="AI60" s="56">
        <v>10</v>
      </c>
      <c r="AJ60" s="56">
        <v>10</v>
      </c>
      <c r="AK60" s="56">
        <v>45</v>
      </c>
      <c r="AL60" s="57">
        <f t="shared" si="25"/>
        <v>82</v>
      </c>
      <c r="AM60" s="55">
        <f t="shared" si="26"/>
        <v>82</v>
      </c>
      <c r="AN60" s="78">
        <f t="shared" si="27"/>
        <v>1.02</v>
      </c>
      <c r="AO60" s="79"/>
      <c r="AP60" s="80">
        <f t="shared" si="35"/>
        <v>1</v>
      </c>
      <c r="AQ60" s="80">
        <f t="shared" si="35"/>
        <v>2</v>
      </c>
      <c r="AR60" s="61"/>
      <c r="AS60" s="62"/>
      <c r="AT60" s="81"/>
      <c r="AU60" s="81"/>
      <c r="AV60" s="81"/>
      <c r="AW60" s="81"/>
      <c r="AX60" s="82"/>
      <c r="AY60" s="83">
        <f t="shared" si="28"/>
        <v>0</v>
      </c>
      <c r="AZ60" s="83">
        <f t="shared" si="15"/>
        <v>0</v>
      </c>
    </row>
    <row r="61" spans="1:52" s="66" customFormat="1" ht="39.75" customHeight="1" thickBot="1" x14ac:dyDescent="0.2">
      <c r="A61" s="96"/>
      <c r="B61" s="91"/>
      <c r="C61" s="105"/>
      <c r="D61" s="108"/>
      <c r="E61" s="108"/>
      <c r="F61" s="109"/>
      <c r="G61" s="170"/>
      <c r="H61" s="158"/>
      <c r="I61" s="92">
        <v>0.7</v>
      </c>
      <c r="J61" s="41">
        <v>0.3</v>
      </c>
      <c r="K61" s="41"/>
      <c r="L61" s="42"/>
      <c r="M61" s="68"/>
      <c r="N61" s="94">
        <f t="shared" si="34"/>
        <v>1</v>
      </c>
      <c r="O61" s="125">
        <v>1</v>
      </c>
      <c r="P61" s="112">
        <v>15</v>
      </c>
      <c r="Q61" s="113">
        <v>15</v>
      </c>
      <c r="R61" s="113"/>
      <c r="S61" s="120"/>
      <c r="T61" s="70"/>
      <c r="U61" s="71">
        <f t="shared" si="19"/>
        <v>15</v>
      </c>
      <c r="V61" s="72">
        <f t="shared" si="20"/>
        <v>15</v>
      </c>
      <c r="W61" s="136"/>
      <c r="X61" s="136"/>
      <c r="Y61" s="136"/>
      <c r="Z61" s="119"/>
      <c r="AA61" s="74"/>
      <c r="AB61" s="75">
        <f t="shared" si="21"/>
        <v>0</v>
      </c>
      <c r="AC61" s="72">
        <f t="shared" si="22"/>
        <v>0</v>
      </c>
      <c r="AD61" s="124">
        <v>2</v>
      </c>
      <c r="AE61" s="71">
        <f t="shared" si="23"/>
        <v>2</v>
      </c>
      <c r="AF61" s="76"/>
      <c r="AG61" s="54"/>
      <c r="AH61" s="77">
        <f t="shared" si="24"/>
        <v>17</v>
      </c>
      <c r="AI61" s="56">
        <v>10</v>
      </c>
      <c r="AJ61" s="56">
        <v>10</v>
      </c>
      <c r="AK61" s="56">
        <v>45</v>
      </c>
      <c r="AL61" s="57">
        <f t="shared" si="25"/>
        <v>82</v>
      </c>
      <c r="AM61" s="55">
        <f t="shared" si="26"/>
        <v>82</v>
      </c>
      <c r="AN61" s="78">
        <f t="shared" si="27"/>
        <v>1.02</v>
      </c>
      <c r="AO61" s="79"/>
      <c r="AP61" s="80">
        <f t="shared" si="35"/>
        <v>1</v>
      </c>
      <c r="AQ61" s="80">
        <f t="shared" si="35"/>
        <v>2</v>
      </c>
      <c r="AR61" s="61"/>
      <c r="AS61" s="62"/>
      <c r="AT61" s="81"/>
      <c r="AU61" s="81"/>
      <c r="AV61" s="81"/>
      <c r="AW61" s="81"/>
      <c r="AX61" s="82"/>
      <c r="AY61" s="83">
        <f t="shared" si="28"/>
        <v>0</v>
      </c>
      <c r="AZ61" s="83">
        <f t="shared" si="15"/>
        <v>0</v>
      </c>
    </row>
    <row r="62" spans="1:52" s="66" customFormat="1" ht="39.75" customHeight="1" thickBot="1" x14ac:dyDescent="0.2">
      <c r="A62" s="108"/>
      <c r="B62" s="108"/>
      <c r="C62" s="108"/>
      <c r="D62" s="108"/>
      <c r="E62" s="108"/>
      <c r="F62" s="109"/>
      <c r="G62" s="170"/>
      <c r="H62" s="158"/>
      <c r="I62" s="92">
        <v>0.7</v>
      </c>
      <c r="J62" s="41">
        <v>0.3</v>
      </c>
      <c r="K62" s="41"/>
      <c r="L62" s="42"/>
      <c r="M62" s="68"/>
      <c r="N62" s="94">
        <f t="shared" si="34"/>
        <v>1</v>
      </c>
      <c r="O62" s="125">
        <v>1</v>
      </c>
      <c r="P62" s="115">
        <v>15</v>
      </c>
      <c r="Q62" s="113">
        <v>14.48</v>
      </c>
      <c r="R62" s="113"/>
      <c r="S62" s="114"/>
      <c r="T62" s="70"/>
      <c r="U62" s="71">
        <f t="shared" si="19"/>
        <v>14.84</v>
      </c>
      <c r="V62" s="72">
        <f t="shared" si="20"/>
        <v>14.84</v>
      </c>
      <c r="W62" s="117"/>
      <c r="X62" s="117"/>
      <c r="Y62" s="118"/>
      <c r="Z62" s="117"/>
      <c r="AA62" s="74"/>
      <c r="AB62" s="75">
        <f t="shared" si="21"/>
        <v>0</v>
      </c>
      <c r="AC62" s="72">
        <f t="shared" si="22"/>
        <v>0</v>
      </c>
      <c r="AD62" s="124">
        <v>2</v>
      </c>
      <c r="AE62" s="71">
        <f t="shared" si="23"/>
        <v>2</v>
      </c>
      <c r="AF62" s="76"/>
      <c r="AG62" s="54"/>
      <c r="AH62" s="77">
        <f t="shared" si="24"/>
        <v>16.84</v>
      </c>
      <c r="AI62" s="56">
        <v>10</v>
      </c>
      <c r="AJ62" s="56">
        <v>10</v>
      </c>
      <c r="AK62" s="56">
        <v>45</v>
      </c>
      <c r="AL62" s="57">
        <f t="shared" si="25"/>
        <v>81.84</v>
      </c>
      <c r="AM62" s="55">
        <f t="shared" si="26"/>
        <v>81.84</v>
      </c>
      <c r="AN62" s="78">
        <f t="shared" si="27"/>
        <v>1.0207999999999999</v>
      </c>
      <c r="AO62" s="79"/>
      <c r="AP62" s="80">
        <f t="shared" si="35"/>
        <v>1</v>
      </c>
      <c r="AQ62" s="80">
        <f t="shared" si="35"/>
        <v>2</v>
      </c>
      <c r="AR62" s="61"/>
      <c r="AS62" s="62"/>
      <c r="AT62" s="81"/>
      <c r="AU62" s="81"/>
      <c r="AV62" s="81"/>
      <c r="AW62" s="81"/>
      <c r="AX62" s="82"/>
      <c r="AY62" s="83">
        <f t="shared" si="28"/>
        <v>0</v>
      </c>
      <c r="AZ62" s="83">
        <f t="shared" si="15"/>
        <v>0</v>
      </c>
    </row>
    <row r="63" spans="1:52" s="66" customFormat="1" ht="39.75" customHeight="1" thickBot="1" x14ac:dyDescent="0.2">
      <c r="A63" s="108"/>
      <c r="B63" s="108"/>
      <c r="C63" s="108"/>
      <c r="D63" s="108"/>
      <c r="E63" s="108"/>
      <c r="F63" s="109"/>
      <c r="G63" s="170"/>
      <c r="H63" s="158"/>
      <c r="I63" s="92">
        <v>0.7</v>
      </c>
      <c r="J63" s="41">
        <v>0.3</v>
      </c>
      <c r="K63" s="41"/>
      <c r="L63" s="42"/>
      <c r="M63" s="68"/>
      <c r="N63" s="94">
        <f t="shared" si="34"/>
        <v>1</v>
      </c>
      <c r="O63" s="125">
        <v>1</v>
      </c>
      <c r="P63" s="45">
        <v>15</v>
      </c>
      <c r="Q63" s="46">
        <v>15</v>
      </c>
      <c r="R63" s="46"/>
      <c r="S63" s="121"/>
      <c r="T63" s="70"/>
      <c r="U63" s="71">
        <f t="shared" si="19"/>
        <v>15</v>
      </c>
      <c r="V63" s="72">
        <f t="shared" si="20"/>
        <v>15</v>
      </c>
      <c r="W63" s="117"/>
      <c r="X63" s="117"/>
      <c r="Y63" s="117"/>
      <c r="Z63" s="116"/>
      <c r="AA63" s="74"/>
      <c r="AB63" s="75">
        <f t="shared" si="21"/>
        <v>0</v>
      </c>
      <c r="AC63" s="72">
        <f t="shared" si="22"/>
        <v>0</v>
      </c>
      <c r="AD63" s="52">
        <v>2</v>
      </c>
      <c r="AE63" s="71">
        <f t="shared" si="23"/>
        <v>2</v>
      </c>
      <c r="AF63" s="76"/>
      <c r="AG63" s="86"/>
      <c r="AH63" s="77">
        <f t="shared" si="24"/>
        <v>17</v>
      </c>
      <c r="AI63" s="56">
        <v>10</v>
      </c>
      <c r="AJ63" s="56">
        <v>10</v>
      </c>
      <c r="AK63" s="56">
        <v>45</v>
      </c>
      <c r="AL63" s="57">
        <f t="shared" si="25"/>
        <v>82</v>
      </c>
      <c r="AM63" s="55">
        <f t="shared" si="26"/>
        <v>82</v>
      </c>
      <c r="AN63" s="78">
        <f t="shared" si="27"/>
        <v>1.02</v>
      </c>
      <c r="AO63" s="79"/>
      <c r="AP63" s="80">
        <f t="shared" si="35"/>
        <v>1</v>
      </c>
      <c r="AQ63" s="80">
        <f t="shared" si="35"/>
        <v>2</v>
      </c>
      <c r="AR63" s="61"/>
      <c r="AS63" s="62"/>
      <c r="AT63" s="81"/>
      <c r="AU63" s="81"/>
      <c r="AV63" s="81"/>
      <c r="AW63" s="81"/>
      <c r="AX63" s="82"/>
      <c r="AY63" s="83">
        <f t="shared" si="28"/>
        <v>0</v>
      </c>
      <c r="AZ63" s="83">
        <f t="shared" si="15"/>
        <v>0</v>
      </c>
    </row>
    <row r="64" spans="1:52" s="66" customFormat="1" ht="39.75" customHeight="1" thickBot="1" x14ac:dyDescent="0.2">
      <c r="A64" s="108"/>
      <c r="B64" s="108"/>
      <c r="C64" s="108"/>
      <c r="D64" s="108"/>
      <c r="E64" s="108"/>
      <c r="F64" s="109"/>
      <c r="G64" s="170"/>
      <c r="H64" s="158"/>
      <c r="I64" s="92">
        <v>0.7</v>
      </c>
      <c r="J64" s="41">
        <v>0.3</v>
      </c>
      <c r="K64" s="41"/>
      <c r="L64" s="42"/>
      <c r="M64" s="68"/>
      <c r="N64" s="94">
        <f t="shared" si="34"/>
        <v>1</v>
      </c>
      <c r="O64" s="44">
        <v>1</v>
      </c>
      <c r="P64" s="45">
        <v>15</v>
      </c>
      <c r="Q64" s="46">
        <v>15</v>
      </c>
      <c r="R64" s="46"/>
      <c r="S64" s="121"/>
      <c r="T64" s="70"/>
      <c r="U64" s="71">
        <f t="shared" si="19"/>
        <v>15</v>
      </c>
      <c r="V64" s="72">
        <f t="shared" si="20"/>
        <v>15</v>
      </c>
      <c r="W64" s="117"/>
      <c r="X64" s="117"/>
      <c r="Y64" s="117"/>
      <c r="Z64" s="119"/>
      <c r="AA64" s="74"/>
      <c r="AB64" s="75">
        <f t="shared" si="21"/>
        <v>0</v>
      </c>
      <c r="AC64" s="72">
        <f t="shared" si="22"/>
        <v>0</v>
      </c>
      <c r="AD64" s="52">
        <v>2</v>
      </c>
      <c r="AE64" s="71">
        <f t="shared" si="23"/>
        <v>2</v>
      </c>
      <c r="AF64" s="76"/>
      <c r="AG64" s="86"/>
      <c r="AH64" s="77">
        <f t="shared" si="24"/>
        <v>17</v>
      </c>
      <c r="AI64" s="56">
        <v>10</v>
      </c>
      <c r="AJ64" s="56">
        <v>10</v>
      </c>
      <c r="AK64" s="56">
        <v>45</v>
      </c>
      <c r="AL64" s="57">
        <f t="shared" si="25"/>
        <v>82</v>
      </c>
      <c r="AM64" s="55">
        <f t="shared" si="26"/>
        <v>82</v>
      </c>
      <c r="AN64" s="78">
        <f t="shared" si="27"/>
        <v>1.02</v>
      </c>
      <c r="AO64" s="79"/>
      <c r="AP64" s="80">
        <f t="shared" si="35"/>
        <v>1</v>
      </c>
      <c r="AQ64" s="80">
        <f t="shared" si="35"/>
        <v>2</v>
      </c>
      <c r="AR64" s="61"/>
      <c r="AS64" s="62"/>
      <c r="AT64" s="81"/>
      <c r="AU64" s="81"/>
      <c r="AV64" s="81"/>
      <c r="AW64" s="81"/>
      <c r="AX64" s="82"/>
      <c r="AY64" s="83">
        <f t="shared" si="28"/>
        <v>0</v>
      </c>
      <c r="AZ64" s="83">
        <f t="shared" si="15"/>
        <v>0</v>
      </c>
    </row>
    <row r="65" spans="1:52" s="66" customFormat="1" ht="39.75" customHeight="1" thickBot="1" x14ac:dyDescent="0.2">
      <c r="A65" s="108"/>
      <c r="B65" s="108"/>
      <c r="C65" s="108"/>
      <c r="D65" s="108"/>
      <c r="E65" s="108"/>
      <c r="F65" s="109"/>
      <c r="G65" s="170"/>
      <c r="H65" s="158"/>
      <c r="I65" s="92">
        <v>0.7</v>
      </c>
      <c r="J65" s="41">
        <v>0.3</v>
      </c>
      <c r="K65" s="41"/>
      <c r="L65" s="42"/>
      <c r="M65" s="68"/>
      <c r="N65" s="94">
        <f t="shared" si="34"/>
        <v>1</v>
      </c>
      <c r="O65" s="44">
        <v>1</v>
      </c>
      <c r="P65" s="45">
        <v>15</v>
      </c>
      <c r="Q65" s="46">
        <v>15</v>
      </c>
      <c r="R65" s="46"/>
      <c r="S65" s="121"/>
      <c r="T65" s="70"/>
      <c r="U65" s="71">
        <f t="shared" si="19"/>
        <v>15</v>
      </c>
      <c r="V65" s="72">
        <f t="shared" si="20"/>
        <v>15</v>
      </c>
      <c r="W65" s="99"/>
      <c r="X65" s="100"/>
      <c r="Y65" s="85"/>
      <c r="Z65" s="95"/>
      <c r="AA65" s="74"/>
      <c r="AB65" s="75">
        <f t="shared" si="21"/>
        <v>0</v>
      </c>
      <c r="AC65" s="72">
        <f t="shared" si="22"/>
        <v>0</v>
      </c>
      <c r="AD65" s="52">
        <v>2</v>
      </c>
      <c r="AE65" s="71">
        <f t="shared" si="23"/>
        <v>2</v>
      </c>
      <c r="AF65" s="76"/>
      <c r="AG65" s="86"/>
      <c r="AH65" s="77">
        <f t="shared" si="24"/>
        <v>17</v>
      </c>
      <c r="AI65" s="56">
        <v>10</v>
      </c>
      <c r="AJ65" s="56">
        <v>10</v>
      </c>
      <c r="AK65" s="56">
        <v>45</v>
      </c>
      <c r="AL65" s="57">
        <f t="shared" si="25"/>
        <v>82</v>
      </c>
      <c r="AM65" s="55">
        <f t="shared" si="26"/>
        <v>82</v>
      </c>
      <c r="AN65" s="78">
        <f t="shared" si="27"/>
        <v>1.02</v>
      </c>
      <c r="AO65" s="79"/>
      <c r="AP65" s="80">
        <f t="shared" si="35"/>
        <v>1</v>
      </c>
      <c r="AQ65" s="80">
        <f t="shared" si="35"/>
        <v>2</v>
      </c>
      <c r="AR65" s="61"/>
      <c r="AS65" s="62"/>
      <c r="AT65" s="81"/>
      <c r="AU65" s="81"/>
      <c r="AV65" s="81"/>
      <c r="AW65" s="81"/>
      <c r="AX65" s="82"/>
      <c r="AY65" s="83">
        <f t="shared" si="28"/>
        <v>0</v>
      </c>
      <c r="AZ65" s="83">
        <f t="shared" si="15"/>
        <v>0</v>
      </c>
    </row>
    <row r="66" spans="1:52" s="66" customFormat="1" ht="39.75" customHeight="1" thickBot="1" x14ac:dyDescent="0.2">
      <c r="A66" s="108"/>
      <c r="B66" s="108"/>
      <c r="C66" s="108"/>
      <c r="D66" s="108"/>
      <c r="E66" s="108"/>
      <c r="F66" s="109"/>
      <c r="G66" s="170"/>
      <c r="H66" s="158"/>
      <c r="I66" s="92">
        <v>0.7</v>
      </c>
      <c r="J66" s="41">
        <v>0.3</v>
      </c>
      <c r="K66" s="41"/>
      <c r="L66" s="42"/>
      <c r="M66" s="68"/>
      <c r="N66" s="94">
        <f t="shared" si="34"/>
        <v>1</v>
      </c>
      <c r="O66" s="44">
        <v>1</v>
      </c>
      <c r="P66" s="45">
        <v>15</v>
      </c>
      <c r="Q66" s="46">
        <v>15</v>
      </c>
      <c r="R66" s="46"/>
      <c r="S66" s="121"/>
      <c r="T66" s="70"/>
      <c r="U66" s="71">
        <f t="shared" si="19"/>
        <v>15</v>
      </c>
      <c r="V66" s="72">
        <f t="shared" si="20"/>
        <v>15</v>
      </c>
      <c r="W66" s="99"/>
      <c r="X66" s="100"/>
      <c r="Y66" s="85"/>
      <c r="Z66" s="95"/>
      <c r="AA66" s="74"/>
      <c r="AB66" s="75">
        <f t="shared" si="21"/>
        <v>0</v>
      </c>
      <c r="AC66" s="72">
        <f t="shared" si="22"/>
        <v>0</v>
      </c>
      <c r="AD66" s="52">
        <v>2</v>
      </c>
      <c r="AE66" s="71">
        <f t="shared" si="23"/>
        <v>2</v>
      </c>
      <c r="AF66" s="76"/>
      <c r="AG66" s="86"/>
      <c r="AH66" s="77">
        <f t="shared" si="24"/>
        <v>17</v>
      </c>
      <c r="AI66" s="56">
        <v>10</v>
      </c>
      <c r="AJ66" s="56">
        <v>10</v>
      </c>
      <c r="AK66" s="56">
        <v>45</v>
      </c>
      <c r="AL66" s="57">
        <f t="shared" si="25"/>
        <v>82</v>
      </c>
      <c r="AM66" s="55">
        <f t="shared" si="26"/>
        <v>82</v>
      </c>
      <c r="AN66" s="78">
        <f t="shared" si="27"/>
        <v>1.02</v>
      </c>
      <c r="AO66" s="79"/>
      <c r="AP66" s="80">
        <f t="shared" si="35"/>
        <v>1</v>
      </c>
      <c r="AQ66" s="80">
        <f t="shared" si="35"/>
        <v>2</v>
      </c>
      <c r="AR66" s="61"/>
      <c r="AS66" s="62"/>
      <c r="AT66" s="81"/>
      <c r="AU66" s="81"/>
      <c r="AV66" s="81"/>
      <c r="AW66" s="81"/>
      <c r="AX66" s="82"/>
      <c r="AY66" s="83">
        <f t="shared" si="28"/>
        <v>0</v>
      </c>
      <c r="AZ66" s="83">
        <f t="shared" si="15"/>
        <v>0</v>
      </c>
    </row>
    <row r="67" spans="1:52" s="66" customFormat="1" ht="39.75" customHeight="1" thickBot="1" x14ac:dyDescent="0.2">
      <c r="A67" s="108"/>
      <c r="B67" s="108"/>
      <c r="C67" s="108"/>
      <c r="D67" s="108"/>
      <c r="E67" s="108"/>
      <c r="F67" s="105"/>
      <c r="G67" s="170"/>
      <c r="H67" s="158"/>
      <c r="I67" s="92">
        <v>0.7</v>
      </c>
      <c r="J67" s="41">
        <v>0.3</v>
      </c>
      <c r="K67" s="41"/>
      <c r="L67" s="42"/>
      <c r="M67" s="68"/>
      <c r="N67" s="94">
        <f t="shared" si="34"/>
        <v>1</v>
      </c>
      <c r="O67" s="44">
        <v>1</v>
      </c>
      <c r="P67" s="45">
        <v>15</v>
      </c>
      <c r="Q67" s="46">
        <v>15</v>
      </c>
      <c r="R67" s="46"/>
      <c r="S67" s="121"/>
      <c r="T67" s="70"/>
      <c r="U67" s="71">
        <f t="shared" si="19"/>
        <v>15</v>
      </c>
      <c r="V67" s="72">
        <f t="shared" si="20"/>
        <v>15</v>
      </c>
      <c r="W67" s="99"/>
      <c r="X67" s="100"/>
      <c r="Y67" s="85"/>
      <c r="Z67" s="95"/>
      <c r="AA67" s="74"/>
      <c r="AB67" s="75">
        <f t="shared" si="21"/>
        <v>0</v>
      </c>
      <c r="AC67" s="72">
        <f t="shared" si="22"/>
        <v>0</v>
      </c>
      <c r="AD67" s="52">
        <v>2</v>
      </c>
      <c r="AE67" s="71">
        <f t="shared" si="23"/>
        <v>2</v>
      </c>
      <c r="AF67" s="76"/>
      <c r="AG67" s="86"/>
      <c r="AH67" s="77">
        <f t="shared" si="24"/>
        <v>17</v>
      </c>
      <c r="AI67" s="56">
        <v>10</v>
      </c>
      <c r="AJ67" s="56">
        <v>10</v>
      </c>
      <c r="AK67" s="56">
        <v>45</v>
      </c>
      <c r="AL67" s="57">
        <f t="shared" si="25"/>
        <v>82</v>
      </c>
      <c r="AM67" s="55">
        <f t="shared" si="26"/>
        <v>82</v>
      </c>
      <c r="AN67" s="78">
        <f t="shared" si="27"/>
        <v>1.02</v>
      </c>
      <c r="AO67" s="79"/>
      <c r="AP67" s="80">
        <f t="shared" si="35"/>
        <v>1</v>
      </c>
      <c r="AQ67" s="80">
        <f t="shared" si="35"/>
        <v>2</v>
      </c>
      <c r="AR67" s="61"/>
      <c r="AS67" s="62"/>
      <c r="AT67" s="81"/>
      <c r="AU67" s="81"/>
      <c r="AV67" s="81"/>
      <c r="AW67" s="81"/>
      <c r="AX67" s="82"/>
      <c r="AY67" s="83">
        <f t="shared" si="28"/>
        <v>0</v>
      </c>
      <c r="AZ67" s="83">
        <f t="shared" si="15"/>
        <v>0</v>
      </c>
    </row>
    <row r="68" spans="1:52" s="66" customFormat="1" ht="39.75" customHeight="1" thickBot="1" x14ac:dyDescent="0.2">
      <c r="A68" s="108"/>
      <c r="B68" s="108"/>
      <c r="C68" s="108"/>
      <c r="D68" s="108"/>
      <c r="E68" s="108"/>
      <c r="F68" s="105"/>
      <c r="G68" s="170"/>
      <c r="H68" s="158"/>
      <c r="I68" s="92">
        <v>0.7</v>
      </c>
      <c r="J68" s="41">
        <v>0.3</v>
      </c>
      <c r="K68" s="41"/>
      <c r="L68" s="42"/>
      <c r="M68" s="68"/>
      <c r="N68" s="94">
        <f t="shared" si="34"/>
        <v>1</v>
      </c>
      <c r="O68" s="44">
        <v>1</v>
      </c>
      <c r="P68" s="45">
        <v>15</v>
      </c>
      <c r="Q68" s="46">
        <v>15</v>
      </c>
      <c r="R68" s="46"/>
      <c r="S68" s="121"/>
      <c r="T68" s="70"/>
      <c r="U68" s="71">
        <f t="shared" si="19"/>
        <v>15</v>
      </c>
      <c r="V68" s="72">
        <f t="shared" si="20"/>
        <v>15</v>
      </c>
      <c r="W68" s="99"/>
      <c r="X68" s="100"/>
      <c r="Y68" s="85"/>
      <c r="Z68" s="95"/>
      <c r="AA68" s="74"/>
      <c r="AB68" s="75">
        <f t="shared" si="21"/>
        <v>0</v>
      </c>
      <c r="AC68" s="72">
        <f t="shared" si="22"/>
        <v>0</v>
      </c>
      <c r="AD68" s="52">
        <v>2</v>
      </c>
      <c r="AE68" s="71">
        <f t="shared" si="23"/>
        <v>2</v>
      </c>
      <c r="AF68" s="76"/>
      <c r="AG68" s="86"/>
      <c r="AH68" s="77">
        <f t="shared" si="24"/>
        <v>17</v>
      </c>
      <c r="AI68" s="56">
        <v>10</v>
      </c>
      <c r="AJ68" s="56">
        <v>10</v>
      </c>
      <c r="AK68" s="56">
        <v>45</v>
      </c>
      <c r="AL68" s="57">
        <f t="shared" si="25"/>
        <v>82</v>
      </c>
      <c r="AM68" s="55">
        <f t="shared" si="26"/>
        <v>82</v>
      </c>
      <c r="AN68" s="78">
        <f t="shared" si="27"/>
        <v>1.02</v>
      </c>
      <c r="AO68" s="79"/>
      <c r="AP68" s="80">
        <f t="shared" si="35"/>
        <v>1</v>
      </c>
      <c r="AQ68" s="80">
        <f t="shared" si="35"/>
        <v>2</v>
      </c>
      <c r="AR68" s="61"/>
      <c r="AS68" s="62"/>
      <c r="AT68" s="81"/>
      <c r="AU68" s="81"/>
      <c r="AV68" s="81"/>
      <c r="AW68" s="81"/>
      <c r="AX68" s="82"/>
      <c r="AY68" s="83">
        <f t="shared" si="28"/>
        <v>0</v>
      </c>
      <c r="AZ68" s="83">
        <f t="shared" si="15"/>
        <v>0</v>
      </c>
    </row>
    <row r="69" spans="1:52" s="66" customFormat="1" ht="39.75" customHeight="1" thickBot="1" x14ac:dyDescent="0.2">
      <c r="A69" s="108"/>
      <c r="B69" s="108"/>
      <c r="C69" s="108"/>
      <c r="D69" s="108"/>
      <c r="E69" s="108"/>
      <c r="F69" s="105"/>
      <c r="G69" s="170"/>
      <c r="H69" s="158"/>
      <c r="I69" s="92">
        <v>0.7</v>
      </c>
      <c r="J69" s="41">
        <v>0.3</v>
      </c>
      <c r="K69" s="41"/>
      <c r="L69" s="42"/>
      <c r="M69" s="68"/>
      <c r="N69" s="94">
        <f t="shared" si="34"/>
        <v>1</v>
      </c>
      <c r="O69" s="44">
        <v>1</v>
      </c>
      <c r="P69" s="45">
        <v>15</v>
      </c>
      <c r="Q69" s="46">
        <v>15</v>
      </c>
      <c r="R69" s="46"/>
      <c r="S69" s="121"/>
      <c r="T69" s="70"/>
      <c r="U69" s="71">
        <f t="shared" si="19"/>
        <v>15</v>
      </c>
      <c r="V69" s="72">
        <f t="shared" si="20"/>
        <v>15</v>
      </c>
      <c r="W69" s="99"/>
      <c r="X69" s="100"/>
      <c r="Y69" s="85"/>
      <c r="Z69" s="95"/>
      <c r="AA69" s="74"/>
      <c r="AB69" s="75">
        <f t="shared" si="21"/>
        <v>0</v>
      </c>
      <c r="AC69" s="72">
        <f t="shared" si="22"/>
        <v>0</v>
      </c>
      <c r="AD69" s="52">
        <v>2</v>
      </c>
      <c r="AE69" s="71">
        <f t="shared" si="23"/>
        <v>2</v>
      </c>
      <c r="AF69" s="76"/>
      <c r="AG69" s="86"/>
      <c r="AH69" s="77">
        <f t="shared" si="24"/>
        <v>17</v>
      </c>
      <c r="AI69" s="56">
        <v>10</v>
      </c>
      <c r="AJ69" s="56">
        <v>10</v>
      </c>
      <c r="AK69" s="56">
        <v>45</v>
      </c>
      <c r="AL69" s="57">
        <f t="shared" si="25"/>
        <v>82</v>
      </c>
      <c r="AM69" s="55">
        <f t="shared" si="26"/>
        <v>82</v>
      </c>
      <c r="AN69" s="78">
        <f t="shared" si="27"/>
        <v>1.02</v>
      </c>
      <c r="AO69" s="79"/>
      <c r="AP69" s="80">
        <f t="shared" si="35"/>
        <v>1</v>
      </c>
      <c r="AQ69" s="80">
        <f t="shared" si="35"/>
        <v>2</v>
      </c>
      <c r="AR69" s="61"/>
      <c r="AS69" s="62"/>
      <c r="AT69" s="81"/>
      <c r="AU69" s="81"/>
      <c r="AV69" s="81"/>
      <c r="AW69" s="81"/>
      <c r="AX69" s="82"/>
      <c r="AY69" s="83">
        <f t="shared" si="28"/>
        <v>0</v>
      </c>
      <c r="AZ69" s="83">
        <f t="shared" si="15"/>
        <v>0</v>
      </c>
    </row>
    <row r="70" spans="1:52" s="66" customFormat="1" ht="39.75" customHeight="1" thickBot="1" x14ac:dyDescent="0.2">
      <c r="A70" s="108"/>
      <c r="B70" s="108"/>
      <c r="C70" s="108"/>
      <c r="D70" s="108"/>
      <c r="E70" s="108"/>
      <c r="F70" s="105"/>
      <c r="G70" s="170"/>
      <c r="H70" s="158"/>
      <c r="I70" s="92">
        <v>0.7</v>
      </c>
      <c r="J70" s="41">
        <v>0.3</v>
      </c>
      <c r="K70" s="41"/>
      <c r="L70" s="42"/>
      <c r="M70" s="68"/>
      <c r="N70" s="94">
        <f t="shared" si="34"/>
        <v>1</v>
      </c>
      <c r="O70" s="44">
        <v>1</v>
      </c>
      <c r="P70" s="45">
        <v>15</v>
      </c>
      <c r="Q70" s="46">
        <v>15</v>
      </c>
      <c r="R70" s="46"/>
      <c r="S70" s="121"/>
      <c r="T70" s="70"/>
      <c r="U70" s="71">
        <f t="shared" si="19"/>
        <v>15</v>
      </c>
      <c r="V70" s="72">
        <f t="shared" si="20"/>
        <v>15</v>
      </c>
      <c r="W70" s="99"/>
      <c r="X70" s="100"/>
      <c r="Y70" s="85"/>
      <c r="Z70" s="95"/>
      <c r="AA70" s="74"/>
      <c r="AB70" s="75">
        <f t="shared" si="21"/>
        <v>0</v>
      </c>
      <c r="AC70" s="72">
        <f t="shared" si="22"/>
        <v>0</v>
      </c>
      <c r="AD70" s="52">
        <v>2</v>
      </c>
      <c r="AE70" s="71">
        <f t="shared" si="23"/>
        <v>2</v>
      </c>
      <c r="AF70" s="76"/>
      <c r="AG70" s="86"/>
      <c r="AH70" s="77">
        <f t="shared" si="24"/>
        <v>17</v>
      </c>
      <c r="AI70" s="56">
        <v>10</v>
      </c>
      <c r="AJ70" s="56">
        <v>10</v>
      </c>
      <c r="AK70" s="56">
        <v>45</v>
      </c>
      <c r="AL70" s="57">
        <f t="shared" si="25"/>
        <v>82</v>
      </c>
      <c r="AM70" s="55">
        <f t="shared" si="26"/>
        <v>82</v>
      </c>
      <c r="AN70" s="78">
        <f t="shared" si="27"/>
        <v>1.02</v>
      </c>
      <c r="AO70" s="79"/>
      <c r="AP70" s="80">
        <f t="shared" si="35"/>
        <v>1</v>
      </c>
      <c r="AQ70" s="80">
        <f t="shared" si="35"/>
        <v>2</v>
      </c>
      <c r="AR70" s="61"/>
      <c r="AS70" s="62"/>
      <c r="AT70" s="81"/>
      <c r="AU70" s="81"/>
      <c r="AV70" s="81"/>
      <c r="AW70" s="81"/>
      <c r="AX70" s="82"/>
      <c r="AY70" s="83">
        <f t="shared" si="28"/>
        <v>0</v>
      </c>
      <c r="AZ70" s="83">
        <f t="shared" si="15"/>
        <v>0</v>
      </c>
    </row>
    <row r="71" spans="1:52" s="66" customFormat="1" ht="39.75" customHeight="1" thickBot="1" x14ac:dyDescent="0.2">
      <c r="A71" s="108"/>
      <c r="B71" s="108"/>
      <c r="C71" s="108"/>
      <c r="D71" s="108"/>
      <c r="E71" s="108"/>
      <c r="F71" s="105"/>
      <c r="G71" s="170"/>
      <c r="H71" s="158"/>
      <c r="I71" s="92">
        <v>0.7</v>
      </c>
      <c r="J71" s="41">
        <v>0.3</v>
      </c>
      <c r="K71" s="41"/>
      <c r="L71" s="42"/>
      <c r="M71" s="68"/>
      <c r="N71" s="94">
        <f t="shared" si="34"/>
        <v>1</v>
      </c>
      <c r="O71" s="44">
        <v>1</v>
      </c>
      <c r="P71" s="45">
        <v>15</v>
      </c>
      <c r="Q71" s="46">
        <v>15</v>
      </c>
      <c r="R71" s="46"/>
      <c r="S71" s="121"/>
      <c r="T71" s="70"/>
      <c r="U71" s="71">
        <f t="shared" si="19"/>
        <v>15</v>
      </c>
      <c r="V71" s="72">
        <f t="shared" si="20"/>
        <v>15</v>
      </c>
      <c r="W71" s="99"/>
      <c r="X71" s="100"/>
      <c r="Y71" s="85"/>
      <c r="Z71" s="95"/>
      <c r="AA71" s="74"/>
      <c r="AB71" s="75">
        <f t="shared" si="21"/>
        <v>0</v>
      </c>
      <c r="AC71" s="72">
        <f t="shared" si="22"/>
        <v>0</v>
      </c>
      <c r="AD71" s="52">
        <v>2</v>
      </c>
      <c r="AE71" s="71">
        <f t="shared" si="23"/>
        <v>2</v>
      </c>
      <c r="AF71" s="76"/>
      <c r="AG71" s="86"/>
      <c r="AH71" s="77">
        <f t="shared" si="24"/>
        <v>17</v>
      </c>
      <c r="AI71" s="56">
        <v>10</v>
      </c>
      <c r="AJ71" s="56">
        <v>10</v>
      </c>
      <c r="AK71" s="56">
        <v>45</v>
      </c>
      <c r="AL71" s="57">
        <f t="shared" si="25"/>
        <v>82</v>
      </c>
      <c r="AM71" s="55">
        <f t="shared" si="26"/>
        <v>82</v>
      </c>
      <c r="AN71" s="78">
        <f t="shared" si="27"/>
        <v>1.02</v>
      </c>
      <c r="AO71" s="79"/>
      <c r="AP71" s="80">
        <f t="shared" ref="AP71:AQ90" si="36">100%+AO71</f>
        <v>1</v>
      </c>
      <c r="AQ71" s="80">
        <f t="shared" si="36"/>
        <v>2</v>
      </c>
      <c r="AR71" s="61"/>
      <c r="AS71" s="62"/>
      <c r="AT71" s="81"/>
      <c r="AU71" s="81"/>
      <c r="AV71" s="81"/>
      <c r="AW71" s="81"/>
      <c r="AX71" s="82"/>
      <c r="AY71" s="83">
        <f t="shared" si="28"/>
        <v>0</v>
      </c>
      <c r="AZ71" s="83">
        <f t="shared" si="15"/>
        <v>0</v>
      </c>
    </row>
    <row r="72" spans="1:52" s="66" customFormat="1" ht="39.75" customHeight="1" thickBot="1" x14ac:dyDescent="0.2">
      <c r="A72" s="108"/>
      <c r="B72" s="108"/>
      <c r="C72" s="108"/>
      <c r="D72" s="108"/>
      <c r="E72" s="108"/>
      <c r="F72" s="105"/>
      <c r="G72" s="170"/>
      <c r="H72" s="158"/>
      <c r="I72" s="92">
        <v>0.7</v>
      </c>
      <c r="J72" s="41">
        <v>0.3</v>
      </c>
      <c r="K72" s="41"/>
      <c r="L72" s="42"/>
      <c r="M72" s="68"/>
      <c r="N72" s="94">
        <f t="shared" si="34"/>
        <v>1</v>
      </c>
      <c r="O72" s="44">
        <v>1</v>
      </c>
      <c r="P72" s="45">
        <v>15</v>
      </c>
      <c r="Q72" s="46">
        <v>15</v>
      </c>
      <c r="R72" s="46"/>
      <c r="S72" s="121"/>
      <c r="T72" s="70"/>
      <c r="U72" s="71">
        <f t="shared" si="19"/>
        <v>15</v>
      </c>
      <c r="V72" s="72">
        <f t="shared" si="20"/>
        <v>15</v>
      </c>
      <c r="W72" s="99"/>
      <c r="X72" s="100"/>
      <c r="Y72" s="85"/>
      <c r="Z72" s="95"/>
      <c r="AA72" s="74"/>
      <c r="AB72" s="75">
        <f t="shared" si="21"/>
        <v>0</v>
      </c>
      <c r="AC72" s="72">
        <f t="shared" si="22"/>
        <v>0</v>
      </c>
      <c r="AD72" s="52">
        <v>2</v>
      </c>
      <c r="AE72" s="71">
        <f t="shared" si="23"/>
        <v>2</v>
      </c>
      <c r="AF72" s="76"/>
      <c r="AG72" s="86"/>
      <c r="AH72" s="77">
        <f t="shared" si="24"/>
        <v>17</v>
      </c>
      <c r="AI72" s="56">
        <v>10</v>
      </c>
      <c r="AJ72" s="56">
        <v>10</v>
      </c>
      <c r="AK72" s="56">
        <v>45</v>
      </c>
      <c r="AL72" s="57">
        <f t="shared" si="25"/>
        <v>82</v>
      </c>
      <c r="AM72" s="55">
        <f t="shared" si="26"/>
        <v>82</v>
      </c>
      <c r="AN72" s="78">
        <f t="shared" si="27"/>
        <v>1.02</v>
      </c>
      <c r="AO72" s="79"/>
      <c r="AP72" s="80">
        <f t="shared" si="36"/>
        <v>1</v>
      </c>
      <c r="AQ72" s="80">
        <f t="shared" si="36"/>
        <v>2</v>
      </c>
      <c r="AR72" s="61"/>
      <c r="AS72" s="62"/>
      <c r="AT72" s="81"/>
      <c r="AU72" s="81"/>
      <c r="AV72" s="81"/>
      <c r="AW72" s="81"/>
      <c r="AX72" s="82"/>
      <c r="AY72" s="83">
        <f t="shared" si="28"/>
        <v>0</v>
      </c>
      <c r="AZ72" s="83">
        <f t="shared" ref="AZ72:AZ138" si="37">(AT72*I72)+(AU72*J72)+(AV72*K72)+(AW72*L72)+(AX72*M72)</f>
        <v>0</v>
      </c>
    </row>
    <row r="73" spans="1:52" s="66" customFormat="1" ht="39.75" customHeight="1" thickBot="1" x14ac:dyDescent="0.2">
      <c r="A73" s="106"/>
      <c r="B73" s="106"/>
      <c r="C73" s="106"/>
      <c r="D73" s="106"/>
      <c r="E73" s="106"/>
      <c r="F73" s="105"/>
      <c r="G73" s="170"/>
      <c r="H73" s="158"/>
      <c r="I73" s="92">
        <v>0.7</v>
      </c>
      <c r="J73" s="41">
        <v>0.3</v>
      </c>
      <c r="K73" s="41"/>
      <c r="L73" s="42"/>
      <c r="M73" s="68"/>
      <c r="N73" s="94">
        <f t="shared" si="34"/>
        <v>1</v>
      </c>
      <c r="O73" s="44">
        <v>1</v>
      </c>
      <c r="P73" s="45">
        <v>15</v>
      </c>
      <c r="Q73" s="46">
        <v>15</v>
      </c>
      <c r="R73" s="46"/>
      <c r="S73" s="121"/>
      <c r="T73" s="70"/>
      <c r="U73" s="71">
        <f t="shared" si="19"/>
        <v>15</v>
      </c>
      <c r="V73" s="72">
        <f t="shared" si="20"/>
        <v>15</v>
      </c>
      <c r="W73" s="99"/>
      <c r="X73" s="100"/>
      <c r="Y73" s="85"/>
      <c r="Z73" s="95"/>
      <c r="AA73" s="74"/>
      <c r="AB73" s="75">
        <f t="shared" si="21"/>
        <v>0</v>
      </c>
      <c r="AC73" s="72">
        <f t="shared" si="22"/>
        <v>0</v>
      </c>
      <c r="AD73" s="52">
        <v>2</v>
      </c>
      <c r="AE73" s="71">
        <f t="shared" si="23"/>
        <v>2</v>
      </c>
      <c r="AF73" s="76"/>
      <c r="AG73" s="86"/>
      <c r="AH73" s="77">
        <f t="shared" si="24"/>
        <v>17</v>
      </c>
      <c r="AI73" s="56">
        <v>10</v>
      </c>
      <c r="AJ73" s="56">
        <v>10</v>
      </c>
      <c r="AK73" s="56">
        <v>45</v>
      </c>
      <c r="AL73" s="57">
        <f t="shared" si="25"/>
        <v>82</v>
      </c>
      <c r="AM73" s="55">
        <f t="shared" si="26"/>
        <v>82</v>
      </c>
      <c r="AN73" s="78">
        <f t="shared" si="27"/>
        <v>1.02</v>
      </c>
      <c r="AO73" s="79"/>
      <c r="AP73" s="80">
        <f t="shared" si="36"/>
        <v>1</v>
      </c>
      <c r="AQ73" s="80">
        <f t="shared" si="36"/>
        <v>2</v>
      </c>
      <c r="AR73" s="61"/>
      <c r="AS73" s="62"/>
      <c r="AT73" s="81"/>
      <c r="AU73" s="81"/>
      <c r="AV73" s="81"/>
      <c r="AW73" s="81"/>
      <c r="AX73" s="82"/>
      <c r="AY73" s="83">
        <f t="shared" si="28"/>
        <v>0</v>
      </c>
      <c r="AZ73" s="83">
        <f t="shared" si="37"/>
        <v>0</v>
      </c>
    </row>
    <row r="74" spans="1:52" s="66" customFormat="1" ht="39.75" customHeight="1" thickBot="1" x14ac:dyDescent="0.2">
      <c r="A74" s="106"/>
      <c r="B74" s="106"/>
      <c r="C74" s="106"/>
      <c r="D74" s="106"/>
      <c r="E74" s="106"/>
      <c r="F74" s="105"/>
      <c r="G74" s="170"/>
      <c r="H74" s="158"/>
      <c r="I74" s="92">
        <v>0.7</v>
      </c>
      <c r="J74" s="41">
        <v>0.3</v>
      </c>
      <c r="K74" s="41"/>
      <c r="L74" s="42"/>
      <c r="M74" s="68"/>
      <c r="N74" s="94">
        <f t="shared" si="34"/>
        <v>1</v>
      </c>
      <c r="O74" s="44">
        <v>1</v>
      </c>
      <c r="P74" s="45">
        <v>15</v>
      </c>
      <c r="Q74" s="46">
        <v>15</v>
      </c>
      <c r="R74" s="46"/>
      <c r="S74" s="121"/>
      <c r="T74" s="70"/>
      <c r="U74" s="71">
        <f t="shared" si="19"/>
        <v>15</v>
      </c>
      <c r="V74" s="72">
        <f t="shared" si="20"/>
        <v>15</v>
      </c>
      <c r="W74" s="99"/>
      <c r="X74" s="100"/>
      <c r="Y74" s="85"/>
      <c r="Z74" s="95"/>
      <c r="AA74" s="74"/>
      <c r="AB74" s="75">
        <f t="shared" si="21"/>
        <v>0</v>
      </c>
      <c r="AC74" s="72">
        <f t="shared" si="22"/>
        <v>0</v>
      </c>
      <c r="AD74" s="52">
        <v>2</v>
      </c>
      <c r="AE74" s="71">
        <f t="shared" si="23"/>
        <v>2</v>
      </c>
      <c r="AF74" s="76"/>
      <c r="AG74" s="86"/>
      <c r="AH74" s="77">
        <f t="shared" si="24"/>
        <v>17</v>
      </c>
      <c r="AI74" s="56">
        <v>10</v>
      </c>
      <c r="AJ74" s="56">
        <v>10</v>
      </c>
      <c r="AK74" s="56">
        <v>45</v>
      </c>
      <c r="AL74" s="57">
        <f t="shared" si="25"/>
        <v>82</v>
      </c>
      <c r="AM74" s="55">
        <f t="shared" si="26"/>
        <v>82</v>
      </c>
      <c r="AN74" s="78">
        <f t="shared" si="27"/>
        <v>1.02</v>
      </c>
      <c r="AO74" s="79"/>
      <c r="AP74" s="80">
        <f t="shared" si="36"/>
        <v>1</v>
      </c>
      <c r="AQ74" s="80">
        <f t="shared" si="36"/>
        <v>2</v>
      </c>
      <c r="AR74" s="61"/>
      <c r="AS74" s="62"/>
      <c r="AT74" s="81"/>
      <c r="AU74" s="81"/>
      <c r="AV74" s="81"/>
      <c r="AW74" s="81"/>
      <c r="AX74" s="82"/>
      <c r="AY74" s="83">
        <f t="shared" si="28"/>
        <v>0</v>
      </c>
      <c r="AZ74" s="83">
        <f t="shared" si="37"/>
        <v>0</v>
      </c>
    </row>
    <row r="75" spans="1:52" s="66" customFormat="1" ht="39.75" customHeight="1" thickBot="1" x14ac:dyDescent="0.2">
      <c r="A75" s="101"/>
      <c r="B75" s="101"/>
      <c r="C75" s="108"/>
      <c r="D75" s="108"/>
      <c r="E75" s="108"/>
      <c r="F75" s="105"/>
      <c r="G75" s="170"/>
      <c r="H75" s="158"/>
      <c r="I75" s="92">
        <v>0.7</v>
      </c>
      <c r="J75" s="41">
        <v>0.3</v>
      </c>
      <c r="K75" s="41"/>
      <c r="L75" s="42"/>
      <c r="M75" s="68"/>
      <c r="N75" s="94">
        <f t="shared" si="34"/>
        <v>1</v>
      </c>
      <c r="O75" s="44">
        <v>1</v>
      </c>
      <c r="P75" s="45">
        <v>15</v>
      </c>
      <c r="Q75" s="46">
        <v>15</v>
      </c>
      <c r="R75" s="46"/>
      <c r="S75" s="121"/>
      <c r="T75" s="70"/>
      <c r="U75" s="71">
        <f t="shared" si="19"/>
        <v>15</v>
      </c>
      <c r="V75" s="72">
        <f t="shared" si="20"/>
        <v>15</v>
      </c>
      <c r="W75" s="99"/>
      <c r="X75" s="100"/>
      <c r="Y75" s="85"/>
      <c r="Z75" s="95"/>
      <c r="AA75" s="74"/>
      <c r="AB75" s="75">
        <f t="shared" si="21"/>
        <v>0</v>
      </c>
      <c r="AC75" s="72">
        <f t="shared" si="22"/>
        <v>0</v>
      </c>
      <c r="AD75" s="52">
        <v>2</v>
      </c>
      <c r="AE75" s="71">
        <f t="shared" si="23"/>
        <v>2</v>
      </c>
      <c r="AF75" s="76"/>
      <c r="AG75" s="86"/>
      <c r="AH75" s="77">
        <f t="shared" si="24"/>
        <v>17</v>
      </c>
      <c r="AI75" s="56">
        <v>10</v>
      </c>
      <c r="AJ75" s="56">
        <v>10</v>
      </c>
      <c r="AK75" s="56">
        <v>45</v>
      </c>
      <c r="AL75" s="57">
        <f t="shared" si="25"/>
        <v>82</v>
      </c>
      <c r="AM75" s="55">
        <f t="shared" si="26"/>
        <v>82</v>
      </c>
      <c r="AN75" s="78">
        <f t="shared" si="27"/>
        <v>1.02</v>
      </c>
      <c r="AO75" s="79"/>
      <c r="AP75" s="80">
        <f t="shared" si="36"/>
        <v>1</v>
      </c>
      <c r="AQ75" s="80">
        <f t="shared" si="36"/>
        <v>2</v>
      </c>
      <c r="AR75" s="61"/>
      <c r="AS75" s="62"/>
      <c r="AT75" s="81"/>
      <c r="AU75" s="81"/>
      <c r="AV75" s="81"/>
      <c r="AW75" s="81"/>
      <c r="AX75" s="82"/>
      <c r="AY75" s="83">
        <f t="shared" si="28"/>
        <v>0</v>
      </c>
      <c r="AZ75" s="83">
        <f t="shared" si="37"/>
        <v>0</v>
      </c>
    </row>
    <row r="76" spans="1:52" s="66" customFormat="1" ht="39.75" customHeight="1" thickBot="1" x14ac:dyDescent="0.2">
      <c r="A76" s="101"/>
      <c r="B76" s="101"/>
      <c r="C76" s="108"/>
      <c r="D76" s="108"/>
      <c r="E76" s="108"/>
      <c r="F76" s="110"/>
      <c r="G76" s="169"/>
      <c r="H76" s="158"/>
      <c r="I76" s="92">
        <v>0.7</v>
      </c>
      <c r="J76" s="41">
        <v>0.3</v>
      </c>
      <c r="K76" s="41"/>
      <c r="L76" s="42"/>
      <c r="M76" s="68"/>
      <c r="N76" s="94">
        <f t="shared" si="34"/>
        <v>1</v>
      </c>
      <c r="O76" s="44">
        <v>1</v>
      </c>
      <c r="P76" s="45">
        <v>15</v>
      </c>
      <c r="Q76" s="46">
        <v>15</v>
      </c>
      <c r="R76" s="46"/>
      <c r="S76" s="121"/>
      <c r="T76" s="70"/>
      <c r="U76" s="71">
        <f t="shared" si="19"/>
        <v>15</v>
      </c>
      <c r="V76" s="72">
        <f t="shared" si="20"/>
        <v>15</v>
      </c>
      <c r="W76" s="99"/>
      <c r="X76" s="100"/>
      <c r="Y76" s="85"/>
      <c r="Z76" s="95"/>
      <c r="AA76" s="74"/>
      <c r="AB76" s="75">
        <f t="shared" si="21"/>
        <v>0</v>
      </c>
      <c r="AC76" s="72">
        <f t="shared" si="22"/>
        <v>0</v>
      </c>
      <c r="AD76" s="52">
        <v>2</v>
      </c>
      <c r="AE76" s="71">
        <f t="shared" si="23"/>
        <v>2</v>
      </c>
      <c r="AF76" s="76"/>
      <c r="AG76" s="86"/>
      <c r="AH76" s="77">
        <f t="shared" si="24"/>
        <v>17</v>
      </c>
      <c r="AI76" s="56">
        <v>10</v>
      </c>
      <c r="AJ76" s="56">
        <v>10</v>
      </c>
      <c r="AK76" s="56">
        <v>45</v>
      </c>
      <c r="AL76" s="57">
        <f t="shared" si="25"/>
        <v>82</v>
      </c>
      <c r="AM76" s="55">
        <f t="shared" si="26"/>
        <v>82</v>
      </c>
      <c r="AN76" s="78">
        <f t="shared" si="27"/>
        <v>1.02</v>
      </c>
      <c r="AO76" s="79"/>
      <c r="AP76" s="80">
        <f t="shared" si="36"/>
        <v>1</v>
      </c>
      <c r="AQ76" s="80">
        <f t="shared" si="36"/>
        <v>2</v>
      </c>
      <c r="AR76" s="61"/>
      <c r="AS76" s="62"/>
      <c r="AT76" s="81"/>
      <c r="AU76" s="81"/>
      <c r="AV76" s="81"/>
      <c r="AW76" s="81"/>
      <c r="AX76" s="82"/>
      <c r="AY76" s="83">
        <f t="shared" si="28"/>
        <v>0</v>
      </c>
      <c r="AZ76" s="83">
        <f t="shared" si="37"/>
        <v>0</v>
      </c>
    </row>
    <row r="77" spans="1:52" s="66" customFormat="1" ht="39.75" customHeight="1" thickBot="1" x14ac:dyDescent="0.2">
      <c r="A77" s="101"/>
      <c r="B77" s="101"/>
      <c r="C77" s="101"/>
      <c r="D77" s="101"/>
      <c r="E77" s="101"/>
      <c r="F77" s="40"/>
      <c r="G77" s="90"/>
      <c r="H77" s="158"/>
      <c r="I77" s="92">
        <v>0.7</v>
      </c>
      <c r="J77" s="41">
        <v>0.3</v>
      </c>
      <c r="K77" s="41"/>
      <c r="L77" s="42"/>
      <c r="M77" s="68"/>
      <c r="N77" s="94">
        <f t="shared" si="34"/>
        <v>1</v>
      </c>
      <c r="O77" s="44">
        <v>1</v>
      </c>
      <c r="P77" s="45">
        <v>15</v>
      </c>
      <c r="Q77" s="46">
        <v>15</v>
      </c>
      <c r="R77" s="46"/>
      <c r="S77" s="121"/>
      <c r="T77" s="70"/>
      <c r="U77" s="71">
        <f t="shared" si="19"/>
        <v>15</v>
      </c>
      <c r="V77" s="72">
        <f t="shared" si="20"/>
        <v>15</v>
      </c>
      <c r="W77" s="99"/>
      <c r="X77" s="100"/>
      <c r="Y77" s="85"/>
      <c r="Z77" s="95"/>
      <c r="AA77" s="74"/>
      <c r="AB77" s="75">
        <f t="shared" si="21"/>
        <v>0</v>
      </c>
      <c r="AC77" s="72">
        <f t="shared" si="22"/>
        <v>0</v>
      </c>
      <c r="AD77" s="52">
        <v>2</v>
      </c>
      <c r="AE77" s="71">
        <f t="shared" si="23"/>
        <v>2</v>
      </c>
      <c r="AF77" s="76"/>
      <c r="AG77" s="86"/>
      <c r="AH77" s="77">
        <f t="shared" si="24"/>
        <v>17</v>
      </c>
      <c r="AI77" s="56">
        <v>10</v>
      </c>
      <c r="AJ77" s="56">
        <v>10</v>
      </c>
      <c r="AK77" s="56">
        <v>45</v>
      </c>
      <c r="AL77" s="57">
        <f t="shared" si="25"/>
        <v>82</v>
      </c>
      <c r="AM77" s="55">
        <f t="shared" si="26"/>
        <v>82</v>
      </c>
      <c r="AN77" s="78">
        <f t="shared" si="27"/>
        <v>1.02</v>
      </c>
      <c r="AO77" s="79"/>
      <c r="AP77" s="80">
        <f t="shared" si="36"/>
        <v>1</v>
      </c>
      <c r="AQ77" s="80">
        <f t="shared" si="36"/>
        <v>2</v>
      </c>
      <c r="AR77" s="61"/>
      <c r="AS77" s="62"/>
      <c r="AT77" s="81"/>
      <c r="AU77" s="81"/>
      <c r="AV77" s="81"/>
      <c r="AW77" s="81"/>
      <c r="AX77" s="82"/>
      <c r="AY77" s="83">
        <f t="shared" si="28"/>
        <v>0</v>
      </c>
      <c r="AZ77" s="83">
        <f t="shared" si="37"/>
        <v>0</v>
      </c>
    </row>
    <row r="78" spans="1:52" s="66" customFormat="1" ht="39.75" customHeight="1" thickBot="1" x14ac:dyDescent="0.2">
      <c r="A78" s="101"/>
      <c r="B78" s="101"/>
      <c r="C78" s="101"/>
      <c r="D78" s="101"/>
      <c r="E78" s="101"/>
      <c r="F78" s="40"/>
      <c r="G78" s="90"/>
      <c r="H78" s="158"/>
      <c r="I78" s="92">
        <v>0.7</v>
      </c>
      <c r="J78" s="41">
        <v>0.3</v>
      </c>
      <c r="K78" s="41"/>
      <c r="L78" s="42"/>
      <c r="M78" s="68"/>
      <c r="N78" s="94">
        <f t="shared" si="34"/>
        <v>1</v>
      </c>
      <c r="O78" s="44">
        <v>1</v>
      </c>
      <c r="P78" s="45">
        <v>15</v>
      </c>
      <c r="Q78" s="46">
        <v>15</v>
      </c>
      <c r="R78" s="46"/>
      <c r="S78" s="121"/>
      <c r="T78" s="70"/>
      <c r="U78" s="71">
        <f t="shared" si="19"/>
        <v>15</v>
      </c>
      <c r="V78" s="72">
        <f t="shared" si="20"/>
        <v>15</v>
      </c>
      <c r="W78" s="99"/>
      <c r="X78" s="100"/>
      <c r="Y78" s="85"/>
      <c r="Z78" s="95"/>
      <c r="AA78" s="74"/>
      <c r="AB78" s="75">
        <f t="shared" si="21"/>
        <v>0</v>
      </c>
      <c r="AC78" s="72">
        <f t="shared" si="22"/>
        <v>0</v>
      </c>
      <c r="AD78" s="52">
        <v>2</v>
      </c>
      <c r="AE78" s="71">
        <f t="shared" si="23"/>
        <v>2</v>
      </c>
      <c r="AF78" s="76"/>
      <c r="AG78" s="86"/>
      <c r="AH78" s="77">
        <f t="shared" si="24"/>
        <v>17</v>
      </c>
      <c r="AI78" s="56">
        <v>10</v>
      </c>
      <c r="AJ78" s="56">
        <v>10</v>
      </c>
      <c r="AK78" s="56">
        <v>45</v>
      </c>
      <c r="AL78" s="57">
        <f t="shared" si="25"/>
        <v>82</v>
      </c>
      <c r="AM78" s="55">
        <f t="shared" si="26"/>
        <v>82</v>
      </c>
      <c r="AN78" s="78">
        <f t="shared" si="27"/>
        <v>1.02</v>
      </c>
      <c r="AO78" s="79"/>
      <c r="AP78" s="80">
        <f t="shared" si="36"/>
        <v>1</v>
      </c>
      <c r="AQ78" s="80">
        <f t="shared" si="36"/>
        <v>2</v>
      </c>
      <c r="AR78" s="61"/>
      <c r="AS78" s="62"/>
      <c r="AT78" s="81"/>
      <c r="AU78" s="81"/>
      <c r="AV78" s="81"/>
      <c r="AW78" s="81"/>
      <c r="AX78" s="82"/>
      <c r="AY78" s="83">
        <f t="shared" si="28"/>
        <v>0</v>
      </c>
      <c r="AZ78" s="83">
        <f t="shared" si="37"/>
        <v>0</v>
      </c>
    </row>
    <row r="79" spans="1:52" s="66" customFormat="1" ht="39.75" customHeight="1" thickBot="1" x14ac:dyDescent="0.2">
      <c r="A79" s="101"/>
      <c r="B79" s="101"/>
      <c r="C79" s="101"/>
      <c r="D79" s="101"/>
      <c r="E79" s="101"/>
      <c r="F79" s="40"/>
      <c r="G79" s="90"/>
      <c r="H79" s="158"/>
      <c r="I79" s="92">
        <v>0.7</v>
      </c>
      <c r="J79" s="41">
        <v>0.3</v>
      </c>
      <c r="K79" s="41"/>
      <c r="L79" s="42"/>
      <c r="M79" s="68"/>
      <c r="N79" s="94">
        <f t="shared" si="34"/>
        <v>1</v>
      </c>
      <c r="O79" s="44">
        <v>1</v>
      </c>
      <c r="P79" s="45">
        <v>15</v>
      </c>
      <c r="Q79" s="46">
        <v>15</v>
      </c>
      <c r="R79" s="46"/>
      <c r="S79" s="121"/>
      <c r="T79" s="70"/>
      <c r="U79" s="71">
        <f t="shared" si="19"/>
        <v>15</v>
      </c>
      <c r="V79" s="72">
        <f t="shared" si="20"/>
        <v>15</v>
      </c>
      <c r="W79" s="99"/>
      <c r="X79" s="100"/>
      <c r="Y79" s="85"/>
      <c r="Z79" s="95"/>
      <c r="AA79" s="74"/>
      <c r="AB79" s="75">
        <f t="shared" si="21"/>
        <v>0</v>
      </c>
      <c r="AC79" s="72">
        <f t="shared" si="22"/>
        <v>0</v>
      </c>
      <c r="AD79" s="52">
        <v>2</v>
      </c>
      <c r="AE79" s="71">
        <f t="shared" si="23"/>
        <v>2</v>
      </c>
      <c r="AF79" s="76"/>
      <c r="AG79" s="86"/>
      <c r="AH79" s="77">
        <f t="shared" si="24"/>
        <v>17</v>
      </c>
      <c r="AI79" s="56">
        <v>10</v>
      </c>
      <c r="AJ79" s="56">
        <v>10</v>
      </c>
      <c r="AK79" s="56">
        <v>45</v>
      </c>
      <c r="AL79" s="57">
        <f t="shared" si="25"/>
        <v>82</v>
      </c>
      <c r="AM79" s="55">
        <f t="shared" si="26"/>
        <v>82</v>
      </c>
      <c r="AN79" s="78">
        <f t="shared" si="27"/>
        <v>1.02</v>
      </c>
      <c r="AO79" s="79"/>
      <c r="AP79" s="80">
        <f t="shared" si="36"/>
        <v>1</v>
      </c>
      <c r="AQ79" s="80">
        <f t="shared" si="36"/>
        <v>2</v>
      </c>
      <c r="AR79" s="61"/>
      <c r="AS79" s="62"/>
      <c r="AT79" s="81"/>
      <c r="AU79" s="81"/>
      <c r="AV79" s="81"/>
      <c r="AW79" s="81"/>
      <c r="AX79" s="82"/>
      <c r="AY79" s="83">
        <f t="shared" si="28"/>
        <v>0</v>
      </c>
      <c r="AZ79" s="83">
        <f t="shared" si="37"/>
        <v>0</v>
      </c>
    </row>
    <row r="80" spans="1:52" s="66" customFormat="1" ht="39.75" customHeight="1" thickBot="1" x14ac:dyDescent="0.2">
      <c r="A80" s="101"/>
      <c r="B80" s="101"/>
      <c r="C80" s="101"/>
      <c r="D80" s="101"/>
      <c r="E80" s="101"/>
      <c r="F80" s="40"/>
      <c r="G80" s="90"/>
      <c r="H80" s="158"/>
      <c r="I80" s="92">
        <v>0.7</v>
      </c>
      <c r="J80" s="41">
        <v>0.3</v>
      </c>
      <c r="K80" s="41"/>
      <c r="L80" s="42"/>
      <c r="M80" s="68"/>
      <c r="N80" s="94">
        <f t="shared" si="34"/>
        <v>1</v>
      </c>
      <c r="O80" s="44">
        <v>1</v>
      </c>
      <c r="P80" s="45">
        <v>15</v>
      </c>
      <c r="Q80" s="46">
        <v>15</v>
      </c>
      <c r="R80" s="46"/>
      <c r="S80" s="121"/>
      <c r="T80" s="70"/>
      <c r="U80" s="71">
        <f t="shared" si="19"/>
        <v>15</v>
      </c>
      <c r="V80" s="72">
        <f t="shared" si="20"/>
        <v>15</v>
      </c>
      <c r="W80" s="99"/>
      <c r="X80" s="100"/>
      <c r="Y80" s="85"/>
      <c r="Z80" s="95"/>
      <c r="AA80" s="74"/>
      <c r="AB80" s="75">
        <f t="shared" si="21"/>
        <v>0</v>
      </c>
      <c r="AC80" s="72">
        <f t="shared" si="22"/>
        <v>0</v>
      </c>
      <c r="AD80" s="52">
        <v>2</v>
      </c>
      <c r="AE80" s="71">
        <f t="shared" si="23"/>
        <v>2</v>
      </c>
      <c r="AF80" s="76"/>
      <c r="AG80" s="86"/>
      <c r="AH80" s="77">
        <f t="shared" si="24"/>
        <v>17</v>
      </c>
      <c r="AI80" s="56">
        <v>10</v>
      </c>
      <c r="AJ80" s="56">
        <v>10</v>
      </c>
      <c r="AK80" s="56">
        <v>45</v>
      </c>
      <c r="AL80" s="57">
        <f t="shared" si="25"/>
        <v>82</v>
      </c>
      <c r="AM80" s="55">
        <f t="shared" si="26"/>
        <v>82</v>
      </c>
      <c r="AN80" s="78">
        <f t="shared" si="27"/>
        <v>1.02</v>
      </c>
      <c r="AO80" s="79"/>
      <c r="AP80" s="80">
        <f t="shared" si="36"/>
        <v>1</v>
      </c>
      <c r="AQ80" s="80">
        <f t="shared" si="36"/>
        <v>2</v>
      </c>
      <c r="AR80" s="61"/>
      <c r="AS80" s="62"/>
      <c r="AT80" s="81"/>
      <c r="AU80" s="81"/>
      <c r="AV80" s="81"/>
      <c r="AW80" s="81"/>
      <c r="AX80" s="82"/>
      <c r="AY80" s="83">
        <f t="shared" si="28"/>
        <v>0</v>
      </c>
      <c r="AZ80" s="83">
        <f t="shared" si="37"/>
        <v>0</v>
      </c>
    </row>
    <row r="81" spans="1:52" s="66" customFormat="1" ht="39.75" customHeight="1" thickBot="1" x14ac:dyDescent="0.2">
      <c r="A81" s="101"/>
      <c r="B81" s="101"/>
      <c r="C81" s="101"/>
      <c r="D81" s="101"/>
      <c r="E81" s="101"/>
      <c r="F81" s="40"/>
      <c r="G81" s="90"/>
      <c r="H81" s="158"/>
      <c r="I81" s="92">
        <v>0.51</v>
      </c>
      <c r="J81" s="41">
        <v>0.49</v>
      </c>
      <c r="K81" s="41"/>
      <c r="L81" s="42"/>
      <c r="M81" s="68"/>
      <c r="N81" s="94">
        <f t="shared" si="34"/>
        <v>1</v>
      </c>
      <c r="O81" s="44">
        <v>1</v>
      </c>
      <c r="P81" s="45">
        <v>15</v>
      </c>
      <c r="Q81" s="46">
        <v>15</v>
      </c>
      <c r="R81" s="46"/>
      <c r="S81" s="121"/>
      <c r="T81" s="70"/>
      <c r="U81" s="71">
        <f t="shared" si="19"/>
        <v>15</v>
      </c>
      <c r="V81" s="72">
        <f t="shared" si="20"/>
        <v>15</v>
      </c>
      <c r="W81" s="99"/>
      <c r="X81" s="100"/>
      <c r="Y81" s="85"/>
      <c r="Z81" s="95"/>
      <c r="AA81" s="74"/>
      <c r="AB81" s="75">
        <f t="shared" si="21"/>
        <v>0</v>
      </c>
      <c r="AC81" s="72">
        <f t="shared" si="22"/>
        <v>0</v>
      </c>
      <c r="AD81" s="52">
        <v>2</v>
      </c>
      <c r="AE81" s="71">
        <f t="shared" si="23"/>
        <v>2</v>
      </c>
      <c r="AF81" s="76"/>
      <c r="AG81" s="86"/>
      <c r="AH81" s="77">
        <f t="shared" si="24"/>
        <v>17</v>
      </c>
      <c r="AI81" s="56">
        <v>10</v>
      </c>
      <c r="AJ81" s="56">
        <v>10</v>
      </c>
      <c r="AK81" s="56">
        <v>45</v>
      </c>
      <c r="AL81" s="57">
        <f t="shared" si="25"/>
        <v>82</v>
      </c>
      <c r="AM81" s="55">
        <f t="shared" si="26"/>
        <v>82</v>
      </c>
      <c r="AN81" s="78">
        <f t="shared" si="27"/>
        <v>1.02</v>
      </c>
      <c r="AO81" s="79"/>
      <c r="AP81" s="80">
        <f t="shared" si="36"/>
        <v>1</v>
      </c>
      <c r="AQ81" s="80">
        <f t="shared" si="36"/>
        <v>2</v>
      </c>
      <c r="AR81" s="61"/>
      <c r="AS81" s="62"/>
      <c r="AT81" s="81"/>
      <c r="AU81" s="81"/>
      <c r="AV81" s="81"/>
      <c r="AW81" s="81"/>
      <c r="AX81" s="82"/>
      <c r="AY81" s="83">
        <f t="shared" si="28"/>
        <v>0</v>
      </c>
      <c r="AZ81" s="83">
        <f t="shared" si="37"/>
        <v>0</v>
      </c>
    </row>
    <row r="82" spans="1:52" s="66" customFormat="1" ht="39.75" customHeight="1" thickBot="1" x14ac:dyDescent="0.2">
      <c r="A82" s="101"/>
      <c r="B82" s="101"/>
      <c r="C82" s="101"/>
      <c r="D82" s="101"/>
      <c r="E82" s="101"/>
      <c r="F82" s="40"/>
      <c r="G82" s="90"/>
      <c r="H82" s="158"/>
      <c r="I82" s="92">
        <v>0.51</v>
      </c>
      <c r="J82" s="41">
        <v>0.49</v>
      </c>
      <c r="K82" s="41"/>
      <c r="L82" s="42"/>
      <c r="M82" s="68"/>
      <c r="N82" s="94">
        <f t="shared" si="34"/>
        <v>1</v>
      </c>
      <c r="O82" s="44">
        <v>1</v>
      </c>
      <c r="P82" s="45">
        <v>15</v>
      </c>
      <c r="Q82" s="46">
        <v>15</v>
      </c>
      <c r="R82" s="46"/>
      <c r="S82" s="121"/>
      <c r="T82" s="70"/>
      <c r="U82" s="71">
        <f t="shared" si="19"/>
        <v>15</v>
      </c>
      <c r="V82" s="72">
        <f t="shared" si="20"/>
        <v>15</v>
      </c>
      <c r="W82" s="99"/>
      <c r="X82" s="100"/>
      <c r="Y82" s="85"/>
      <c r="Z82" s="95"/>
      <c r="AA82" s="74"/>
      <c r="AB82" s="75">
        <f t="shared" si="21"/>
        <v>0</v>
      </c>
      <c r="AC82" s="72">
        <f t="shared" si="22"/>
        <v>0</v>
      </c>
      <c r="AD82" s="52">
        <v>2</v>
      </c>
      <c r="AE82" s="71">
        <f t="shared" si="23"/>
        <v>2</v>
      </c>
      <c r="AF82" s="76"/>
      <c r="AG82" s="86"/>
      <c r="AH82" s="77">
        <f t="shared" si="24"/>
        <v>17</v>
      </c>
      <c r="AI82" s="56">
        <v>10</v>
      </c>
      <c r="AJ82" s="56">
        <v>10</v>
      </c>
      <c r="AK82" s="56">
        <v>45</v>
      </c>
      <c r="AL82" s="57">
        <f t="shared" si="25"/>
        <v>82</v>
      </c>
      <c r="AM82" s="55">
        <f t="shared" si="26"/>
        <v>82</v>
      </c>
      <c r="AN82" s="78">
        <f t="shared" si="27"/>
        <v>1.02</v>
      </c>
      <c r="AO82" s="79"/>
      <c r="AP82" s="80">
        <f t="shared" si="36"/>
        <v>1</v>
      </c>
      <c r="AQ82" s="80">
        <f t="shared" si="36"/>
        <v>2</v>
      </c>
      <c r="AR82" s="61"/>
      <c r="AS82" s="62"/>
      <c r="AT82" s="81"/>
      <c r="AU82" s="81"/>
      <c r="AV82" s="81"/>
      <c r="AW82" s="81"/>
      <c r="AX82" s="82"/>
      <c r="AY82" s="83">
        <f t="shared" si="28"/>
        <v>0</v>
      </c>
      <c r="AZ82" s="83">
        <f t="shared" si="37"/>
        <v>0</v>
      </c>
    </row>
    <row r="83" spans="1:52" s="66" customFormat="1" ht="39.75" customHeight="1" thickBot="1" x14ac:dyDescent="0.2">
      <c r="A83" s="101"/>
      <c r="B83" s="101"/>
      <c r="C83" s="101"/>
      <c r="D83" s="101"/>
      <c r="E83" s="101"/>
      <c r="F83" s="40"/>
      <c r="G83" s="90"/>
      <c r="H83" s="158"/>
      <c r="I83" s="92">
        <v>0.51</v>
      </c>
      <c r="J83" s="41">
        <v>0.49</v>
      </c>
      <c r="K83" s="41"/>
      <c r="L83" s="42"/>
      <c r="M83" s="68"/>
      <c r="N83" s="94">
        <f t="shared" si="34"/>
        <v>1</v>
      </c>
      <c r="O83" s="44">
        <v>1</v>
      </c>
      <c r="P83" s="45">
        <v>15</v>
      </c>
      <c r="Q83" s="46">
        <v>15</v>
      </c>
      <c r="R83" s="46"/>
      <c r="S83" s="121"/>
      <c r="T83" s="70"/>
      <c r="U83" s="71">
        <f t="shared" si="19"/>
        <v>15</v>
      </c>
      <c r="V83" s="72">
        <f t="shared" si="20"/>
        <v>15</v>
      </c>
      <c r="W83" s="99"/>
      <c r="X83" s="100"/>
      <c r="Y83" s="85"/>
      <c r="Z83" s="95"/>
      <c r="AA83" s="74"/>
      <c r="AB83" s="75">
        <f t="shared" si="21"/>
        <v>0</v>
      </c>
      <c r="AC83" s="72">
        <f t="shared" si="22"/>
        <v>0</v>
      </c>
      <c r="AD83" s="52">
        <v>2</v>
      </c>
      <c r="AE83" s="71">
        <f t="shared" si="23"/>
        <v>2</v>
      </c>
      <c r="AF83" s="76"/>
      <c r="AG83" s="86"/>
      <c r="AH83" s="77">
        <f t="shared" si="24"/>
        <v>17</v>
      </c>
      <c r="AI83" s="56">
        <v>10</v>
      </c>
      <c r="AJ83" s="56">
        <v>10</v>
      </c>
      <c r="AK83" s="56">
        <v>45</v>
      </c>
      <c r="AL83" s="57">
        <f t="shared" si="25"/>
        <v>82</v>
      </c>
      <c r="AM83" s="55">
        <f t="shared" si="26"/>
        <v>82</v>
      </c>
      <c r="AN83" s="78">
        <f t="shared" si="27"/>
        <v>1.02</v>
      </c>
      <c r="AO83" s="79"/>
      <c r="AP83" s="80">
        <f t="shared" si="36"/>
        <v>1</v>
      </c>
      <c r="AQ83" s="80">
        <f t="shared" si="36"/>
        <v>2</v>
      </c>
      <c r="AR83" s="61"/>
      <c r="AS83" s="62"/>
      <c r="AT83" s="81"/>
      <c r="AU83" s="81"/>
      <c r="AV83" s="81"/>
      <c r="AW83" s="81"/>
      <c r="AX83" s="82"/>
      <c r="AY83" s="83">
        <f t="shared" si="28"/>
        <v>0</v>
      </c>
      <c r="AZ83" s="83">
        <f t="shared" si="37"/>
        <v>0</v>
      </c>
    </row>
    <row r="84" spans="1:52" s="66" customFormat="1" ht="39.75" customHeight="1" thickBot="1" x14ac:dyDescent="0.2">
      <c r="A84" s="101"/>
      <c r="B84" s="101"/>
      <c r="C84" s="101"/>
      <c r="D84" s="101"/>
      <c r="E84" s="101"/>
      <c r="F84" s="40"/>
      <c r="G84" s="90"/>
      <c r="H84" s="158"/>
      <c r="I84" s="92">
        <v>0.51</v>
      </c>
      <c r="J84" s="41">
        <v>0.49</v>
      </c>
      <c r="K84" s="41"/>
      <c r="L84" s="42"/>
      <c r="M84" s="68"/>
      <c r="N84" s="94">
        <f t="shared" si="34"/>
        <v>1</v>
      </c>
      <c r="O84" s="44">
        <v>1</v>
      </c>
      <c r="P84" s="45">
        <v>15</v>
      </c>
      <c r="Q84" s="46">
        <v>15</v>
      </c>
      <c r="R84" s="46"/>
      <c r="S84" s="46"/>
      <c r="T84" s="70"/>
      <c r="U84" s="71">
        <f t="shared" si="19"/>
        <v>15</v>
      </c>
      <c r="V84" s="72">
        <f t="shared" si="20"/>
        <v>15</v>
      </c>
      <c r="W84" s="99"/>
      <c r="X84" s="100"/>
      <c r="Y84" s="85"/>
      <c r="Z84" s="95"/>
      <c r="AA84" s="74"/>
      <c r="AB84" s="75">
        <f t="shared" si="21"/>
        <v>0</v>
      </c>
      <c r="AC84" s="72">
        <f t="shared" si="22"/>
        <v>0</v>
      </c>
      <c r="AD84" s="52">
        <v>2</v>
      </c>
      <c r="AE84" s="71">
        <f t="shared" si="23"/>
        <v>2</v>
      </c>
      <c r="AF84" s="76"/>
      <c r="AG84" s="86"/>
      <c r="AH84" s="77">
        <f t="shared" si="24"/>
        <v>17</v>
      </c>
      <c r="AI84" s="56">
        <v>10</v>
      </c>
      <c r="AJ84" s="56">
        <v>10</v>
      </c>
      <c r="AK84" s="56">
        <v>45</v>
      </c>
      <c r="AL84" s="57">
        <f t="shared" si="25"/>
        <v>82</v>
      </c>
      <c r="AM84" s="55">
        <f t="shared" si="26"/>
        <v>82</v>
      </c>
      <c r="AN84" s="78">
        <f t="shared" si="27"/>
        <v>1.02</v>
      </c>
      <c r="AO84" s="79"/>
      <c r="AP84" s="80">
        <f t="shared" si="36"/>
        <v>1</v>
      </c>
      <c r="AQ84" s="80">
        <f t="shared" si="36"/>
        <v>2</v>
      </c>
      <c r="AR84" s="61"/>
      <c r="AS84" s="62"/>
      <c r="AT84" s="81"/>
      <c r="AU84" s="81"/>
      <c r="AV84" s="81"/>
      <c r="AW84" s="81"/>
      <c r="AX84" s="82"/>
      <c r="AY84" s="83">
        <f t="shared" si="28"/>
        <v>0</v>
      </c>
      <c r="AZ84" s="83">
        <f t="shared" si="37"/>
        <v>0</v>
      </c>
    </row>
    <row r="85" spans="1:52" s="66" customFormat="1" ht="39.75" customHeight="1" thickBot="1" x14ac:dyDescent="0.2">
      <c r="A85" s="101"/>
      <c r="B85" s="101"/>
      <c r="C85" s="101"/>
      <c r="D85" s="101"/>
      <c r="E85" s="101"/>
      <c r="F85" s="40"/>
      <c r="G85" s="90"/>
      <c r="H85" s="158"/>
      <c r="I85" s="92">
        <v>0.51</v>
      </c>
      <c r="J85" s="41">
        <v>0.49</v>
      </c>
      <c r="K85" s="41"/>
      <c r="L85" s="42"/>
      <c r="M85" s="68"/>
      <c r="N85" s="94">
        <f t="shared" si="34"/>
        <v>1</v>
      </c>
      <c r="O85" s="44">
        <v>1</v>
      </c>
      <c r="P85" s="45">
        <v>15</v>
      </c>
      <c r="Q85" s="46">
        <v>15</v>
      </c>
      <c r="R85" s="46"/>
      <c r="S85" s="46"/>
      <c r="T85" s="70"/>
      <c r="U85" s="71">
        <f t="shared" si="19"/>
        <v>15</v>
      </c>
      <c r="V85" s="72">
        <f t="shared" si="20"/>
        <v>15</v>
      </c>
      <c r="W85" s="99"/>
      <c r="X85" s="100"/>
      <c r="Y85" s="85"/>
      <c r="Z85" s="95"/>
      <c r="AA85" s="74"/>
      <c r="AB85" s="75">
        <f t="shared" si="21"/>
        <v>0</v>
      </c>
      <c r="AC85" s="72">
        <f t="shared" si="22"/>
        <v>0</v>
      </c>
      <c r="AD85" s="52">
        <v>2</v>
      </c>
      <c r="AE85" s="71">
        <f t="shared" si="23"/>
        <v>2</v>
      </c>
      <c r="AF85" s="76"/>
      <c r="AG85" s="86"/>
      <c r="AH85" s="77">
        <f t="shared" si="24"/>
        <v>17</v>
      </c>
      <c r="AI85" s="56">
        <v>10</v>
      </c>
      <c r="AJ85" s="56">
        <v>10</v>
      </c>
      <c r="AK85" s="56">
        <v>45</v>
      </c>
      <c r="AL85" s="57">
        <f t="shared" si="25"/>
        <v>82</v>
      </c>
      <c r="AM85" s="55">
        <f t="shared" si="26"/>
        <v>82</v>
      </c>
      <c r="AN85" s="78">
        <f t="shared" si="27"/>
        <v>1.02</v>
      </c>
      <c r="AO85" s="79"/>
      <c r="AP85" s="80">
        <f t="shared" si="36"/>
        <v>1</v>
      </c>
      <c r="AQ85" s="80">
        <f t="shared" si="36"/>
        <v>2</v>
      </c>
      <c r="AR85" s="61"/>
      <c r="AS85" s="62"/>
      <c r="AT85" s="81"/>
      <c r="AU85" s="81"/>
      <c r="AV85" s="81"/>
      <c r="AW85" s="81"/>
      <c r="AX85" s="82"/>
      <c r="AY85" s="83">
        <f t="shared" si="28"/>
        <v>0</v>
      </c>
      <c r="AZ85" s="83">
        <f t="shared" si="37"/>
        <v>0</v>
      </c>
    </row>
    <row r="86" spans="1:52" s="66" customFormat="1" ht="39.75" customHeight="1" thickBot="1" x14ac:dyDescent="0.2">
      <c r="A86" s="101"/>
      <c r="B86" s="101"/>
      <c r="C86" s="101"/>
      <c r="D86" s="101"/>
      <c r="E86" s="101"/>
      <c r="F86" s="40"/>
      <c r="G86" s="90"/>
      <c r="H86" s="158"/>
      <c r="I86" s="92">
        <v>0.51</v>
      </c>
      <c r="J86" s="41">
        <v>0.49</v>
      </c>
      <c r="K86" s="41"/>
      <c r="L86" s="42"/>
      <c r="M86" s="68"/>
      <c r="N86" s="94">
        <f t="shared" si="34"/>
        <v>1</v>
      </c>
      <c r="O86" s="44">
        <v>1</v>
      </c>
      <c r="P86" s="45">
        <v>15</v>
      </c>
      <c r="Q86" s="46">
        <v>15</v>
      </c>
      <c r="R86" s="46"/>
      <c r="S86" s="46"/>
      <c r="T86" s="70"/>
      <c r="U86" s="71">
        <f t="shared" si="19"/>
        <v>15</v>
      </c>
      <c r="V86" s="72">
        <f t="shared" si="20"/>
        <v>15</v>
      </c>
      <c r="W86" s="99"/>
      <c r="X86" s="100"/>
      <c r="Y86" s="85"/>
      <c r="Z86" s="95"/>
      <c r="AA86" s="74"/>
      <c r="AB86" s="75">
        <f t="shared" si="21"/>
        <v>0</v>
      </c>
      <c r="AC86" s="72">
        <f t="shared" si="22"/>
        <v>0</v>
      </c>
      <c r="AD86" s="52">
        <v>2</v>
      </c>
      <c r="AE86" s="71">
        <f t="shared" si="23"/>
        <v>2</v>
      </c>
      <c r="AF86" s="76"/>
      <c r="AG86" s="86"/>
      <c r="AH86" s="77">
        <f t="shared" si="24"/>
        <v>17</v>
      </c>
      <c r="AI86" s="56">
        <v>10</v>
      </c>
      <c r="AJ86" s="56">
        <v>10</v>
      </c>
      <c r="AK86" s="56">
        <v>45</v>
      </c>
      <c r="AL86" s="57">
        <f t="shared" si="25"/>
        <v>82</v>
      </c>
      <c r="AM86" s="55">
        <f t="shared" si="26"/>
        <v>82</v>
      </c>
      <c r="AN86" s="78">
        <f t="shared" si="27"/>
        <v>1.02</v>
      </c>
      <c r="AO86" s="79"/>
      <c r="AP86" s="80">
        <f t="shared" si="36"/>
        <v>1</v>
      </c>
      <c r="AQ86" s="80">
        <f t="shared" si="36"/>
        <v>2</v>
      </c>
      <c r="AR86" s="61"/>
      <c r="AS86" s="62"/>
      <c r="AT86" s="81"/>
      <c r="AU86" s="81"/>
      <c r="AV86" s="81"/>
      <c r="AW86" s="81"/>
      <c r="AX86" s="82"/>
      <c r="AY86" s="83">
        <f t="shared" si="28"/>
        <v>0</v>
      </c>
      <c r="AZ86" s="83">
        <f t="shared" si="37"/>
        <v>0</v>
      </c>
    </row>
    <row r="87" spans="1:52" s="66" customFormat="1" ht="39.75" customHeight="1" thickBot="1" x14ac:dyDescent="0.2">
      <c r="A87" s="101"/>
      <c r="B87" s="101"/>
      <c r="C87" s="101"/>
      <c r="D87" s="101"/>
      <c r="E87" s="101"/>
      <c r="F87" s="40"/>
      <c r="G87" s="90"/>
      <c r="H87" s="158"/>
      <c r="I87" s="92">
        <v>0.51</v>
      </c>
      <c r="J87" s="41">
        <v>0.49</v>
      </c>
      <c r="K87" s="41"/>
      <c r="L87" s="42"/>
      <c r="M87" s="68"/>
      <c r="N87" s="94">
        <f t="shared" si="34"/>
        <v>1</v>
      </c>
      <c r="O87" s="44">
        <v>1</v>
      </c>
      <c r="P87" s="45">
        <v>15</v>
      </c>
      <c r="Q87" s="46">
        <v>15</v>
      </c>
      <c r="R87" s="46"/>
      <c r="S87" s="46"/>
      <c r="T87" s="70"/>
      <c r="U87" s="71">
        <f t="shared" si="19"/>
        <v>15</v>
      </c>
      <c r="V87" s="72">
        <f t="shared" si="20"/>
        <v>15</v>
      </c>
      <c r="W87" s="99"/>
      <c r="X87" s="100"/>
      <c r="Y87" s="85"/>
      <c r="Z87" s="95"/>
      <c r="AA87" s="74"/>
      <c r="AB87" s="75">
        <f t="shared" si="21"/>
        <v>0</v>
      </c>
      <c r="AC87" s="72">
        <f t="shared" si="22"/>
        <v>0</v>
      </c>
      <c r="AD87" s="52">
        <v>2</v>
      </c>
      <c r="AE87" s="71">
        <f t="shared" si="23"/>
        <v>2</v>
      </c>
      <c r="AF87" s="76"/>
      <c r="AG87" s="86"/>
      <c r="AH87" s="77">
        <f t="shared" si="24"/>
        <v>17</v>
      </c>
      <c r="AI87" s="56">
        <v>10</v>
      </c>
      <c r="AJ87" s="56">
        <v>10</v>
      </c>
      <c r="AK87" s="56">
        <v>45</v>
      </c>
      <c r="AL87" s="57">
        <f t="shared" si="25"/>
        <v>82</v>
      </c>
      <c r="AM87" s="55">
        <f t="shared" si="26"/>
        <v>82</v>
      </c>
      <c r="AN87" s="78">
        <f t="shared" si="27"/>
        <v>1.02</v>
      </c>
      <c r="AO87" s="79"/>
      <c r="AP87" s="80">
        <f t="shared" si="36"/>
        <v>1</v>
      </c>
      <c r="AQ87" s="80">
        <f t="shared" si="36"/>
        <v>2</v>
      </c>
      <c r="AR87" s="61"/>
      <c r="AS87" s="62"/>
      <c r="AT87" s="81"/>
      <c r="AU87" s="81"/>
      <c r="AV87" s="81"/>
      <c r="AW87" s="81"/>
      <c r="AX87" s="82"/>
      <c r="AY87" s="83">
        <f t="shared" si="28"/>
        <v>0</v>
      </c>
      <c r="AZ87" s="83">
        <f t="shared" si="37"/>
        <v>0</v>
      </c>
    </row>
    <row r="88" spans="1:52" s="66" customFormat="1" ht="39.75" customHeight="1" thickBot="1" x14ac:dyDescent="0.2">
      <c r="A88" s="101"/>
      <c r="B88" s="101"/>
      <c r="C88" s="101"/>
      <c r="D88" s="101"/>
      <c r="E88" s="101"/>
      <c r="F88" s="40"/>
      <c r="G88" s="90"/>
      <c r="H88" s="158"/>
      <c r="I88" s="92">
        <v>0.51</v>
      </c>
      <c r="J88" s="41">
        <v>0.49</v>
      </c>
      <c r="K88" s="41"/>
      <c r="L88" s="88"/>
      <c r="M88" s="68"/>
      <c r="N88" s="94">
        <f t="shared" si="34"/>
        <v>1</v>
      </c>
      <c r="O88" s="44">
        <v>1</v>
      </c>
      <c r="P88" s="45">
        <v>15</v>
      </c>
      <c r="Q88" s="46">
        <v>15</v>
      </c>
      <c r="R88" s="46"/>
      <c r="S88" s="46"/>
      <c r="T88" s="70"/>
      <c r="U88" s="71">
        <f t="shared" ref="U88:U138" si="38">ROUND(((P88*I88)+(Q88*J88)+(R88*K88)+(S88*L88)+(T88*M88))*O88,2)</f>
        <v>15</v>
      </c>
      <c r="V88" s="72">
        <f t="shared" ref="V88:V138" si="39">IF(U88&gt;=15,15,U88)</f>
        <v>15</v>
      </c>
      <c r="W88" s="99"/>
      <c r="X88" s="100"/>
      <c r="Y88" s="85"/>
      <c r="Z88" s="95"/>
      <c r="AA88" s="74"/>
      <c r="AB88" s="75">
        <f t="shared" ref="AB88:AB138" si="40">ROUND((((W88*I88)+(X88*J88)+(Y88*K88)+(Z88*L88)+(AA88*M88))/$I$2),2)*13</f>
        <v>0</v>
      </c>
      <c r="AC88" s="72">
        <f t="shared" ref="AC88:AC138" si="41">IF(AB88&gt;=13,13,AB88)</f>
        <v>0</v>
      </c>
      <c r="AD88" s="52">
        <v>2</v>
      </c>
      <c r="AE88" s="71">
        <f t="shared" ref="AE88:AE138" si="42">IF((AC88+AD88)&gt;=15,15,(AC88+AD88))</f>
        <v>2</v>
      </c>
      <c r="AF88" s="76"/>
      <c r="AG88" s="86"/>
      <c r="AH88" s="77">
        <f t="shared" ref="AH88:AH138" si="43">IF((V88+AE88+AF88)&gt;=30,30,(V88+AE88+AF88))</f>
        <v>17</v>
      </c>
      <c r="AI88" s="56">
        <v>10</v>
      </c>
      <c r="AJ88" s="56">
        <v>10</v>
      </c>
      <c r="AK88" s="56">
        <v>45</v>
      </c>
      <c r="AL88" s="57">
        <f t="shared" ref="AL88:AL138" si="44">V88+AE88+AF88+AI88+AJ88+AK88+AG88</f>
        <v>82</v>
      </c>
      <c r="AM88" s="55">
        <f t="shared" ref="AM88:AM138" si="45">IF(AH88+AI88+AJ88+AK88+AG88&gt;=95,95,AH88+AI88+AJ88+AK88+AG88)</f>
        <v>82</v>
      </c>
      <c r="AN88" s="78">
        <f t="shared" ref="AN88:AN138" si="46">-((50-((176+(45+(50-AH88)))))/200)</f>
        <v>1.02</v>
      </c>
      <c r="AO88" s="79"/>
      <c r="AP88" s="80">
        <f t="shared" si="36"/>
        <v>1</v>
      </c>
      <c r="AQ88" s="80">
        <f t="shared" si="36"/>
        <v>2</v>
      </c>
      <c r="AR88" s="61"/>
      <c r="AS88" s="62"/>
      <c r="AT88" s="81"/>
      <c r="AU88" s="81"/>
      <c r="AV88" s="81"/>
      <c r="AW88" s="81"/>
      <c r="AX88" s="82"/>
      <c r="AY88" s="83">
        <f t="shared" ref="AY88:AY138" si="47">AT88+AU88+AV88+AW88+AX88</f>
        <v>0</v>
      </c>
      <c r="AZ88" s="83">
        <f t="shared" si="37"/>
        <v>0</v>
      </c>
    </row>
    <row r="89" spans="1:52" s="66" customFormat="1" ht="39.75" customHeight="1" thickBot="1" x14ac:dyDescent="0.2">
      <c r="A89" s="101"/>
      <c r="B89" s="101"/>
      <c r="C89" s="101"/>
      <c r="D89" s="101"/>
      <c r="E89" s="101"/>
      <c r="F89" s="40"/>
      <c r="G89" s="90"/>
      <c r="H89" s="158"/>
      <c r="I89" s="92">
        <v>0.51</v>
      </c>
      <c r="J89" s="41">
        <v>0.49</v>
      </c>
      <c r="K89" s="41"/>
      <c r="L89" s="88"/>
      <c r="M89" s="68"/>
      <c r="N89" s="94">
        <f t="shared" si="34"/>
        <v>1</v>
      </c>
      <c r="O89" s="44">
        <v>1</v>
      </c>
      <c r="P89" s="45">
        <v>15</v>
      </c>
      <c r="Q89" s="46">
        <v>15</v>
      </c>
      <c r="R89" s="46"/>
      <c r="S89" s="46"/>
      <c r="T89" s="70"/>
      <c r="U89" s="71">
        <f t="shared" si="38"/>
        <v>15</v>
      </c>
      <c r="V89" s="72">
        <f t="shared" si="39"/>
        <v>15</v>
      </c>
      <c r="W89" s="99"/>
      <c r="X89" s="100"/>
      <c r="Y89" s="85"/>
      <c r="Z89" s="95"/>
      <c r="AA89" s="74"/>
      <c r="AB89" s="75">
        <f t="shared" si="40"/>
        <v>0</v>
      </c>
      <c r="AC89" s="72">
        <f t="shared" si="41"/>
        <v>0</v>
      </c>
      <c r="AD89" s="52">
        <v>2</v>
      </c>
      <c r="AE89" s="71">
        <f t="shared" si="42"/>
        <v>2</v>
      </c>
      <c r="AF89" s="76"/>
      <c r="AG89" s="86"/>
      <c r="AH89" s="77">
        <f t="shared" si="43"/>
        <v>17</v>
      </c>
      <c r="AI89" s="56">
        <v>10</v>
      </c>
      <c r="AJ89" s="56">
        <v>10</v>
      </c>
      <c r="AK89" s="56">
        <v>45</v>
      </c>
      <c r="AL89" s="57">
        <f t="shared" si="44"/>
        <v>82</v>
      </c>
      <c r="AM89" s="55">
        <f t="shared" si="45"/>
        <v>82</v>
      </c>
      <c r="AN89" s="78">
        <f t="shared" si="46"/>
        <v>1.02</v>
      </c>
      <c r="AO89" s="79"/>
      <c r="AP89" s="80">
        <f t="shared" si="36"/>
        <v>1</v>
      </c>
      <c r="AQ89" s="80">
        <f t="shared" si="36"/>
        <v>2</v>
      </c>
      <c r="AR89" s="61"/>
      <c r="AS89" s="62"/>
      <c r="AT89" s="81"/>
      <c r="AU89" s="81"/>
      <c r="AV89" s="81"/>
      <c r="AW89" s="81"/>
      <c r="AX89" s="82"/>
      <c r="AY89" s="83">
        <f t="shared" si="47"/>
        <v>0</v>
      </c>
      <c r="AZ89" s="83">
        <f t="shared" si="37"/>
        <v>0</v>
      </c>
    </row>
    <row r="90" spans="1:52" s="66" customFormat="1" ht="39.75" customHeight="1" thickBot="1" x14ac:dyDescent="0.2">
      <c r="A90" s="101"/>
      <c r="B90" s="101"/>
      <c r="C90" s="101"/>
      <c r="D90" s="101"/>
      <c r="E90" s="101"/>
      <c r="F90" s="40"/>
      <c r="G90" s="90"/>
      <c r="H90" s="158"/>
      <c r="I90" s="92">
        <v>0.51</v>
      </c>
      <c r="J90" s="41">
        <v>0.49</v>
      </c>
      <c r="K90" s="41"/>
      <c r="L90" s="88"/>
      <c r="M90" s="68"/>
      <c r="N90" s="94">
        <f t="shared" si="34"/>
        <v>1</v>
      </c>
      <c r="O90" s="44">
        <v>1</v>
      </c>
      <c r="P90" s="45">
        <v>15</v>
      </c>
      <c r="Q90" s="46">
        <v>15</v>
      </c>
      <c r="R90" s="46"/>
      <c r="S90" s="46"/>
      <c r="T90" s="70"/>
      <c r="U90" s="71">
        <f t="shared" si="38"/>
        <v>15</v>
      </c>
      <c r="V90" s="72">
        <f t="shared" si="39"/>
        <v>15</v>
      </c>
      <c r="W90" s="99"/>
      <c r="X90" s="100"/>
      <c r="Y90" s="85"/>
      <c r="Z90" s="95"/>
      <c r="AA90" s="74"/>
      <c r="AB90" s="75">
        <f t="shared" si="40"/>
        <v>0</v>
      </c>
      <c r="AC90" s="72">
        <f t="shared" si="41"/>
        <v>0</v>
      </c>
      <c r="AD90" s="52">
        <v>2</v>
      </c>
      <c r="AE90" s="71">
        <f t="shared" si="42"/>
        <v>2</v>
      </c>
      <c r="AF90" s="76"/>
      <c r="AG90" s="86"/>
      <c r="AH90" s="77">
        <f t="shared" si="43"/>
        <v>17</v>
      </c>
      <c r="AI90" s="56">
        <v>10</v>
      </c>
      <c r="AJ90" s="56">
        <v>10</v>
      </c>
      <c r="AK90" s="56">
        <v>45</v>
      </c>
      <c r="AL90" s="57">
        <f t="shared" si="44"/>
        <v>82</v>
      </c>
      <c r="AM90" s="55">
        <f t="shared" si="45"/>
        <v>82</v>
      </c>
      <c r="AN90" s="78">
        <f t="shared" si="46"/>
        <v>1.02</v>
      </c>
      <c r="AO90" s="79"/>
      <c r="AP90" s="80">
        <f t="shared" si="36"/>
        <v>1</v>
      </c>
      <c r="AQ90" s="80">
        <f t="shared" si="36"/>
        <v>2</v>
      </c>
      <c r="AR90" s="61"/>
      <c r="AS90" s="62"/>
      <c r="AT90" s="81"/>
      <c r="AU90" s="81"/>
      <c r="AV90" s="81"/>
      <c r="AW90" s="81"/>
      <c r="AX90" s="82"/>
      <c r="AY90" s="83">
        <f t="shared" si="47"/>
        <v>0</v>
      </c>
      <c r="AZ90" s="83">
        <f t="shared" si="37"/>
        <v>0</v>
      </c>
    </row>
    <row r="91" spans="1:52" s="66" customFormat="1" ht="39.75" customHeight="1" thickBot="1" x14ac:dyDescent="0.2">
      <c r="A91" s="101"/>
      <c r="B91" s="101"/>
      <c r="C91" s="101"/>
      <c r="D91" s="101"/>
      <c r="E91" s="101"/>
      <c r="F91" s="40"/>
      <c r="G91" s="90"/>
      <c r="H91" s="158"/>
      <c r="I91" s="92">
        <v>0.51</v>
      </c>
      <c r="J91" s="41">
        <v>0.49</v>
      </c>
      <c r="K91" s="41"/>
      <c r="L91" s="88"/>
      <c r="M91" s="68"/>
      <c r="N91" s="94">
        <f t="shared" si="34"/>
        <v>1</v>
      </c>
      <c r="O91" s="44">
        <v>1</v>
      </c>
      <c r="P91" s="45">
        <v>15</v>
      </c>
      <c r="Q91" s="46">
        <v>15</v>
      </c>
      <c r="R91" s="46"/>
      <c r="S91" s="46"/>
      <c r="T91" s="70"/>
      <c r="U91" s="71">
        <f t="shared" si="38"/>
        <v>15</v>
      </c>
      <c r="V91" s="72">
        <f t="shared" si="39"/>
        <v>15</v>
      </c>
      <c r="W91" s="99"/>
      <c r="X91" s="100"/>
      <c r="Y91" s="85"/>
      <c r="Z91" s="95"/>
      <c r="AA91" s="74"/>
      <c r="AB91" s="75">
        <f t="shared" si="40"/>
        <v>0</v>
      </c>
      <c r="AC91" s="72">
        <f t="shared" si="41"/>
        <v>0</v>
      </c>
      <c r="AD91" s="52">
        <v>2</v>
      </c>
      <c r="AE91" s="71">
        <f t="shared" si="42"/>
        <v>2</v>
      </c>
      <c r="AF91" s="76"/>
      <c r="AG91" s="86"/>
      <c r="AH91" s="77">
        <f t="shared" si="43"/>
        <v>17</v>
      </c>
      <c r="AI91" s="56">
        <v>10</v>
      </c>
      <c r="AJ91" s="56">
        <v>10</v>
      </c>
      <c r="AK91" s="56">
        <v>45</v>
      </c>
      <c r="AL91" s="57">
        <f t="shared" si="44"/>
        <v>82</v>
      </c>
      <c r="AM91" s="55">
        <f t="shared" si="45"/>
        <v>82</v>
      </c>
      <c r="AN91" s="78">
        <f t="shared" si="46"/>
        <v>1.02</v>
      </c>
      <c r="AO91" s="79"/>
      <c r="AP91" s="80">
        <f t="shared" ref="AP91:AQ110" si="48">100%+AO91</f>
        <v>1</v>
      </c>
      <c r="AQ91" s="80">
        <f t="shared" si="48"/>
        <v>2</v>
      </c>
      <c r="AR91" s="61"/>
      <c r="AS91" s="62"/>
      <c r="AT91" s="81"/>
      <c r="AU91" s="81"/>
      <c r="AV91" s="81"/>
      <c r="AW91" s="81"/>
      <c r="AX91" s="82"/>
      <c r="AY91" s="83">
        <f t="shared" si="47"/>
        <v>0</v>
      </c>
      <c r="AZ91" s="83">
        <f t="shared" si="37"/>
        <v>0</v>
      </c>
    </row>
    <row r="92" spans="1:52" s="66" customFormat="1" ht="39.75" customHeight="1" thickBot="1" x14ac:dyDescent="0.2">
      <c r="A92" s="101"/>
      <c r="B92" s="101"/>
      <c r="C92" s="101"/>
      <c r="D92" s="101"/>
      <c r="E92" s="101"/>
      <c r="F92" s="40"/>
      <c r="G92" s="90"/>
      <c r="H92" s="158"/>
      <c r="I92" s="92">
        <v>0.51</v>
      </c>
      <c r="J92" s="41">
        <v>0.49</v>
      </c>
      <c r="K92" s="41"/>
      <c r="L92" s="88"/>
      <c r="M92" s="68"/>
      <c r="N92" s="94">
        <f t="shared" si="34"/>
        <v>1</v>
      </c>
      <c r="O92" s="44">
        <v>1</v>
      </c>
      <c r="P92" s="45">
        <v>15</v>
      </c>
      <c r="Q92" s="46">
        <v>15</v>
      </c>
      <c r="R92" s="46"/>
      <c r="S92" s="46"/>
      <c r="T92" s="70"/>
      <c r="U92" s="71">
        <f t="shared" si="38"/>
        <v>15</v>
      </c>
      <c r="V92" s="72">
        <f t="shared" si="39"/>
        <v>15</v>
      </c>
      <c r="W92" s="99"/>
      <c r="X92" s="100"/>
      <c r="Y92" s="85"/>
      <c r="Z92" s="95"/>
      <c r="AA92" s="74"/>
      <c r="AB92" s="75">
        <f t="shared" si="40"/>
        <v>0</v>
      </c>
      <c r="AC92" s="72">
        <f t="shared" si="41"/>
        <v>0</v>
      </c>
      <c r="AD92" s="52">
        <v>2</v>
      </c>
      <c r="AE92" s="71">
        <f t="shared" si="42"/>
        <v>2</v>
      </c>
      <c r="AF92" s="76"/>
      <c r="AG92" s="86"/>
      <c r="AH92" s="77">
        <f t="shared" si="43"/>
        <v>17</v>
      </c>
      <c r="AI92" s="56">
        <v>10</v>
      </c>
      <c r="AJ92" s="56">
        <v>10</v>
      </c>
      <c r="AK92" s="56">
        <v>45</v>
      </c>
      <c r="AL92" s="57">
        <f t="shared" si="44"/>
        <v>82</v>
      </c>
      <c r="AM92" s="55">
        <f t="shared" si="45"/>
        <v>82</v>
      </c>
      <c r="AN92" s="78">
        <f t="shared" si="46"/>
        <v>1.02</v>
      </c>
      <c r="AO92" s="79"/>
      <c r="AP92" s="80">
        <f t="shared" si="48"/>
        <v>1</v>
      </c>
      <c r="AQ92" s="80">
        <f t="shared" si="48"/>
        <v>2</v>
      </c>
      <c r="AR92" s="61"/>
      <c r="AS92" s="62"/>
      <c r="AT92" s="81"/>
      <c r="AU92" s="81"/>
      <c r="AV92" s="81"/>
      <c r="AW92" s="81"/>
      <c r="AX92" s="82"/>
      <c r="AY92" s="83">
        <f t="shared" si="47"/>
        <v>0</v>
      </c>
      <c r="AZ92" s="83">
        <f t="shared" si="37"/>
        <v>0</v>
      </c>
    </row>
    <row r="93" spans="1:52" s="66" customFormat="1" ht="39.75" customHeight="1" thickBot="1" x14ac:dyDescent="0.2">
      <c r="A93" s="101"/>
      <c r="B93" s="101"/>
      <c r="C93" s="101"/>
      <c r="D93" s="101"/>
      <c r="E93" s="101"/>
      <c r="F93" s="40"/>
      <c r="G93" s="90"/>
      <c r="H93" s="158"/>
      <c r="I93" s="92">
        <v>0.51</v>
      </c>
      <c r="J93" s="41">
        <v>0.49</v>
      </c>
      <c r="K93" s="41"/>
      <c r="L93" s="88"/>
      <c r="M93" s="68"/>
      <c r="N93" s="94">
        <f t="shared" si="34"/>
        <v>1</v>
      </c>
      <c r="O93" s="44">
        <v>1</v>
      </c>
      <c r="P93" s="45">
        <v>15</v>
      </c>
      <c r="Q93" s="46">
        <v>15</v>
      </c>
      <c r="R93" s="46"/>
      <c r="S93" s="46"/>
      <c r="T93" s="70"/>
      <c r="U93" s="71">
        <f t="shared" si="38"/>
        <v>15</v>
      </c>
      <c r="V93" s="72">
        <f t="shared" si="39"/>
        <v>15</v>
      </c>
      <c r="W93" s="99"/>
      <c r="X93" s="100"/>
      <c r="Y93" s="85"/>
      <c r="Z93" s="73"/>
      <c r="AA93" s="74"/>
      <c r="AB93" s="75">
        <f t="shared" si="40"/>
        <v>0</v>
      </c>
      <c r="AC93" s="72">
        <f t="shared" si="41"/>
        <v>0</v>
      </c>
      <c r="AD93" s="52">
        <v>2</v>
      </c>
      <c r="AE93" s="71">
        <f t="shared" si="42"/>
        <v>2</v>
      </c>
      <c r="AF93" s="76"/>
      <c r="AG93" s="86"/>
      <c r="AH93" s="77">
        <f t="shared" si="43"/>
        <v>17</v>
      </c>
      <c r="AI93" s="56">
        <v>10</v>
      </c>
      <c r="AJ93" s="56">
        <v>10</v>
      </c>
      <c r="AK93" s="56">
        <v>45</v>
      </c>
      <c r="AL93" s="57">
        <f t="shared" si="44"/>
        <v>82</v>
      </c>
      <c r="AM93" s="55">
        <f t="shared" si="45"/>
        <v>82</v>
      </c>
      <c r="AN93" s="78">
        <f t="shared" si="46"/>
        <v>1.02</v>
      </c>
      <c r="AO93" s="79"/>
      <c r="AP93" s="80">
        <f t="shared" si="48"/>
        <v>1</v>
      </c>
      <c r="AQ93" s="80">
        <f t="shared" si="48"/>
        <v>2</v>
      </c>
      <c r="AR93" s="61"/>
      <c r="AS93" s="62"/>
      <c r="AT93" s="81"/>
      <c r="AU93" s="81"/>
      <c r="AV93" s="81"/>
      <c r="AW93" s="81"/>
      <c r="AX93" s="82"/>
      <c r="AY93" s="83">
        <f t="shared" si="47"/>
        <v>0</v>
      </c>
      <c r="AZ93" s="83">
        <f t="shared" si="37"/>
        <v>0</v>
      </c>
    </row>
    <row r="94" spans="1:52" s="66" customFormat="1" ht="39.75" customHeight="1" thickBot="1" x14ac:dyDescent="0.2">
      <c r="A94" s="101"/>
      <c r="B94" s="101"/>
      <c r="C94" s="101"/>
      <c r="D94" s="101"/>
      <c r="E94" s="101"/>
      <c r="F94" s="40"/>
      <c r="G94" s="90"/>
      <c r="H94" s="158"/>
      <c r="I94" s="92">
        <v>0.51</v>
      </c>
      <c r="J94" s="41">
        <v>0.49</v>
      </c>
      <c r="K94" s="41"/>
      <c r="L94" s="88"/>
      <c r="M94" s="68"/>
      <c r="N94" s="94">
        <f t="shared" si="34"/>
        <v>1</v>
      </c>
      <c r="O94" s="44">
        <v>1</v>
      </c>
      <c r="P94" s="45">
        <v>15</v>
      </c>
      <c r="Q94" s="46">
        <v>15</v>
      </c>
      <c r="R94" s="46"/>
      <c r="S94" s="46"/>
      <c r="T94" s="70"/>
      <c r="U94" s="71">
        <f t="shared" si="38"/>
        <v>15</v>
      </c>
      <c r="V94" s="72">
        <f t="shared" si="39"/>
        <v>15</v>
      </c>
      <c r="W94" s="99"/>
      <c r="X94" s="100"/>
      <c r="Y94" s="85"/>
      <c r="Z94" s="73"/>
      <c r="AA94" s="74"/>
      <c r="AB94" s="75">
        <f t="shared" si="40"/>
        <v>0</v>
      </c>
      <c r="AC94" s="72">
        <f t="shared" si="41"/>
        <v>0</v>
      </c>
      <c r="AD94" s="52">
        <v>2</v>
      </c>
      <c r="AE94" s="71">
        <f t="shared" si="42"/>
        <v>2</v>
      </c>
      <c r="AF94" s="76"/>
      <c r="AG94" s="86"/>
      <c r="AH94" s="77">
        <f t="shared" si="43"/>
        <v>17</v>
      </c>
      <c r="AI94" s="56">
        <v>10</v>
      </c>
      <c r="AJ94" s="56">
        <v>10</v>
      </c>
      <c r="AK94" s="56">
        <v>45</v>
      </c>
      <c r="AL94" s="57">
        <f t="shared" si="44"/>
        <v>82</v>
      </c>
      <c r="AM94" s="55">
        <f t="shared" si="45"/>
        <v>82</v>
      </c>
      <c r="AN94" s="78">
        <f t="shared" si="46"/>
        <v>1.02</v>
      </c>
      <c r="AO94" s="79"/>
      <c r="AP94" s="80">
        <f t="shared" si="48"/>
        <v>1</v>
      </c>
      <c r="AQ94" s="80">
        <f t="shared" si="48"/>
        <v>2</v>
      </c>
      <c r="AR94" s="61"/>
      <c r="AS94" s="62"/>
      <c r="AT94" s="81"/>
      <c r="AU94" s="81"/>
      <c r="AV94" s="81"/>
      <c r="AW94" s="81"/>
      <c r="AX94" s="82"/>
      <c r="AY94" s="83">
        <f t="shared" si="47"/>
        <v>0</v>
      </c>
      <c r="AZ94" s="83">
        <f t="shared" si="37"/>
        <v>0</v>
      </c>
    </row>
    <row r="95" spans="1:52" s="66" customFormat="1" ht="39.75" customHeight="1" thickBot="1" x14ac:dyDescent="0.2">
      <c r="A95" s="101"/>
      <c r="B95" s="101"/>
      <c r="C95" s="101"/>
      <c r="D95" s="101"/>
      <c r="E95" s="101"/>
      <c r="F95" s="40"/>
      <c r="G95" s="90"/>
      <c r="H95" s="158"/>
      <c r="I95" s="92">
        <v>0.51</v>
      </c>
      <c r="J95" s="41">
        <v>0.49</v>
      </c>
      <c r="K95" s="41"/>
      <c r="L95" s="88"/>
      <c r="M95" s="68"/>
      <c r="N95" s="94">
        <f t="shared" si="34"/>
        <v>1</v>
      </c>
      <c r="O95" s="44">
        <v>1</v>
      </c>
      <c r="P95" s="45">
        <v>15</v>
      </c>
      <c r="Q95" s="46">
        <v>15</v>
      </c>
      <c r="R95" s="46"/>
      <c r="S95" s="46"/>
      <c r="T95" s="70"/>
      <c r="U95" s="71">
        <f t="shared" si="38"/>
        <v>15</v>
      </c>
      <c r="V95" s="72">
        <f t="shared" si="39"/>
        <v>15</v>
      </c>
      <c r="W95" s="99"/>
      <c r="X95" s="100"/>
      <c r="Y95" s="85"/>
      <c r="Z95" s="73"/>
      <c r="AA95" s="74"/>
      <c r="AB95" s="75">
        <f t="shared" si="40"/>
        <v>0</v>
      </c>
      <c r="AC95" s="72">
        <f t="shared" si="41"/>
        <v>0</v>
      </c>
      <c r="AD95" s="52">
        <v>2</v>
      </c>
      <c r="AE95" s="71">
        <f t="shared" si="42"/>
        <v>2</v>
      </c>
      <c r="AF95" s="76"/>
      <c r="AG95" s="86"/>
      <c r="AH95" s="77">
        <f t="shared" si="43"/>
        <v>17</v>
      </c>
      <c r="AI95" s="56">
        <v>10</v>
      </c>
      <c r="AJ95" s="56">
        <v>10</v>
      </c>
      <c r="AK95" s="56">
        <v>45</v>
      </c>
      <c r="AL95" s="57">
        <f t="shared" si="44"/>
        <v>82</v>
      </c>
      <c r="AM95" s="55">
        <f t="shared" si="45"/>
        <v>82</v>
      </c>
      <c r="AN95" s="78">
        <f t="shared" si="46"/>
        <v>1.02</v>
      </c>
      <c r="AO95" s="79"/>
      <c r="AP95" s="80">
        <f t="shared" si="48"/>
        <v>1</v>
      </c>
      <c r="AQ95" s="80">
        <f t="shared" si="48"/>
        <v>2</v>
      </c>
      <c r="AR95" s="61"/>
      <c r="AS95" s="62"/>
      <c r="AT95" s="81"/>
      <c r="AU95" s="81"/>
      <c r="AV95" s="81"/>
      <c r="AW95" s="81"/>
      <c r="AX95" s="82"/>
      <c r="AY95" s="83">
        <f t="shared" si="47"/>
        <v>0</v>
      </c>
      <c r="AZ95" s="83">
        <f t="shared" si="37"/>
        <v>0</v>
      </c>
    </row>
    <row r="96" spans="1:52" s="66" customFormat="1" ht="39.75" customHeight="1" thickBot="1" x14ac:dyDescent="0.2">
      <c r="A96" s="101"/>
      <c r="B96" s="101"/>
      <c r="C96" s="101"/>
      <c r="D96" s="101"/>
      <c r="E96" s="101"/>
      <c r="F96" s="40"/>
      <c r="G96" s="90"/>
      <c r="H96" s="158"/>
      <c r="I96" s="92">
        <v>0.51</v>
      </c>
      <c r="J96" s="41">
        <v>0.49</v>
      </c>
      <c r="K96" s="41"/>
      <c r="L96" s="88"/>
      <c r="M96" s="68"/>
      <c r="N96" s="94">
        <f t="shared" si="34"/>
        <v>1</v>
      </c>
      <c r="O96" s="44">
        <v>1</v>
      </c>
      <c r="P96" s="45">
        <v>15</v>
      </c>
      <c r="Q96" s="46">
        <v>15</v>
      </c>
      <c r="R96" s="46"/>
      <c r="S96" s="46"/>
      <c r="T96" s="70"/>
      <c r="U96" s="71">
        <f t="shared" si="38"/>
        <v>15</v>
      </c>
      <c r="V96" s="72">
        <f t="shared" si="39"/>
        <v>15</v>
      </c>
      <c r="W96" s="99"/>
      <c r="X96" s="100"/>
      <c r="Y96" s="85"/>
      <c r="Z96" s="73"/>
      <c r="AA96" s="74"/>
      <c r="AB96" s="75">
        <f t="shared" si="40"/>
        <v>0</v>
      </c>
      <c r="AC96" s="72">
        <f t="shared" si="41"/>
        <v>0</v>
      </c>
      <c r="AD96" s="52">
        <v>2</v>
      </c>
      <c r="AE96" s="71">
        <f t="shared" si="42"/>
        <v>2</v>
      </c>
      <c r="AF96" s="76"/>
      <c r="AG96" s="86"/>
      <c r="AH96" s="77">
        <f t="shared" si="43"/>
        <v>17</v>
      </c>
      <c r="AI96" s="56">
        <v>10</v>
      </c>
      <c r="AJ96" s="56">
        <v>10</v>
      </c>
      <c r="AK96" s="56">
        <v>45</v>
      </c>
      <c r="AL96" s="57">
        <f t="shared" si="44"/>
        <v>82</v>
      </c>
      <c r="AM96" s="55">
        <f t="shared" si="45"/>
        <v>82</v>
      </c>
      <c r="AN96" s="78">
        <f t="shared" si="46"/>
        <v>1.02</v>
      </c>
      <c r="AO96" s="79"/>
      <c r="AP96" s="80">
        <f t="shared" si="48"/>
        <v>1</v>
      </c>
      <c r="AQ96" s="80">
        <f t="shared" si="48"/>
        <v>2</v>
      </c>
      <c r="AR96" s="61"/>
      <c r="AS96" s="62"/>
      <c r="AT96" s="81"/>
      <c r="AU96" s="81"/>
      <c r="AV96" s="81"/>
      <c r="AW96" s="81"/>
      <c r="AX96" s="82"/>
      <c r="AY96" s="83">
        <f t="shared" si="47"/>
        <v>0</v>
      </c>
      <c r="AZ96" s="83">
        <f t="shared" si="37"/>
        <v>0</v>
      </c>
    </row>
    <row r="97" spans="1:52" s="66" customFormat="1" ht="39.75" customHeight="1" thickBot="1" x14ac:dyDescent="0.2">
      <c r="A97" s="101"/>
      <c r="B97" s="101"/>
      <c r="C97" s="101"/>
      <c r="D97" s="101"/>
      <c r="E97" s="101"/>
      <c r="F97" s="40"/>
      <c r="G97" s="90"/>
      <c r="H97" s="158"/>
      <c r="I97" s="92">
        <v>0.51</v>
      </c>
      <c r="J97" s="41">
        <v>0.49</v>
      </c>
      <c r="K97" s="41"/>
      <c r="L97" s="88"/>
      <c r="M97" s="68"/>
      <c r="N97" s="94">
        <f t="shared" si="34"/>
        <v>1</v>
      </c>
      <c r="O97" s="44">
        <v>1</v>
      </c>
      <c r="P97" s="45">
        <v>15</v>
      </c>
      <c r="Q97" s="46">
        <v>15</v>
      </c>
      <c r="R97" s="46"/>
      <c r="S97" s="46"/>
      <c r="T97" s="70"/>
      <c r="U97" s="71">
        <f t="shared" si="38"/>
        <v>15</v>
      </c>
      <c r="V97" s="72">
        <f t="shared" si="39"/>
        <v>15</v>
      </c>
      <c r="W97" s="99"/>
      <c r="X97" s="100"/>
      <c r="Y97" s="85"/>
      <c r="Z97" s="73"/>
      <c r="AA97" s="74"/>
      <c r="AB97" s="75">
        <f t="shared" si="40"/>
        <v>0</v>
      </c>
      <c r="AC97" s="72">
        <f t="shared" si="41"/>
        <v>0</v>
      </c>
      <c r="AD97" s="52">
        <v>2</v>
      </c>
      <c r="AE97" s="71">
        <f t="shared" si="42"/>
        <v>2</v>
      </c>
      <c r="AF97" s="76"/>
      <c r="AG97" s="86"/>
      <c r="AH97" s="77">
        <f t="shared" si="43"/>
        <v>17</v>
      </c>
      <c r="AI97" s="56">
        <v>10</v>
      </c>
      <c r="AJ97" s="56">
        <v>10</v>
      </c>
      <c r="AK97" s="56">
        <v>45</v>
      </c>
      <c r="AL97" s="57">
        <f t="shared" si="44"/>
        <v>82</v>
      </c>
      <c r="AM97" s="55">
        <f t="shared" si="45"/>
        <v>82</v>
      </c>
      <c r="AN97" s="78">
        <f t="shared" si="46"/>
        <v>1.02</v>
      </c>
      <c r="AO97" s="79"/>
      <c r="AP97" s="80">
        <f t="shared" si="48"/>
        <v>1</v>
      </c>
      <c r="AQ97" s="80">
        <f t="shared" si="48"/>
        <v>2</v>
      </c>
      <c r="AR97" s="61"/>
      <c r="AS97" s="62"/>
      <c r="AT97" s="81"/>
      <c r="AU97" s="81"/>
      <c r="AV97" s="81"/>
      <c r="AW97" s="81"/>
      <c r="AX97" s="82"/>
      <c r="AY97" s="83">
        <f t="shared" si="47"/>
        <v>0</v>
      </c>
      <c r="AZ97" s="83">
        <f t="shared" si="37"/>
        <v>0</v>
      </c>
    </row>
    <row r="98" spans="1:52" s="66" customFormat="1" ht="39.75" customHeight="1" thickBot="1" x14ac:dyDescent="0.2">
      <c r="A98" s="101"/>
      <c r="B98" s="101"/>
      <c r="C98" s="101"/>
      <c r="D98" s="101"/>
      <c r="E98" s="101"/>
      <c r="F98" s="40"/>
      <c r="G98" s="90"/>
      <c r="H98" s="158"/>
      <c r="I98" s="92">
        <v>0.51</v>
      </c>
      <c r="J98" s="41">
        <v>0.49</v>
      </c>
      <c r="K98" s="41"/>
      <c r="L98" s="88"/>
      <c r="M98" s="68"/>
      <c r="N98" s="94">
        <f t="shared" si="34"/>
        <v>1</v>
      </c>
      <c r="O98" s="44">
        <v>1</v>
      </c>
      <c r="P98" s="45">
        <v>15</v>
      </c>
      <c r="Q98" s="46">
        <v>15</v>
      </c>
      <c r="R98" s="46"/>
      <c r="S98" s="46"/>
      <c r="T98" s="70"/>
      <c r="U98" s="71">
        <f t="shared" si="38"/>
        <v>15</v>
      </c>
      <c r="V98" s="72">
        <f t="shared" si="39"/>
        <v>15</v>
      </c>
      <c r="W98" s="99"/>
      <c r="X98" s="100"/>
      <c r="Y98" s="85"/>
      <c r="Z98" s="73"/>
      <c r="AA98" s="74"/>
      <c r="AB98" s="75">
        <f t="shared" si="40"/>
        <v>0</v>
      </c>
      <c r="AC98" s="72">
        <f t="shared" si="41"/>
        <v>0</v>
      </c>
      <c r="AD98" s="52">
        <v>2</v>
      </c>
      <c r="AE98" s="71">
        <f t="shared" si="42"/>
        <v>2</v>
      </c>
      <c r="AF98" s="76"/>
      <c r="AG98" s="86"/>
      <c r="AH98" s="77">
        <f t="shared" si="43"/>
        <v>17</v>
      </c>
      <c r="AI98" s="56">
        <v>10</v>
      </c>
      <c r="AJ98" s="56">
        <v>10</v>
      </c>
      <c r="AK98" s="56">
        <v>45</v>
      </c>
      <c r="AL98" s="57">
        <f t="shared" si="44"/>
        <v>82</v>
      </c>
      <c r="AM98" s="55">
        <f t="shared" si="45"/>
        <v>82</v>
      </c>
      <c r="AN98" s="78">
        <f t="shared" si="46"/>
        <v>1.02</v>
      </c>
      <c r="AO98" s="79"/>
      <c r="AP98" s="80">
        <f t="shared" si="48"/>
        <v>1</v>
      </c>
      <c r="AQ98" s="80">
        <f t="shared" si="48"/>
        <v>2</v>
      </c>
      <c r="AR98" s="61"/>
      <c r="AS98" s="62"/>
      <c r="AT98" s="81"/>
      <c r="AU98" s="81"/>
      <c r="AV98" s="81"/>
      <c r="AW98" s="81"/>
      <c r="AX98" s="82"/>
      <c r="AY98" s="83">
        <f t="shared" si="47"/>
        <v>0</v>
      </c>
      <c r="AZ98" s="83">
        <f t="shared" si="37"/>
        <v>0</v>
      </c>
    </row>
    <row r="99" spans="1:52" s="66" customFormat="1" ht="39.75" customHeight="1" thickBot="1" x14ac:dyDescent="0.2">
      <c r="A99" s="101"/>
      <c r="B99" s="101"/>
      <c r="C99" s="101"/>
      <c r="D99" s="101"/>
      <c r="E99" s="101"/>
      <c r="F99" s="40"/>
      <c r="G99" s="90"/>
      <c r="H99" s="158"/>
      <c r="I99" s="92">
        <v>0.51</v>
      </c>
      <c r="J99" s="41">
        <v>0.49</v>
      </c>
      <c r="K99" s="41"/>
      <c r="L99" s="88"/>
      <c r="M99" s="68"/>
      <c r="N99" s="94">
        <f t="shared" si="34"/>
        <v>1</v>
      </c>
      <c r="O99" s="44">
        <v>1</v>
      </c>
      <c r="P99" s="45">
        <v>15</v>
      </c>
      <c r="Q99" s="46">
        <v>15</v>
      </c>
      <c r="R99" s="46"/>
      <c r="S99" s="46"/>
      <c r="T99" s="70"/>
      <c r="U99" s="71">
        <f t="shared" si="38"/>
        <v>15</v>
      </c>
      <c r="V99" s="72">
        <f t="shared" si="39"/>
        <v>15</v>
      </c>
      <c r="W99" s="99"/>
      <c r="X99" s="100"/>
      <c r="Y99" s="85"/>
      <c r="Z99" s="73"/>
      <c r="AA99" s="74"/>
      <c r="AB99" s="75">
        <f t="shared" si="40"/>
        <v>0</v>
      </c>
      <c r="AC99" s="72">
        <f t="shared" si="41"/>
        <v>0</v>
      </c>
      <c r="AD99" s="52">
        <v>2</v>
      </c>
      <c r="AE99" s="71">
        <f t="shared" si="42"/>
        <v>2</v>
      </c>
      <c r="AF99" s="76"/>
      <c r="AG99" s="86"/>
      <c r="AH99" s="77">
        <f t="shared" si="43"/>
        <v>17</v>
      </c>
      <c r="AI99" s="56">
        <v>10</v>
      </c>
      <c r="AJ99" s="56">
        <v>10</v>
      </c>
      <c r="AK99" s="56">
        <v>45</v>
      </c>
      <c r="AL99" s="57">
        <f t="shared" si="44"/>
        <v>82</v>
      </c>
      <c r="AM99" s="55">
        <f t="shared" si="45"/>
        <v>82</v>
      </c>
      <c r="AN99" s="78">
        <f t="shared" si="46"/>
        <v>1.02</v>
      </c>
      <c r="AO99" s="79"/>
      <c r="AP99" s="80">
        <f t="shared" si="48"/>
        <v>1</v>
      </c>
      <c r="AQ99" s="80">
        <f t="shared" si="48"/>
        <v>2</v>
      </c>
      <c r="AR99" s="61"/>
      <c r="AS99" s="62"/>
      <c r="AT99" s="81"/>
      <c r="AU99" s="81"/>
      <c r="AV99" s="81"/>
      <c r="AW99" s="81"/>
      <c r="AX99" s="82"/>
      <c r="AY99" s="83">
        <f t="shared" si="47"/>
        <v>0</v>
      </c>
      <c r="AZ99" s="83">
        <f t="shared" si="37"/>
        <v>0</v>
      </c>
    </row>
    <row r="100" spans="1:52" s="23" customFormat="1" ht="39.75" customHeight="1" thickBot="1" x14ac:dyDescent="0.2">
      <c r="A100" s="101"/>
      <c r="B100" s="101"/>
      <c r="C100" s="101"/>
      <c r="D100" s="101"/>
      <c r="E100" s="101"/>
      <c r="F100" s="40"/>
      <c r="G100" s="90"/>
      <c r="H100" s="158"/>
      <c r="I100" s="92">
        <v>0.51</v>
      </c>
      <c r="J100" s="41">
        <v>0.49</v>
      </c>
      <c r="K100" s="41"/>
      <c r="L100" s="88"/>
      <c r="M100" s="68"/>
      <c r="N100" s="94">
        <f t="shared" si="34"/>
        <v>1</v>
      </c>
      <c r="O100" s="44">
        <v>1</v>
      </c>
      <c r="P100" s="45">
        <v>15</v>
      </c>
      <c r="Q100" s="46">
        <v>15</v>
      </c>
      <c r="R100" s="46"/>
      <c r="S100" s="46"/>
      <c r="T100" s="70"/>
      <c r="U100" s="71">
        <f t="shared" si="38"/>
        <v>15</v>
      </c>
      <c r="V100" s="72">
        <f t="shared" si="39"/>
        <v>15</v>
      </c>
      <c r="W100" s="99"/>
      <c r="X100" s="100"/>
      <c r="Y100" s="85"/>
      <c r="Z100" s="73"/>
      <c r="AA100" s="74"/>
      <c r="AB100" s="75">
        <f t="shared" si="40"/>
        <v>0</v>
      </c>
      <c r="AC100" s="72">
        <f t="shared" si="41"/>
        <v>0</v>
      </c>
      <c r="AD100" s="52">
        <v>2</v>
      </c>
      <c r="AE100" s="71">
        <f t="shared" si="42"/>
        <v>2</v>
      </c>
      <c r="AF100" s="76"/>
      <c r="AG100" s="86"/>
      <c r="AH100" s="77">
        <f t="shared" si="43"/>
        <v>17</v>
      </c>
      <c r="AI100" s="56">
        <v>10</v>
      </c>
      <c r="AJ100" s="56">
        <v>10</v>
      </c>
      <c r="AK100" s="56">
        <v>45</v>
      </c>
      <c r="AL100" s="57">
        <f t="shared" si="44"/>
        <v>82</v>
      </c>
      <c r="AM100" s="55">
        <f t="shared" si="45"/>
        <v>82</v>
      </c>
      <c r="AN100" s="78">
        <f t="shared" si="46"/>
        <v>1.02</v>
      </c>
      <c r="AO100" s="79"/>
      <c r="AP100" s="80">
        <f t="shared" si="48"/>
        <v>1</v>
      </c>
      <c r="AQ100" s="80">
        <f t="shared" si="48"/>
        <v>2</v>
      </c>
      <c r="AR100" s="61"/>
      <c r="AS100" s="62"/>
      <c r="AT100" s="81"/>
      <c r="AU100" s="81"/>
      <c r="AV100" s="81"/>
      <c r="AW100" s="81"/>
      <c r="AX100" s="82"/>
      <c r="AY100" s="83">
        <f t="shared" si="47"/>
        <v>0</v>
      </c>
      <c r="AZ100" s="83">
        <f t="shared" si="37"/>
        <v>0</v>
      </c>
    </row>
    <row r="101" spans="1:52" s="66" customFormat="1" ht="39.75" customHeight="1" thickBot="1" x14ac:dyDescent="0.2">
      <c r="A101" s="101"/>
      <c r="B101" s="101"/>
      <c r="C101" s="101"/>
      <c r="D101" s="101"/>
      <c r="E101" s="101"/>
      <c r="F101" s="40"/>
      <c r="G101" s="90"/>
      <c r="H101" s="158"/>
      <c r="I101" s="92">
        <v>0.51</v>
      </c>
      <c r="J101" s="41">
        <v>0.49</v>
      </c>
      <c r="K101" s="41"/>
      <c r="L101" s="88"/>
      <c r="M101" s="68"/>
      <c r="N101" s="94">
        <f t="shared" si="34"/>
        <v>1</v>
      </c>
      <c r="O101" s="44">
        <v>1</v>
      </c>
      <c r="P101" s="45">
        <v>15</v>
      </c>
      <c r="Q101" s="46">
        <v>15</v>
      </c>
      <c r="R101" s="46"/>
      <c r="S101" s="46"/>
      <c r="T101" s="70"/>
      <c r="U101" s="71">
        <f t="shared" si="38"/>
        <v>15</v>
      </c>
      <c r="V101" s="72">
        <f t="shared" si="39"/>
        <v>15</v>
      </c>
      <c r="W101" s="99"/>
      <c r="X101" s="100"/>
      <c r="Y101" s="85"/>
      <c r="Z101" s="73"/>
      <c r="AA101" s="74"/>
      <c r="AB101" s="75">
        <f t="shared" si="40"/>
        <v>0</v>
      </c>
      <c r="AC101" s="72">
        <f t="shared" si="41"/>
        <v>0</v>
      </c>
      <c r="AD101" s="52">
        <v>2</v>
      </c>
      <c r="AE101" s="71">
        <f t="shared" si="42"/>
        <v>2</v>
      </c>
      <c r="AF101" s="76"/>
      <c r="AG101" s="86"/>
      <c r="AH101" s="77">
        <f t="shared" si="43"/>
        <v>17</v>
      </c>
      <c r="AI101" s="56">
        <v>10</v>
      </c>
      <c r="AJ101" s="56">
        <v>10</v>
      </c>
      <c r="AK101" s="56">
        <v>45</v>
      </c>
      <c r="AL101" s="57">
        <f t="shared" si="44"/>
        <v>82</v>
      </c>
      <c r="AM101" s="55">
        <f t="shared" si="45"/>
        <v>82</v>
      </c>
      <c r="AN101" s="78">
        <f t="shared" si="46"/>
        <v>1.02</v>
      </c>
      <c r="AO101" s="79"/>
      <c r="AP101" s="80">
        <f t="shared" si="48"/>
        <v>1</v>
      </c>
      <c r="AQ101" s="80">
        <f t="shared" si="48"/>
        <v>2</v>
      </c>
      <c r="AR101" s="61"/>
      <c r="AS101" s="62"/>
      <c r="AT101" s="81"/>
      <c r="AU101" s="81"/>
      <c r="AV101" s="81"/>
      <c r="AW101" s="81"/>
      <c r="AX101" s="82"/>
      <c r="AY101" s="83">
        <f t="shared" si="47"/>
        <v>0</v>
      </c>
      <c r="AZ101" s="83">
        <f t="shared" si="37"/>
        <v>0</v>
      </c>
    </row>
    <row r="102" spans="1:52" s="66" customFormat="1" ht="39.75" customHeight="1" thickBot="1" x14ac:dyDescent="0.2">
      <c r="A102" s="101"/>
      <c r="B102" s="101"/>
      <c r="C102" s="101"/>
      <c r="D102" s="101"/>
      <c r="E102" s="101"/>
      <c r="F102" s="40"/>
      <c r="G102" s="90"/>
      <c r="H102" s="158"/>
      <c r="I102" s="92">
        <v>0.51</v>
      </c>
      <c r="J102" s="41">
        <v>0.49</v>
      </c>
      <c r="K102" s="41"/>
      <c r="L102" s="88"/>
      <c r="M102" s="68"/>
      <c r="N102" s="94">
        <f t="shared" si="34"/>
        <v>1</v>
      </c>
      <c r="O102" s="44">
        <v>1</v>
      </c>
      <c r="P102" s="45">
        <v>15</v>
      </c>
      <c r="Q102" s="46">
        <v>15</v>
      </c>
      <c r="R102" s="46"/>
      <c r="S102" s="46"/>
      <c r="T102" s="70"/>
      <c r="U102" s="71">
        <f t="shared" si="38"/>
        <v>15</v>
      </c>
      <c r="V102" s="72">
        <f t="shared" si="39"/>
        <v>15</v>
      </c>
      <c r="W102" s="99"/>
      <c r="X102" s="100"/>
      <c r="Y102" s="85"/>
      <c r="Z102" s="73"/>
      <c r="AA102" s="74"/>
      <c r="AB102" s="75">
        <f t="shared" si="40"/>
        <v>0</v>
      </c>
      <c r="AC102" s="72">
        <f t="shared" si="41"/>
        <v>0</v>
      </c>
      <c r="AD102" s="52">
        <v>2</v>
      </c>
      <c r="AE102" s="71">
        <f t="shared" si="42"/>
        <v>2</v>
      </c>
      <c r="AF102" s="76"/>
      <c r="AG102" s="86"/>
      <c r="AH102" s="77">
        <f t="shared" si="43"/>
        <v>17</v>
      </c>
      <c r="AI102" s="56">
        <v>10</v>
      </c>
      <c r="AJ102" s="56">
        <v>10</v>
      </c>
      <c r="AK102" s="56">
        <v>45</v>
      </c>
      <c r="AL102" s="57">
        <f t="shared" si="44"/>
        <v>82</v>
      </c>
      <c r="AM102" s="55">
        <f t="shared" si="45"/>
        <v>82</v>
      </c>
      <c r="AN102" s="78">
        <f t="shared" si="46"/>
        <v>1.02</v>
      </c>
      <c r="AO102" s="79"/>
      <c r="AP102" s="80">
        <f t="shared" si="48"/>
        <v>1</v>
      </c>
      <c r="AQ102" s="80">
        <f t="shared" si="48"/>
        <v>2</v>
      </c>
      <c r="AR102" s="61"/>
      <c r="AS102" s="62"/>
      <c r="AT102" s="81"/>
      <c r="AU102" s="81"/>
      <c r="AV102" s="81"/>
      <c r="AW102" s="81"/>
      <c r="AX102" s="82"/>
      <c r="AY102" s="83">
        <f t="shared" si="47"/>
        <v>0</v>
      </c>
      <c r="AZ102" s="83">
        <f t="shared" si="37"/>
        <v>0</v>
      </c>
    </row>
    <row r="103" spans="1:52" s="66" customFormat="1" ht="39.75" customHeight="1" thickBot="1" x14ac:dyDescent="0.2">
      <c r="A103" s="101"/>
      <c r="B103" s="101"/>
      <c r="C103" s="101"/>
      <c r="D103" s="101"/>
      <c r="E103" s="101"/>
      <c r="F103" s="40"/>
      <c r="G103" s="90"/>
      <c r="H103" s="158"/>
      <c r="I103" s="92">
        <v>0.51</v>
      </c>
      <c r="J103" s="41">
        <v>0.49</v>
      </c>
      <c r="K103" s="41"/>
      <c r="L103" s="88"/>
      <c r="M103" s="68"/>
      <c r="N103" s="94">
        <f t="shared" si="34"/>
        <v>1</v>
      </c>
      <c r="O103" s="44">
        <v>1</v>
      </c>
      <c r="P103" s="45">
        <v>15</v>
      </c>
      <c r="Q103" s="46">
        <v>15</v>
      </c>
      <c r="R103" s="46"/>
      <c r="S103" s="46"/>
      <c r="T103" s="70"/>
      <c r="U103" s="71">
        <f t="shared" si="38"/>
        <v>15</v>
      </c>
      <c r="V103" s="72">
        <f t="shared" si="39"/>
        <v>15</v>
      </c>
      <c r="W103" s="99"/>
      <c r="X103" s="100"/>
      <c r="Y103" s="85"/>
      <c r="Z103" s="73"/>
      <c r="AA103" s="74"/>
      <c r="AB103" s="75">
        <f t="shared" si="40"/>
        <v>0</v>
      </c>
      <c r="AC103" s="72">
        <f t="shared" si="41"/>
        <v>0</v>
      </c>
      <c r="AD103" s="52">
        <v>2</v>
      </c>
      <c r="AE103" s="71">
        <f t="shared" si="42"/>
        <v>2</v>
      </c>
      <c r="AF103" s="76"/>
      <c r="AG103" s="86"/>
      <c r="AH103" s="77">
        <f t="shared" si="43"/>
        <v>17</v>
      </c>
      <c r="AI103" s="56">
        <v>10</v>
      </c>
      <c r="AJ103" s="56">
        <v>10</v>
      </c>
      <c r="AK103" s="56">
        <v>45</v>
      </c>
      <c r="AL103" s="57">
        <f t="shared" si="44"/>
        <v>82</v>
      </c>
      <c r="AM103" s="55">
        <f t="shared" si="45"/>
        <v>82</v>
      </c>
      <c r="AN103" s="78">
        <f t="shared" si="46"/>
        <v>1.02</v>
      </c>
      <c r="AO103" s="79"/>
      <c r="AP103" s="80">
        <f t="shared" si="48"/>
        <v>1</v>
      </c>
      <c r="AQ103" s="80">
        <f t="shared" si="48"/>
        <v>2</v>
      </c>
      <c r="AR103" s="61"/>
      <c r="AS103" s="62"/>
      <c r="AT103" s="81"/>
      <c r="AU103" s="81"/>
      <c r="AV103" s="81"/>
      <c r="AW103" s="81"/>
      <c r="AX103" s="82"/>
      <c r="AY103" s="83">
        <f t="shared" si="47"/>
        <v>0</v>
      </c>
      <c r="AZ103" s="83">
        <f t="shared" si="37"/>
        <v>0</v>
      </c>
    </row>
    <row r="104" spans="1:52" s="66" customFormat="1" ht="39.75" customHeight="1" thickBot="1" x14ac:dyDescent="0.2">
      <c r="A104" s="101"/>
      <c r="B104" s="101"/>
      <c r="C104" s="101"/>
      <c r="D104" s="101"/>
      <c r="E104" s="101"/>
      <c r="F104" s="40"/>
      <c r="G104" s="90"/>
      <c r="H104" s="158"/>
      <c r="I104" s="92">
        <v>0.51</v>
      </c>
      <c r="J104" s="41">
        <v>0.49</v>
      </c>
      <c r="K104" s="41"/>
      <c r="L104" s="88"/>
      <c r="M104" s="68"/>
      <c r="N104" s="94">
        <f t="shared" si="34"/>
        <v>1</v>
      </c>
      <c r="O104" s="44">
        <v>1</v>
      </c>
      <c r="P104" s="45">
        <v>15</v>
      </c>
      <c r="Q104" s="46">
        <v>15</v>
      </c>
      <c r="R104" s="46"/>
      <c r="S104" s="46"/>
      <c r="T104" s="70"/>
      <c r="U104" s="71">
        <f t="shared" si="38"/>
        <v>15</v>
      </c>
      <c r="V104" s="72">
        <f t="shared" si="39"/>
        <v>15</v>
      </c>
      <c r="W104" s="99"/>
      <c r="X104" s="100"/>
      <c r="Y104" s="85"/>
      <c r="Z104" s="73"/>
      <c r="AA104" s="74"/>
      <c r="AB104" s="75">
        <f t="shared" si="40"/>
        <v>0</v>
      </c>
      <c r="AC104" s="72">
        <f t="shared" si="41"/>
        <v>0</v>
      </c>
      <c r="AD104" s="52">
        <v>2</v>
      </c>
      <c r="AE104" s="71">
        <f t="shared" si="42"/>
        <v>2</v>
      </c>
      <c r="AF104" s="76"/>
      <c r="AG104" s="86"/>
      <c r="AH104" s="77">
        <f t="shared" si="43"/>
        <v>17</v>
      </c>
      <c r="AI104" s="56">
        <v>10</v>
      </c>
      <c r="AJ104" s="56">
        <v>10</v>
      </c>
      <c r="AK104" s="56">
        <v>45</v>
      </c>
      <c r="AL104" s="57">
        <f t="shared" si="44"/>
        <v>82</v>
      </c>
      <c r="AM104" s="55">
        <f t="shared" si="45"/>
        <v>82</v>
      </c>
      <c r="AN104" s="78">
        <f t="shared" si="46"/>
        <v>1.02</v>
      </c>
      <c r="AO104" s="79"/>
      <c r="AP104" s="80">
        <f t="shared" si="48"/>
        <v>1</v>
      </c>
      <c r="AQ104" s="80">
        <f t="shared" si="48"/>
        <v>2</v>
      </c>
      <c r="AR104" s="61"/>
      <c r="AS104" s="62"/>
      <c r="AT104" s="81"/>
      <c r="AU104" s="81"/>
      <c r="AV104" s="81"/>
      <c r="AW104" s="81"/>
      <c r="AX104" s="82"/>
      <c r="AY104" s="83">
        <f t="shared" si="47"/>
        <v>0</v>
      </c>
      <c r="AZ104" s="83">
        <f t="shared" si="37"/>
        <v>0</v>
      </c>
    </row>
    <row r="105" spans="1:52" s="66" customFormat="1" ht="39.75" customHeight="1" thickBot="1" x14ac:dyDescent="0.2">
      <c r="A105" s="101"/>
      <c r="B105" s="101"/>
      <c r="C105" s="101"/>
      <c r="D105" s="101"/>
      <c r="E105" s="101"/>
      <c r="F105" s="40"/>
      <c r="G105" s="90"/>
      <c r="H105" s="158"/>
      <c r="I105" s="92">
        <v>0.51</v>
      </c>
      <c r="J105" s="41">
        <v>0.49</v>
      </c>
      <c r="K105" s="41"/>
      <c r="L105" s="88"/>
      <c r="M105" s="68"/>
      <c r="N105" s="94">
        <f t="shared" si="34"/>
        <v>1</v>
      </c>
      <c r="O105" s="44">
        <v>1</v>
      </c>
      <c r="P105" s="45">
        <v>15</v>
      </c>
      <c r="Q105" s="46">
        <v>15</v>
      </c>
      <c r="R105" s="46"/>
      <c r="S105" s="46"/>
      <c r="T105" s="70"/>
      <c r="U105" s="71">
        <f t="shared" si="38"/>
        <v>15</v>
      </c>
      <c r="V105" s="72">
        <f t="shared" si="39"/>
        <v>15</v>
      </c>
      <c r="W105" s="99"/>
      <c r="X105" s="100"/>
      <c r="Y105" s="85"/>
      <c r="Z105" s="73"/>
      <c r="AA105" s="74"/>
      <c r="AB105" s="75">
        <f t="shared" si="40"/>
        <v>0</v>
      </c>
      <c r="AC105" s="72">
        <f t="shared" si="41"/>
        <v>0</v>
      </c>
      <c r="AD105" s="52">
        <v>2</v>
      </c>
      <c r="AE105" s="71">
        <f t="shared" si="42"/>
        <v>2</v>
      </c>
      <c r="AF105" s="76"/>
      <c r="AG105" s="86"/>
      <c r="AH105" s="77">
        <f t="shared" si="43"/>
        <v>17</v>
      </c>
      <c r="AI105" s="56">
        <v>10</v>
      </c>
      <c r="AJ105" s="56">
        <v>10</v>
      </c>
      <c r="AK105" s="56">
        <v>45</v>
      </c>
      <c r="AL105" s="57">
        <f t="shared" si="44"/>
        <v>82</v>
      </c>
      <c r="AM105" s="55">
        <f t="shared" si="45"/>
        <v>82</v>
      </c>
      <c r="AN105" s="78">
        <f t="shared" si="46"/>
        <v>1.02</v>
      </c>
      <c r="AO105" s="79"/>
      <c r="AP105" s="80">
        <f t="shared" si="48"/>
        <v>1</v>
      </c>
      <c r="AQ105" s="80">
        <f t="shared" si="48"/>
        <v>2</v>
      </c>
      <c r="AR105" s="61"/>
      <c r="AS105" s="62"/>
      <c r="AT105" s="81"/>
      <c r="AU105" s="81"/>
      <c r="AV105" s="81"/>
      <c r="AW105" s="81"/>
      <c r="AX105" s="82"/>
      <c r="AY105" s="83">
        <f t="shared" si="47"/>
        <v>0</v>
      </c>
      <c r="AZ105" s="83">
        <f t="shared" si="37"/>
        <v>0</v>
      </c>
    </row>
    <row r="106" spans="1:52" s="66" customFormat="1" ht="39.75" customHeight="1" thickBot="1" x14ac:dyDescent="0.2">
      <c r="A106" s="101"/>
      <c r="B106" s="101"/>
      <c r="C106" s="101"/>
      <c r="D106" s="101"/>
      <c r="E106" s="101"/>
      <c r="F106" s="40"/>
      <c r="G106" s="90"/>
      <c r="H106" s="158"/>
      <c r="I106" s="92">
        <v>0.51</v>
      </c>
      <c r="J106" s="41">
        <v>0.49</v>
      </c>
      <c r="K106" s="41"/>
      <c r="L106" s="88"/>
      <c r="M106" s="68"/>
      <c r="N106" s="94">
        <f t="shared" si="34"/>
        <v>1</v>
      </c>
      <c r="O106" s="44">
        <v>1</v>
      </c>
      <c r="P106" s="45">
        <v>15</v>
      </c>
      <c r="Q106" s="46">
        <v>15</v>
      </c>
      <c r="R106" s="46"/>
      <c r="S106" s="46"/>
      <c r="T106" s="70"/>
      <c r="U106" s="71">
        <f t="shared" si="38"/>
        <v>15</v>
      </c>
      <c r="V106" s="72">
        <f t="shared" si="39"/>
        <v>15</v>
      </c>
      <c r="W106" s="99"/>
      <c r="X106" s="100"/>
      <c r="Y106" s="85"/>
      <c r="Z106" s="73"/>
      <c r="AA106" s="74"/>
      <c r="AB106" s="75">
        <f t="shared" si="40"/>
        <v>0</v>
      </c>
      <c r="AC106" s="72">
        <f t="shared" si="41"/>
        <v>0</v>
      </c>
      <c r="AD106" s="52">
        <v>2</v>
      </c>
      <c r="AE106" s="71">
        <f t="shared" si="42"/>
        <v>2</v>
      </c>
      <c r="AF106" s="76"/>
      <c r="AG106" s="86"/>
      <c r="AH106" s="77">
        <f t="shared" si="43"/>
        <v>17</v>
      </c>
      <c r="AI106" s="56">
        <v>10</v>
      </c>
      <c r="AJ106" s="56">
        <v>10</v>
      </c>
      <c r="AK106" s="56">
        <v>45</v>
      </c>
      <c r="AL106" s="57">
        <f t="shared" si="44"/>
        <v>82</v>
      </c>
      <c r="AM106" s="55">
        <f t="shared" si="45"/>
        <v>82</v>
      </c>
      <c r="AN106" s="78">
        <f t="shared" si="46"/>
        <v>1.02</v>
      </c>
      <c r="AO106" s="79"/>
      <c r="AP106" s="80">
        <f t="shared" si="48"/>
        <v>1</v>
      </c>
      <c r="AQ106" s="80">
        <f t="shared" si="48"/>
        <v>2</v>
      </c>
      <c r="AR106" s="61"/>
      <c r="AS106" s="62"/>
      <c r="AT106" s="81"/>
      <c r="AU106" s="81"/>
      <c r="AV106" s="81"/>
      <c r="AW106" s="81"/>
      <c r="AX106" s="82"/>
      <c r="AY106" s="83">
        <f t="shared" si="47"/>
        <v>0</v>
      </c>
      <c r="AZ106" s="83">
        <f t="shared" si="37"/>
        <v>0</v>
      </c>
    </row>
    <row r="107" spans="1:52" s="66" customFormat="1" ht="39.75" customHeight="1" thickBot="1" x14ac:dyDescent="0.2">
      <c r="A107" s="101"/>
      <c r="B107" s="101"/>
      <c r="C107" s="101"/>
      <c r="D107" s="101"/>
      <c r="E107" s="101"/>
      <c r="F107" s="101"/>
      <c r="G107" s="90"/>
      <c r="H107" s="158"/>
      <c r="I107" s="92">
        <v>0.51</v>
      </c>
      <c r="J107" s="41">
        <v>0.49</v>
      </c>
      <c r="K107" s="41"/>
      <c r="L107" s="88"/>
      <c r="M107" s="68"/>
      <c r="N107" s="94">
        <f t="shared" si="34"/>
        <v>1</v>
      </c>
      <c r="O107" s="44">
        <v>1</v>
      </c>
      <c r="P107" s="45">
        <v>15</v>
      </c>
      <c r="Q107" s="46">
        <v>15</v>
      </c>
      <c r="R107" s="46"/>
      <c r="S107" s="46"/>
      <c r="T107" s="70"/>
      <c r="U107" s="71">
        <f t="shared" si="38"/>
        <v>15</v>
      </c>
      <c r="V107" s="72">
        <f t="shared" si="39"/>
        <v>15</v>
      </c>
      <c r="W107" s="99"/>
      <c r="X107" s="100"/>
      <c r="Y107" s="85"/>
      <c r="Z107" s="73"/>
      <c r="AA107" s="74"/>
      <c r="AB107" s="75">
        <f t="shared" si="40"/>
        <v>0</v>
      </c>
      <c r="AC107" s="72">
        <f t="shared" si="41"/>
        <v>0</v>
      </c>
      <c r="AD107" s="52">
        <v>2</v>
      </c>
      <c r="AE107" s="71">
        <f t="shared" si="42"/>
        <v>2</v>
      </c>
      <c r="AF107" s="76"/>
      <c r="AG107" s="86"/>
      <c r="AH107" s="77">
        <f t="shared" si="43"/>
        <v>17</v>
      </c>
      <c r="AI107" s="56">
        <v>10</v>
      </c>
      <c r="AJ107" s="56">
        <v>10</v>
      </c>
      <c r="AK107" s="56">
        <v>45</v>
      </c>
      <c r="AL107" s="57">
        <f t="shared" si="44"/>
        <v>82</v>
      </c>
      <c r="AM107" s="55">
        <f t="shared" si="45"/>
        <v>82</v>
      </c>
      <c r="AN107" s="78">
        <f t="shared" si="46"/>
        <v>1.02</v>
      </c>
      <c r="AO107" s="79"/>
      <c r="AP107" s="80">
        <f t="shared" si="48"/>
        <v>1</v>
      </c>
      <c r="AQ107" s="80">
        <f t="shared" si="48"/>
        <v>2</v>
      </c>
      <c r="AR107" s="61"/>
      <c r="AS107" s="62"/>
      <c r="AT107" s="81"/>
      <c r="AU107" s="81"/>
      <c r="AV107" s="81"/>
      <c r="AW107" s="81"/>
      <c r="AX107" s="82"/>
      <c r="AY107" s="83">
        <f t="shared" si="47"/>
        <v>0</v>
      </c>
      <c r="AZ107" s="83">
        <f t="shared" si="37"/>
        <v>0</v>
      </c>
    </row>
    <row r="108" spans="1:52" s="66" customFormat="1" ht="39.75" customHeight="1" thickBot="1" x14ac:dyDescent="0.2">
      <c r="A108" s="101"/>
      <c r="B108" s="101"/>
      <c r="C108" s="101"/>
      <c r="D108" s="101"/>
      <c r="E108" s="101"/>
      <c r="F108" s="101"/>
      <c r="G108" s="90"/>
      <c r="H108" s="158"/>
      <c r="I108" s="92">
        <v>0.51</v>
      </c>
      <c r="J108" s="41">
        <v>0.49</v>
      </c>
      <c r="K108" s="41"/>
      <c r="L108" s="88"/>
      <c r="M108" s="68"/>
      <c r="N108" s="94">
        <f t="shared" si="34"/>
        <v>1</v>
      </c>
      <c r="O108" s="44">
        <v>1</v>
      </c>
      <c r="P108" s="45">
        <v>15</v>
      </c>
      <c r="Q108" s="46">
        <v>15</v>
      </c>
      <c r="R108" s="46"/>
      <c r="S108" s="46"/>
      <c r="T108" s="70"/>
      <c r="U108" s="71">
        <f t="shared" si="38"/>
        <v>15</v>
      </c>
      <c r="V108" s="72">
        <f t="shared" si="39"/>
        <v>15</v>
      </c>
      <c r="W108" s="99"/>
      <c r="X108" s="100"/>
      <c r="Y108" s="85"/>
      <c r="Z108" s="73"/>
      <c r="AA108" s="74"/>
      <c r="AB108" s="75">
        <f t="shared" si="40"/>
        <v>0</v>
      </c>
      <c r="AC108" s="72">
        <f t="shared" si="41"/>
        <v>0</v>
      </c>
      <c r="AD108" s="52">
        <v>2</v>
      </c>
      <c r="AE108" s="71">
        <f t="shared" si="42"/>
        <v>2</v>
      </c>
      <c r="AF108" s="76"/>
      <c r="AG108" s="86"/>
      <c r="AH108" s="77">
        <f t="shared" si="43"/>
        <v>17</v>
      </c>
      <c r="AI108" s="56">
        <v>10</v>
      </c>
      <c r="AJ108" s="56">
        <v>10</v>
      </c>
      <c r="AK108" s="56">
        <v>45</v>
      </c>
      <c r="AL108" s="57">
        <f t="shared" si="44"/>
        <v>82</v>
      </c>
      <c r="AM108" s="55">
        <f t="shared" si="45"/>
        <v>82</v>
      </c>
      <c r="AN108" s="78">
        <f t="shared" si="46"/>
        <v>1.02</v>
      </c>
      <c r="AO108" s="79"/>
      <c r="AP108" s="80">
        <f t="shared" si="48"/>
        <v>1</v>
      </c>
      <c r="AQ108" s="80">
        <f t="shared" si="48"/>
        <v>2</v>
      </c>
      <c r="AR108" s="61"/>
      <c r="AS108" s="62"/>
      <c r="AT108" s="81"/>
      <c r="AU108" s="81"/>
      <c r="AV108" s="81"/>
      <c r="AW108" s="81"/>
      <c r="AX108" s="82"/>
      <c r="AY108" s="83">
        <f t="shared" si="47"/>
        <v>0</v>
      </c>
      <c r="AZ108" s="83">
        <f t="shared" si="37"/>
        <v>0</v>
      </c>
    </row>
    <row r="109" spans="1:52" s="23" customFormat="1" ht="39.75" customHeight="1" thickBot="1" x14ac:dyDescent="0.2">
      <c r="A109" s="101"/>
      <c r="B109" s="101"/>
      <c r="C109" s="101"/>
      <c r="D109" s="101"/>
      <c r="E109" s="101"/>
      <c r="F109" s="101"/>
      <c r="G109" s="90"/>
      <c r="H109" s="158"/>
      <c r="I109" s="92">
        <v>0.51</v>
      </c>
      <c r="J109" s="41">
        <v>0.49</v>
      </c>
      <c r="K109" s="41"/>
      <c r="L109" s="88"/>
      <c r="M109" s="68"/>
      <c r="N109" s="94">
        <f t="shared" si="34"/>
        <v>1</v>
      </c>
      <c r="O109" s="44">
        <v>1</v>
      </c>
      <c r="P109" s="45">
        <v>15</v>
      </c>
      <c r="Q109" s="46">
        <v>15</v>
      </c>
      <c r="R109" s="46"/>
      <c r="S109" s="46"/>
      <c r="T109" s="70"/>
      <c r="U109" s="71">
        <f t="shared" si="38"/>
        <v>15</v>
      </c>
      <c r="V109" s="72">
        <f t="shared" si="39"/>
        <v>15</v>
      </c>
      <c r="W109" s="99"/>
      <c r="X109" s="100"/>
      <c r="Y109" s="85"/>
      <c r="Z109" s="73"/>
      <c r="AA109" s="74"/>
      <c r="AB109" s="75">
        <f t="shared" si="40"/>
        <v>0</v>
      </c>
      <c r="AC109" s="72">
        <f t="shared" si="41"/>
        <v>0</v>
      </c>
      <c r="AD109" s="52">
        <v>2</v>
      </c>
      <c r="AE109" s="71">
        <f t="shared" si="42"/>
        <v>2</v>
      </c>
      <c r="AF109" s="76"/>
      <c r="AG109" s="86"/>
      <c r="AH109" s="77">
        <f t="shared" si="43"/>
        <v>17</v>
      </c>
      <c r="AI109" s="56">
        <v>10</v>
      </c>
      <c r="AJ109" s="56">
        <v>10</v>
      </c>
      <c r="AK109" s="56">
        <v>45</v>
      </c>
      <c r="AL109" s="57">
        <f t="shared" si="44"/>
        <v>82</v>
      </c>
      <c r="AM109" s="55">
        <f t="shared" si="45"/>
        <v>82</v>
      </c>
      <c r="AN109" s="78">
        <f t="shared" si="46"/>
        <v>1.02</v>
      </c>
      <c r="AO109" s="79"/>
      <c r="AP109" s="80">
        <f t="shared" si="48"/>
        <v>1</v>
      </c>
      <c r="AQ109" s="80">
        <f t="shared" si="48"/>
        <v>2</v>
      </c>
      <c r="AR109" s="61"/>
      <c r="AS109" s="62"/>
      <c r="AT109" s="81"/>
      <c r="AU109" s="81"/>
      <c r="AV109" s="81"/>
      <c r="AW109" s="81"/>
      <c r="AX109" s="82"/>
      <c r="AY109" s="83">
        <f t="shared" si="47"/>
        <v>0</v>
      </c>
      <c r="AZ109" s="83">
        <f t="shared" si="37"/>
        <v>0</v>
      </c>
    </row>
    <row r="110" spans="1:52" s="66" customFormat="1" ht="39.75" customHeight="1" thickBot="1" x14ac:dyDescent="0.2">
      <c r="A110" s="101"/>
      <c r="B110" s="101"/>
      <c r="C110" s="101"/>
      <c r="D110" s="101"/>
      <c r="E110" s="101"/>
      <c r="F110" s="101"/>
      <c r="G110" s="90"/>
      <c r="H110" s="158"/>
      <c r="I110" s="92">
        <v>0.51</v>
      </c>
      <c r="J110" s="41">
        <v>0.49</v>
      </c>
      <c r="K110" s="41"/>
      <c r="L110" s="88"/>
      <c r="M110" s="68"/>
      <c r="N110" s="94">
        <f t="shared" si="34"/>
        <v>1</v>
      </c>
      <c r="O110" s="44">
        <v>1</v>
      </c>
      <c r="P110" s="45">
        <v>15</v>
      </c>
      <c r="Q110" s="46">
        <v>15</v>
      </c>
      <c r="R110" s="46"/>
      <c r="S110" s="46"/>
      <c r="T110" s="70"/>
      <c r="U110" s="71">
        <f t="shared" si="38"/>
        <v>15</v>
      </c>
      <c r="V110" s="72">
        <f t="shared" si="39"/>
        <v>15</v>
      </c>
      <c r="W110" s="99"/>
      <c r="X110" s="100"/>
      <c r="Y110" s="85"/>
      <c r="Z110" s="73"/>
      <c r="AA110" s="74"/>
      <c r="AB110" s="75">
        <f t="shared" si="40"/>
        <v>0</v>
      </c>
      <c r="AC110" s="72">
        <f t="shared" si="41"/>
        <v>0</v>
      </c>
      <c r="AD110" s="52">
        <v>2</v>
      </c>
      <c r="AE110" s="71">
        <f t="shared" si="42"/>
        <v>2</v>
      </c>
      <c r="AF110" s="76"/>
      <c r="AG110" s="86"/>
      <c r="AH110" s="77">
        <f t="shared" si="43"/>
        <v>17</v>
      </c>
      <c r="AI110" s="56">
        <v>10</v>
      </c>
      <c r="AJ110" s="56">
        <v>10</v>
      </c>
      <c r="AK110" s="56">
        <v>45</v>
      </c>
      <c r="AL110" s="57">
        <f t="shared" si="44"/>
        <v>82</v>
      </c>
      <c r="AM110" s="55">
        <f t="shared" si="45"/>
        <v>82</v>
      </c>
      <c r="AN110" s="78">
        <f t="shared" si="46"/>
        <v>1.02</v>
      </c>
      <c r="AO110" s="79"/>
      <c r="AP110" s="80">
        <f t="shared" si="48"/>
        <v>1</v>
      </c>
      <c r="AQ110" s="80">
        <f t="shared" si="48"/>
        <v>2</v>
      </c>
      <c r="AR110" s="61"/>
      <c r="AS110" s="62"/>
      <c r="AT110" s="81"/>
      <c r="AU110" s="81"/>
      <c r="AV110" s="81"/>
      <c r="AW110" s="81"/>
      <c r="AX110" s="82"/>
      <c r="AY110" s="83">
        <f t="shared" si="47"/>
        <v>0</v>
      </c>
      <c r="AZ110" s="83">
        <f t="shared" si="37"/>
        <v>0</v>
      </c>
    </row>
    <row r="111" spans="1:52" s="66" customFormat="1" ht="39.75" customHeight="1" thickBot="1" x14ac:dyDescent="0.2">
      <c r="A111" s="101"/>
      <c r="B111" s="101"/>
      <c r="C111" s="101"/>
      <c r="D111" s="101"/>
      <c r="E111" s="101"/>
      <c r="F111" s="101"/>
      <c r="G111" s="90"/>
      <c r="H111" s="158"/>
      <c r="I111" s="92">
        <v>0.51</v>
      </c>
      <c r="J111" s="41">
        <v>0.49</v>
      </c>
      <c r="K111" s="41"/>
      <c r="L111" s="88"/>
      <c r="M111" s="68"/>
      <c r="N111" s="94">
        <f t="shared" si="34"/>
        <v>1</v>
      </c>
      <c r="O111" s="44">
        <v>1</v>
      </c>
      <c r="P111" s="45">
        <v>15</v>
      </c>
      <c r="Q111" s="46">
        <v>15</v>
      </c>
      <c r="R111" s="46"/>
      <c r="S111" s="46"/>
      <c r="T111" s="70"/>
      <c r="U111" s="71">
        <f t="shared" si="38"/>
        <v>15</v>
      </c>
      <c r="V111" s="72">
        <f t="shared" si="39"/>
        <v>15</v>
      </c>
      <c r="W111" s="99"/>
      <c r="X111" s="100"/>
      <c r="Y111" s="85"/>
      <c r="Z111" s="73"/>
      <c r="AA111" s="74"/>
      <c r="AB111" s="75">
        <f t="shared" si="40"/>
        <v>0</v>
      </c>
      <c r="AC111" s="72">
        <f t="shared" si="41"/>
        <v>0</v>
      </c>
      <c r="AD111" s="52">
        <v>2</v>
      </c>
      <c r="AE111" s="71">
        <f t="shared" si="42"/>
        <v>2</v>
      </c>
      <c r="AF111" s="76"/>
      <c r="AG111" s="86"/>
      <c r="AH111" s="77">
        <f t="shared" si="43"/>
        <v>17</v>
      </c>
      <c r="AI111" s="56">
        <v>10</v>
      </c>
      <c r="AJ111" s="56">
        <v>10</v>
      </c>
      <c r="AK111" s="56">
        <v>45</v>
      </c>
      <c r="AL111" s="57">
        <f t="shared" si="44"/>
        <v>82</v>
      </c>
      <c r="AM111" s="55">
        <f t="shared" si="45"/>
        <v>82</v>
      </c>
      <c r="AN111" s="78">
        <f t="shared" si="46"/>
        <v>1.02</v>
      </c>
      <c r="AO111" s="79"/>
      <c r="AP111" s="80">
        <f t="shared" ref="AP111:AQ130" si="49">100%+AO111</f>
        <v>1</v>
      </c>
      <c r="AQ111" s="80">
        <f t="shared" si="49"/>
        <v>2</v>
      </c>
      <c r="AR111" s="61"/>
      <c r="AS111" s="62"/>
      <c r="AT111" s="81"/>
      <c r="AU111" s="81"/>
      <c r="AV111" s="81"/>
      <c r="AW111" s="81"/>
      <c r="AX111" s="82"/>
      <c r="AY111" s="83">
        <f t="shared" si="47"/>
        <v>0</v>
      </c>
      <c r="AZ111" s="83">
        <f t="shared" si="37"/>
        <v>0</v>
      </c>
    </row>
    <row r="112" spans="1:52" s="23" customFormat="1" ht="39.75" customHeight="1" thickBot="1" x14ac:dyDescent="0.2">
      <c r="A112" s="101"/>
      <c r="B112" s="101"/>
      <c r="C112" s="101"/>
      <c r="D112" s="101"/>
      <c r="E112" s="101"/>
      <c r="F112" s="101"/>
      <c r="G112" s="90"/>
      <c r="H112" s="158"/>
      <c r="I112" s="92">
        <v>0.51</v>
      </c>
      <c r="J112" s="41">
        <v>0.49</v>
      </c>
      <c r="K112" s="41"/>
      <c r="L112" s="88"/>
      <c r="M112" s="68"/>
      <c r="N112" s="94">
        <f t="shared" si="34"/>
        <v>1</v>
      </c>
      <c r="O112" s="44">
        <v>1</v>
      </c>
      <c r="P112" s="45">
        <v>15</v>
      </c>
      <c r="Q112" s="46">
        <v>15</v>
      </c>
      <c r="R112" s="46"/>
      <c r="S112" s="46"/>
      <c r="T112" s="70"/>
      <c r="U112" s="71">
        <f t="shared" si="38"/>
        <v>15</v>
      </c>
      <c r="V112" s="72">
        <f t="shared" si="39"/>
        <v>15</v>
      </c>
      <c r="W112" s="99"/>
      <c r="X112" s="100"/>
      <c r="Y112" s="85"/>
      <c r="Z112" s="73"/>
      <c r="AA112" s="74"/>
      <c r="AB112" s="75">
        <f t="shared" si="40"/>
        <v>0</v>
      </c>
      <c r="AC112" s="72">
        <f t="shared" si="41"/>
        <v>0</v>
      </c>
      <c r="AD112" s="52">
        <v>2</v>
      </c>
      <c r="AE112" s="71">
        <f t="shared" si="42"/>
        <v>2</v>
      </c>
      <c r="AF112" s="76"/>
      <c r="AG112" s="86"/>
      <c r="AH112" s="77">
        <f t="shared" si="43"/>
        <v>17</v>
      </c>
      <c r="AI112" s="56">
        <v>10</v>
      </c>
      <c r="AJ112" s="56">
        <v>10</v>
      </c>
      <c r="AK112" s="56">
        <v>45</v>
      </c>
      <c r="AL112" s="57">
        <f t="shared" si="44"/>
        <v>82</v>
      </c>
      <c r="AM112" s="55">
        <f t="shared" si="45"/>
        <v>82</v>
      </c>
      <c r="AN112" s="78">
        <f t="shared" si="46"/>
        <v>1.02</v>
      </c>
      <c r="AO112" s="79"/>
      <c r="AP112" s="80">
        <f t="shared" si="49"/>
        <v>1</v>
      </c>
      <c r="AQ112" s="80">
        <f t="shared" si="49"/>
        <v>2</v>
      </c>
      <c r="AR112" s="61"/>
      <c r="AS112" s="62"/>
      <c r="AT112" s="81"/>
      <c r="AU112" s="81"/>
      <c r="AV112" s="81"/>
      <c r="AW112" s="81"/>
      <c r="AX112" s="82"/>
      <c r="AY112" s="83">
        <f t="shared" si="47"/>
        <v>0</v>
      </c>
      <c r="AZ112" s="83">
        <f t="shared" si="37"/>
        <v>0</v>
      </c>
    </row>
    <row r="113" spans="1:52" s="66" customFormat="1" ht="39.75" customHeight="1" thickBot="1" x14ac:dyDescent="0.2">
      <c r="A113" s="101"/>
      <c r="B113" s="101"/>
      <c r="C113" s="101"/>
      <c r="D113" s="101"/>
      <c r="E113" s="101"/>
      <c r="F113" s="101"/>
      <c r="G113" s="90"/>
      <c r="H113" s="158"/>
      <c r="I113" s="92">
        <v>0.51</v>
      </c>
      <c r="J113" s="41">
        <v>0.49</v>
      </c>
      <c r="K113" s="41"/>
      <c r="L113" s="88"/>
      <c r="M113" s="68"/>
      <c r="N113" s="94">
        <f t="shared" si="34"/>
        <v>1</v>
      </c>
      <c r="O113" s="44">
        <v>1</v>
      </c>
      <c r="P113" s="45">
        <v>15</v>
      </c>
      <c r="Q113" s="46">
        <v>15</v>
      </c>
      <c r="R113" s="46"/>
      <c r="S113" s="46"/>
      <c r="T113" s="70"/>
      <c r="U113" s="71">
        <f t="shared" si="38"/>
        <v>15</v>
      </c>
      <c r="V113" s="72">
        <f t="shared" si="39"/>
        <v>15</v>
      </c>
      <c r="W113" s="99"/>
      <c r="X113" s="100"/>
      <c r="Y113" s="85"/>
      <c r="Z113" s="73"/>
      <c r="AA113" s="74"/>
      <c r="AB113" s="75">
        <f t="shared" si="40"/>
        <v>0</v>
      </c>
      <c r="AC113" s="72">
        <f t="shared" si="41"/>
        <v>0</v>
      </c>
      <c r="AD113" s="52">
        <v>2</v>
      </c>
      <c r="AE113" s="71">
        <f t="shared" si="42"/>
        <v>2</v>
      </c>
      <c r="AF113" s="76"/>
      <c r="AG113" s="86"/>
      <c r="AH113" s="77">
        <f t="shared" si="43"/>
        <v>17</v>
      </c>
      <c r="AI113" s="56">
        <v>10</v>
      </c>
      <c r="AJ113" s="56">
        <v>10</v>
      </c>
      <c r="AK113" s="56">
        <v>45</v>
      </c>
      <c r="AL113" s="57">
        <f t="shared" si="44"/>
        <v>82</v>
      </c>
      <c r="AM113" s="55">
        <f t="shared" si="45"/>
        <v>82</v>
      </c>
      <c r="AN113" s="78">
        <f t="shared" si="46"/>
        <v>1.02</v>
      </c>
      <c r="AO113" s="79"/>
      <c r="AP113" s="80">
        <f t="shared" si="49"/>
        <v>1</v>
      </c>
      <c r="AQ113" s="80">
        <f t="shared" si="49"/>
        <v>2</v>
      </c>
      <c r="AR113" s="61"/>
      <c r="AS113" s="62"/>
      <c r="AT113" s="81"/>
      <c r="AU113" s="81"/>
      <c r="AV113" s="81"/>
      <c r="AW113" s="81"/>
      <c r="AX113" s="82"/>
      <c r="AY113" s="83">
        <f t="shared" si="47"/>
        <v>0</v>
      </c>
      <c r="AZ113" s="83">
        <f t="shared" si="37"/>
        <v>0</v>
      </c>
    </row>
    <row r="114" spans="1:52" s="66" customFormat="1" ht="39.75" customHeight="1" thickBot="1" x14ac:dyDescent="0.2">
      <c r="A114" s="101"/>
      <c r="B114" s="101"/>
      <c r="C114" s="101"/>
      <c r="D114" s="101"/>
      <c r="E114" s="101"/>
      <c r="F114" s="101"/>
      <c r="G114" s="90"/>
      <c r="H114" s="158"/>
      <c r="I114" s="92">
        <v>0.51</v>
      </c>
      <c r="J114" s="41">
        <v>0.49</v>
      </c>
      <c r="K114" s="41"/>
      <c r="L114" s="88"/>
      <c r="M114" s="68"/>
      <c r="N114" s="94">
        <f t="shared" si="34"/>
        <v>1</v>
      </c>
      <c r="O114" s="44">
        <v>1</v>
      </c>
      <c r="P114" s="45">
        <v>15</v>
      </c>
      <c r="Q114" s="46">
        <v>15</v>
      </c>
      <c r="R114" s="46"/>
      <c r="S114" s="46"/>
      <c r="T114" s="70"/>
      <c r="U114" s="71">
        <f t="shared" si="38"/>
        <v>15</v>
      </c>
      <c r="V114" s="72">
        <f t="shared" si="39"/>
        <v>15</v>
      </c>
      <c r="W114" s="99"/>
      <c r="X114" s="100"/>
      <c r="Y114" s="85"/>
      <c r="Z114" s="73"/>
      <c r="AA114" s="74"/>
      <c r="AB114" s="75">
        <f t="shared" si="40"/>
        <v>0</v>
      </c>
      <c r="AC114" s="72">
        <f t="shared" si="41"/>
        <v>0</v>
      </c>
      <c r="AD114" s="52">
        <v>2</v>
      </c>
      <c r="AE114" s="71">
        <f t="shared" si="42"/>
        <v>2</v>
      </c>
      <c r="AF114" s="76"/>
      <c r="AG114" s="86"/>
      <c r="AH114" s="77">
        <f t="shared" si="43"/>
        <v>17</v>
      </c>
      <c r="AI114" s="56">
        <v>10</v>
      </c>
      <c r="AJ114" s="56">
        <v>10</v>
      </c>
      <c r="AK114" s="56">
        <v>45</v>
      </c>
      <c r="AL114" s="57">
        <f t="shared" si="44"/>
        <v>82</v>
      </c>
      <c r="AM114" s="55">
        <f t="shared" si="45"/>
        <v>82</v>
      </c>
      <c r="AN114" s="78">
        <f t="shared" si="46"/>
        <v>1.02</v>
      </c>
      <c r="AO114" s="79"/>
      <c r="AP114" s="80">
        <f t="shared" si="49"/>
        <v>1</v>
      </c>
      <c r="AQ114" s="80">
        <f t="shared" si="49"/>
        <v>2</v>
      </c>
      <c r="AR114" s="61"/>
      <c r="AS114" s="62"/>
      <c r="AT114" s="81"/>
      <c r="AU114" s="81"/>
      <c r="AV114" s="81"/>
      <c r="AW114" s="81"/>
      <c r="AX114" s="82"/>
      <c r="AY114" s="83">
        <f t="shared" si="47"/>
        <v>0</v>
      </c>
      <c r="AZ114" s="83">
        <f t="shared" si="37"/>
        <v>0</v>
      </c>
    </row>
    <row r="115" spans="1:52" s="66" customFormat="1" ht="39.75" customHeight="1" thickBot="1" x14ac:dyDescent="0.2">
      <c r="A115" s="101"/>
      <c r="B115" s="101"/>
      <c r="C115" s="101"/>
      <c r="D115" s="101"/>
      <c r="E115" s="101"/>
      <c r="F115" s="101"/>
      <c r="G115" s="90"/>
      <c r="H115" s="158"/>
      <c r="I115" s="92">
        <v>0.51</v>
      </c>
      <c r="J115" s="41">
        <v>0.49</v>
      </c>
      <c r="K115" s="41"/>
      <c r="L115" s="88"/>
      <c r="M115" s="68"/>
      <c r="N115" s="94">
        <f t="shared" ref="N115:N138" si="50">SUM(I115:M115)</f>
        <v>1</v>
      </c>
      <c r="O115" s="44">
        <v>1</v>
      </c>
      <c r="P115" s="45">
        <v>15</v>
      </c>
      <c r="Q115" s="46">
        <v>15</v>
      </c>
      <c r="R115" s="46"/>
      <c r="S115" s="46"/>
      <c r="T115" s="70"/>
      <c r="U115" s="71">
        <f t="shared" si="38"/>
        <v>15</v>
      </c>
      <c r="V115" s="72">
        <f t="shared" si="39"/>
        <v>15</v>
      </c>
      <c r="W115" s="99"/>
      <c r="X115" s="100"/>
      <c r="Y115" s="85"/>
      <c r="Z115" s="73"/>
      <c r="AA115" s="74"/>
      <c r="AB115" s="75">
        <f t="shared" si="40"/>
        <v>0</v>
      </c>
      <c r="AC115" s="72">
        <f t="shared" si="41"/>
        <v>0</v>
      </c>
      <c r="AD115" s="52">
        <v>2</v>
      </c>
      <c r="AE115" s="71">
        <f t="shared" si="42"/>
        <v>2</v>
      </c>
      <c r="AF115" s="76"/>
      <c r="AG115" s="86"/>
      <c r="AH115" s="77">
        <f t="shared" si="43"/>
        <v>17</v>
      </c>
      <c r="AI115" s="56">
        <v>10</v>
      </c>
      <c r="AJ115" s="56">
        <v>10</v>
      </c>
      <c r="AK115" s="56">
        <v>45</v>
      </c>
      <c r="AL115" s="57">
        <f t="shared" si="44"/>
        <v>82</v>
      </c>
      <c r="AM115" s="55">
        <f t="shared" si="45"/>
        <v>82</v>
      </c>
      <c r="AN115" s="78">
        <f t="shared" si="46"/>
        <v>1.02</v>
      </c>
      <c r="AO115" s="79"/>
      <c r="AP115" s="80">
        <f t="shared" si="49"/>
        <v>1</v>
      </c>
      <c r="AQ115" s="80">
        <f t="shared" si="49"/>
        <v>2</v>
      </c>
      <c r="AR115" s="61"/>
      <c r="AS115" s="62"/>
      <c r="AT115" s="81"/>
      <c r="AU115" s="81"/>
      <c r="AV115" s="81"/>
      <c r="AW115" s="81"/>
      <c r="AX115" s="82"/>
      <c r="AY115" s="83">
        <f t="shared" si="47"/>
        <v>0</v>
      </c>
      <c r="AZ115" s="83">
        <f t="shared" si="37"/>
        <v>0</v>
      </c>
    </row>
    <row r="116" spans="1:52" s="66" customFormat="1" ht="39.75" customHeight="1" thickBot="1" x14ac:dyDescent="0.2">
      <c r="A116" s="101"/>
      <c r="B116" s="101"/>
      <c r="C116" s="101"/>
      <c r="D116" s="101"/>
      <c r="E116" s="101"/>
      <c r="F116" s="101"/>
      <c r="G116" s="90"/>
      <c r="H116" s="158"/>
      <c r="I116" s="92">
        <v>0.51</v>
      </c>
      <c r="J116" s="41">
        <v>0.49</v>
      </c>
      <c r="K116" s="41"/>
      <c r="L116" s="88"/>
      <c r="M116" s="68"/>
      <c r="N116" s="94">
        <f t="shared" si="50"/>
        <v>1</v>
      </c>
      <c r="O116" s="44">
        <v>1</v>
      </c>
      <c r="P116" s="45">
        <v>15</v>
      </c>
      <c r="Q116" s="46">
        <v>15</v>
      </c>
      <c r="R116" s="46"/>
      <c r="S116" s="46"/>
      <c r="T116" s="70"/>
      <c r="U116" s="71">
        <f t="shared" si="38"/>
        <v>15</v>
      </c>
      <c r="V116" s="72">
        <f t="shared" si="39"/>
        <v>15</v>
      </c>
      <c r="W116" s="99"/>
      <c r="X116" s="100"/>
      <c r="Y116" s="85"/>
      <c r="Z116" s="73"/>
      <c r="AA116" s="74"/>
      <c r="AB116" s="75">
        <f t="shared" si="40"/>
        <v>0</v>
      </c>
      <c r="AC116" s="72">
        <f t="shared" si="41"/>
        <v>0</v>
      </c>
      <c r="AD116" s="52">
        <v>2</v>
      </c>
      <c r="AE116" s="71">
        <f t="shared" si="42"/>
        <v>2</v>
      </c>
      <c r="AF116" s="76"/>
      <c r="AG116" s="86"/>
      <c r="AH116" s="77">
        <f t="shared" si="43"/>
        <v>17</v>
      </c>
      <c r="AI116" s="56">
        <v>10</v>
      </c>
      <c r="AJ116" s="56">
        <v>10</v>
      </c>
      <c r="AK116" s="56">
        <v>45</v>
      </c>
      <c r="AL116" s="57">
        <f t="shared" si="44"/>
        <v>82</v>
      </c>
      <c r="AM116" s="55">
        <f t="shared" si="45"/>
        <v>82</v>
      </c>
      <c r="AN116" s="78">
        <f t="shared" si="46"/>
        <v>1.02</v>
      </c>
      <c r="AO116" s="79"/>
      <c r="AP116" s="80">
        <f t="shared" si="49"/>
        <v>1</v>
      </c>
      <c r="AQ116" s="80">
        <f t="shared" si="49"/>
        <v>2</v>
      </c>
      <c r="AR116" s="61"/>
      <c r="AS116" s="62"/>
      <c r="AT116" s="81"/>
      <c r="AU116" s="81"/>
      <c r="AV116" s="81"/>
      <c r="AW116" s="81"/>
      <c r="AX116" s="82"/>
      <c r="AY116" s="83">
        <f t="shared" si="47"/>
        <v>0</v>
      </c>
      <c r="AZ116" s="83">
        <f t="shared" si="37"/>
        <v>0</v>
      </c>
    </row>
    <row r="117" spans="1:52" s="66" customFormat="1" ht="39.75" customHeight="1" thickBot="1" x14ac:dyDescent="0.2">
      <c r="A117" s="101"/>
      <c r="B117" s="101"/>
      <c r="C117" s="101"/>
      <c r="D117" s="101"/>
      <c r="E117" s="101"/>
      <c r="F117" s="101"/>
      <c r="G117" s="90"/>
      <c r="H117" s="158"/>
      <c r="I117" s="92">
        <v>0.51</v>
      </c>
      <c r="J117" s="41">
        <v>0.49</v>
      </c>
      <c r="K117" s="41"/>
      <c r="L117" s="88"/>
      <c r="M117" s="68"/>
      <c r="N117" s="94">
        <f t="shared" si="50"/>
        <v>1</v>
      </c>
      <c r="O117" s="44">
        <v>1</v>
      </c>
      <c r="P117" s="45">
        <v>15</v>
      </c>
      <c r="Q117" s="46">
        <v>15</v>
      </c>
      <c r="R117" s="46"/>
      <c r="S117" s="46"/>
      <c r="T117" s="70"/>
      <c r="U117" s="71">
        <f t="shared" si="38"/>
        <v>15</v>
      </c>
      <c r="V117" s="72">
        <f t="shared" si="39"/>
        <v>15</v>
      </c>
      <c r="W117" s="99"/>
      <c r="X117" s="100"/>
      <c r="Y117" s="85"/>
      <c r="Z117" s="73"/>
      <c r="AA117" s="74"/>
      <c r="AB117" s="75">
        <f t="shared" si="40"/>
        <v>0</v>
      </c>
      <c r="AC117" s="72">
        <f t="shared" si="41"/>
        <v>0</v>
      </c>
      <c r="AD117" s="52">
        <v>2</v>
      </c>
      <c r="AE117" s="71">
        <f t="shared" si="42"/>
        <v>2</v>
      </c>
      <c r="AF117" s="76"/>
      <c r="AG117" s="86"/>
      <c r="AH117" s="77">
        <f t="shared" si="43"/>
        <v>17</v>
      </c>
      <c r="AI117" s="56">
        <v>10</v>
      </c>
      <c r="AJ117" s="56">
        <v>10</v>
      </c>
      <c r="AK117" s="56">
        <v>45</v>
      </c>
      <c r="AL117" s="57">
        <f t="shared" si="44"/>
        <v>82</v>
      </c>
      <c r="AM117" s="55">
        <f t="shared" si="45"/>
        <v>82</v>
      </c>
      <c r="AN117" s="78">
        <f t="shared" si="46"/>
        <v>1.02</v>
      </c>
      <c r="AO117" s="79"/>
      <c r="AP117" s="80">
        <f t="shared" si="49"/>
        <v>1</v>
      </c>
      <c r="AQ117" s="80">
        <f t="shared" si="49"/>
        <v>2</v>
      </c>
      <c r="AR117" s="61"/>
      <c r="AS117" s="62"/>
      <c r="AT117" s="81"/>
      <c r="AU117" s="81"/>
      <c r="AV117" s="81"/>
      <c r="AW117" s="81"/>
      <c r="AX117" s="82"/>
      <c r="AY117" s="83">
        <f t="shared" si="47"/>
        <v>0</v>
      </c>
      <c r="AZ117" s="83">
        <f t="shared" si="37"/>
        <v>0</v>
      </c>
    </row>
    <row r="118" spans="1:52" s="66" customFormat="1" ht="39.75" customHeight="1" thickBot="1" x14ac:dyDescent="0.2">
      <c r="A118" s="101"/>
      <c r="B118" s="101"/>
      <c r="C118" s="101"/>
      <c r="D118" s="101"/>
      <c r="E118" s="101"/>
      <c r="F118" s="101"/>
      <c r="G118" s="90"/>
      <c r="H118" s="158"/>
      <c r="I118" s="92">
        <v>0.51</v>
      </c>
      <c r="J118" s="41">
        <v>0.49</v>
      </c>
      <c r="K118" s="41"/>
      <c r="L118" s="41"/>
      <c r="M118" s="93"/>
      <c r="N118" s="94">
        <f t="shared" si="50"/>
        <v>1</v>
      </c>
      <c r="O118" s="44">
        <v>1</v>
      </c>
      <c r="P118" s="45">
        <v>15</v>
      </c>
      <c r="Q118" s="46">
        <v>15</v>
      </c>
      <c r="R118" s="46"/>
      <c r="S118" s="46"/>
      <c r="T118" s="70"/>
      <c r="U118" s="71">
        <f t="shared" si="38"/>
        <v>15</v>
      </c>
      <c r="V118" s="72">
        <f t="shared" si="39"/>
        <v>15</v>
      </c>
      <c r="W118" s="99"/>
      <c r="X118" s="100"/>
      <c r="Y118" s="85"/>
      <c r="Z118" s="73"/>
      <c r="AA118" s="74"/>
      <c r="AB118" s="75">
        <f t="shared" si="40"/>
        <v>0</v>
      </c>
      <c r="AC118" s="72">
        <f t="shared" si="41"/>
        <v>0</v>
      </c>
      <c r="AD118" s="52">
        <v>2</v>
      </c>
      <c r="AE118" s="71">
        <f t="shared" si="42"/>
        <v>2</v>
      </c>
      <c r="AF118" s="76"/>
      <c r="AG118" s="86"/>
      <c r="AH118" s="77">
        <f t="shared" si="43"/>
        <v>17</v>
      </c>
      <c r="AI118" s="56">
        <v>10</v>
      </c>
      <c r="AJ118" s="56">
        <v>10</v>
      </c>
      <c r="AK118" s="56">
        <v>45</v>
      </c>
      <c r="AL118" s="57">
        <f t="shared" si="44"/>
        <v>82</v>
      </c>
      <c r="AM118" s="55">
        <f t="shared" si="45"/>
        <v>82</v>
      </c>
      <c r="AN118" s="78">
        <f t="shared" si="46"/>
        <v>1.02</v>
      </c>
      <c r="AO118" s="79"/>
      <c r="AP118" s="80">
        <f t="shared" si="49"/>
        <v>1</v>
      </c>
      <c r="AQ118" s="80">
        <f t="shared" si="49"/>
        <v>2</v>
      </c>
      <c r="AR118" s="61"/>
      <c r="AS118" s="62"/>
      <c r="AT118" s="81"/>
      <c r="AU118" s="81"/>
      <c r="AV118" s="81"/>
      <c r="AW118" s="81"/>
      <c r="AX118" s="82"/>
      <c r="AY118" s="83">
        <f t="shared" si="47"/>
        <v>0</v>
      </c>
      <c r="AZ118" s="83">
        <f t="shared" si="37"/>
        <v>0</v>
      </c>
    </row>
    <row r="119" spans="1:52" s="66" customFormat="1" ht="39.75" customHeight="1" thickBot="1" x14ac:dyDescent="0.2">
      <c r="A119" s="101"/>
      <c r="B119" s="101"/>
      <c r="C119" s="101"/>
      <c r="D119" s="101"/>
      <c r="E119" s="101"/>
      <c r="F119" s="101"/>
      <c r="G119" s="90"/>
      <c r="H119" s="158"/>
      <c r="I119" s="92">
        <v>0.51</v>
      </c>
      <c r="J119" s="41">
        <v>0.49</v>
      </c>
      <c r="K119" s="41"/>
      <c r="L119" s="41"/>
      <c r="M119" s="93"/>
      <c r="N119" s="94">
        <f t="shared" si="50"/>
        <v>1</v>
      </c>
      <c r="O119" s="44">
        <v>1</v>
      </c>
      <c r="P119" s="45">
        <v>15</v>
      </c>
      <c r="Q119" s="46">
        <v>15</v>
      </c>
      <c r="R119" s="46"/>
      <c r="S119" s="46"/>
      <c r="T119" s="70"/>
      <c r="U119" s="71">
        <f t="shared" si="38"/>
        <v>15</v>
      </c>
      <c r="V119" s="72">
        <f t="shared" si="39"/>
        <v>15</v>
      </c>
      <c r="W119" s="99"/>
      <c r="X119" s="100"/>
      <c r="Y119" s="85"/>
      <c r="Z119" s="73"/>
      <c r="AA119" s="74"/>
      <c r="AB119" s="75">
        <f t="shared" si="40"/>
        <v>0</v>
      </c>
      <c r="AC119" s="72">
        <f t="shared" si="41"/>
        <v>0</v>
      </c>
      <c r="AD119" s="52">
        <v>2</v>
      </c>
      <c r="AE119" s="71">
        <f t="shared" si="42"/>
        <v>2</v>
      </c>
      <c r="AF119" s="76"/>
      <c r="AG119" s="86"/>
      <c r="AH119" s="77">
        <f t="shared" si="43"/>
        <v>17</v>
      </c>
      <c r="AI119" s="56">
        <v>10</v>
      </c>
      <c r="AJ119" s="56">
        <v>10</v>
      </c>
      <c r="AK119" s="56">
        <v>45</v>
      </c>
      <c r="AL119" s="57">
        <f t="shared" si="44"/>
        <v>82</v>
      </c>
      <c r="AM119" s="55">
        <f t="shared" si="45"/>
        <v>82</v>
      </c>
      <c r="AN119" s="78">
        <f t="shared" si="46"/>
        <v>1.02</v>
      </c>
      <c r="AO119" s="79"/>
      <c r="AP119" s="80">
        <f t="shared" si="49"/>
        <v>1</v>
      </c>
      <c r="AQ119" s="80">
        <f t="shared" si="49"/>
        <v>2</v>
      </c>
      <c r="AR119" s="61"/>
      <c r="AS119" s="62"/>
      <c r="AT119" s="81"/>
      <c r="AU119" s="81"/>
      <c r="AV119" s="81"/>
      <c r="AW119" s="81"/>
      <c r="AX119" s="82"/>
      <c r="AY119" s="83">
        <f t="shared" si="47"/>
        <v>0</v>
      </c>
      <c r="AZ119" s="83">
        <f t="shared" si="37"/>
        <v>0</v>
      </c>
    </row>
    <row r="120" spans="1:52" s="23" customFormat="1" ht="39.75" customHeight="1" thickBot="1" x14ac:dyDescent="0.2">
      <c r="A120" s="101"/>
      <c r="B120" s="101"/>
      <c r="C120" s="101"/>
      <c r="D120" s="101"/>
      <c r="E120" s="101"/>
      <c r="F120" s="101"/>
      <c r="G120" s="90"/>
      <c r="H120" s="158"/>
      <c r="I120" s="92">
        <v>0.51</v>
      </c>
      <c r="J120" s="41">
        <v>0.49</v>
      </c>
      <c r="K120" s="41"/>
      <c r="L120" s="41"/>
      <c r="M120" s="93"/>
      <c r="N120" s="94">
        <f t="shared" si="50"/>
        <v>1</v>
      </c>
      <c r="O120" s="44">
        <v>1</v>
      </c>
      <c r="P120" s="45">
        <v>15</v>
      </c>
      <c r="Q120" s="46">
        <v>15</v>
      </c>
      <c r="R120" s="46"/>
      <c r="S120" s="46"/>
      <c r="T120" s="70"/>
      <c r="U120" s="71">
        <f t="shared" si="38"/>
        <v>15</v>
      </c>
      <c r="V120" s="72">
        <f t="shared" si="39"/>
        <v>15</v>
      </c>
      <c r="W120" s="99"/>
      <c r="X120" s="100"/>
      <c r="Y120" s="85"/>
      <c r="Z120" s="73"/>
      <c r="AA120" s="74"/>
      <c r="AB120" s="75">
        <f t="shared" si="40"/>
        <v>0</v>
      </c>
      <c r="AC120" s="72">
        <f t="shared" si="41"/>
        <v>0</v>
      </c>
      <c r="AD120" s="52">
        <v>2</v>
      </c>
      <c r="AE120" s="71">
        <f t="shared" si="42"/>
        <v>2</v>
      </c>
      <c r="AF120" s="76"/>
      <c r="AG120" s="86"/>
      <c r="AH120" s="77">
        <f t="shared" si="43"/>
        <v>17</v>
      </c>
      <c r="AI120" s="56">
        <v>10</v>
      </c>
      <c r="AJ120" s="56">
        <v>10</v>
      </c>
      <c r="AK120" s="56">
        <v>45</v>
      </c>
      <c r="AL120" s="57">
        <f t="shared" si="44"/>
        <v>82</v>
      </c>
      <c r="AM120" s="55">
        <f t="shared" si="45"/>
        <v>82</v>
      </c>
      <c r="AN120" s="78">
        <f t="shared" si="46"/>
        <v>1.02</v>
      </c>
      <c r="AO120" s="79"/>
      <c r="AP120" s="80">
        <f t="shared" si="49"/>
        <v>1</v>
      </c>
      <c r="AQ120" s="80">
        <f t="shared" si="49"/>
        <v>2</v>
      </c>
      <c r="AR120" s="61"/>
      <c r="AS120" s="62"/>
      <c r="AT120" s="81"/>
      <c r="AU120" s="81"/>
      <c r="AV120" s="81"/>
      <c r="AW120" s="81"/>
      <c r="AX120" s="82"/>
      <c r="AY120" s="83">
        <f t="shared" si="47"/>
        <v>0</v>
      </c>
      <c r="AZ120" s="83">
        <f t="shared" si="37"/>
        <v>0</v>
      </c>
    </row>
    <row r="121" spans="1:52" s="23" customFormat="1" ht="39.75" customHeight="1" thickBot="1" x14ac:dyDescent="0.2">
      <c r="A121" s="101"/>
      <c r="B121" s="101"/>
      <c r="C121" s="101"/>
      <c r="D121" s="101"/>
      <c r="E121" s="101"/>
      <c r="F121" s="101"/>
      <c r="G121" s="90"/>
      <c r="H121" s="158"/>
      <c r="I121" s="92">
        <v>0.51</v>
      </c>
      <c r="J121" s="41">
        <v>0.49</v>
      </c>
      <c r="K121" s="41"/>
      <c r="L121" s="41"/>
      <c r="M121" s="93"/>
      <c r="N121" s="94">
        <f t="shared" si="50"/>
        <v>1</v>
      </c>
      <c r="O121" s="44">
        <v>1</v>
      </c>
      <c r="P121" s="45">
        <v>15</v>
      </c>
      <c r="Q121" s="46">
        <v>15</v>
      </c>
      <c r="R121" s="46"/>
      <c r="S121" s="46"/>
      <c r="T121" s="70"/>
      <c r="U121" s="71">
        <f t="shared" si="38"/>
        <v>15</v>
      </c>
      <c r="V121" s="72">
        <f t="shared" si="39"/>
        <v>15</v>
      </c>
      <c r="W121" s="99"/>
      <c r="X121" s="100"/>
      <c r="Y121" s="85"/>
      <c r="Z121" s="73"/>
      <c r="AA121" s="74"/>
      <c r="AB121" s="75">
        <f t="shared" si="40"/>
        <v>0</v>
      </c>
      <c r="AC121" s="72">
        <f t="shared" si="41"/>
        <v>0</v>
      </c>
      <c r="AD121" s="52">
        <v>2</v>
      </c>
      <c r="AE121" s="71">
        <f t="shared" si="42"/>
        <v>2</v>
      </c>
      <c r="AF121" s="76"/>
      <c r="AG121" s="86"/>
      <c r="AH121" s="77">
        <f t="shared" si="43"/>
        <v>17</v>
      </c>
      <c r="AI121" s="56">
        <v>10</v>
      </c>
      <c r="AJ121" s="56">
        <v>10</v>
      </c>
      <c r="AK121" s="56">
        <v>45</v>
      </c>
      <c r="AL121" s="57">
        <f t="shared" si="44"/>
        <v>82</v>
      </c>
      <c r="AM121" s="55">
        <f t="shared" si="45"/>
        <v>82</v>
      </c>
      <c r="AN121" s="78">
        <f t="shared" si="46"/>
        <v>1.02</v>
      </c>
      <c r="AO121" s="79"/>
      <c r="AP121" s="80">
        <f t="shared" si="49"/>
        <v>1</v>
      </c>
      <c r="AQ121" s="80">
        <f t="shared" si="49"/>
        <v>2</v>
      </c>
      <c r="AR121" s="61"/>
      <c r="AS121" s="62"/>
      <c r="AT121" s="81"/>
      <c r="AU121" s="81"/>
      <c r="AV121" s="81"/>
      <c r="AW121" s="81"/>
      <c r="AX121" s="82"/>
      <c r="AY121" s="83">
        <f t="shared" si="47"/>
        <v>0</v>
      </c>
      <c r="AZ121" s="83">
        <f t="shared" si="37"/>
        <v>0</v>
      </c>
    </row>
    <row r="122" spans="1:52" s="66" customFormat="1" ht="39.75" customHeight="1" thickBot="1" x14ac:dyDescent="0.2">
      <c r="A122" s="101"/>
      <c r="B122" s="101"/>
      <c r="C122" s="101"/>
      <c r="D122" s="101"/>
      <c r="E122" s="101"/>
      <c r="F122" s="101"/>
      <c r="G122" s="90"/>
      <c r="H122" s="158"/>
      <c r="I122" s="92">
        <v>0.51</v>
      </c>
      <c r="J122" s="41">
        <v>0.49</v>
      </c>
      <c r="K122" s="41"/>
      <c r="L122" s="41"/>
      <c r="M122" s="93"/>
      <c r="N122" s="94">
        <f t="shared" si="50"/>
        <v>1</v>
      </c>
      <c r="O122" s="44">
        <v>1</v>
      </c>
      <c r="P122" s="45">
        <v>15</v>
      </c>
      <c r="Q122" s="46">
        <v>15</v>
      </c>
      <c r="R122" s="46"/>
      <c r="S122" s="46"/>
      <c r="T122" s="70"/>
      <c r="U122" s="71">
        <f t="shared" si="38"/>
        <v>15</v>
      </c>
      <c r="V122" s="72">
        <f t="shared" si="39"/>
        <v>15</v>
      </c>
      <c r="W122" s="99"/>
      <c r="X122" s="100"/>
      <c r="Y122" s="85"/>
      <c r="Z122" s="73"/>
      <c r="AA122" s="74"/>
      <c r="AB122" s="75">
        <f t="shared" si="40"/>
        <v>0</v>
      </c>
      <c r="AC122" s="72">
        <f t="shared" si="41"/>
        <v>0</v>
      </c>
      <c r="AD122" s="52">
        <v>2</v>
      </c>
      <c r="AE122" s="71">
        <f t="shared" si="42"/>
        <v>2</v>
      </c>
      <c r="AF122" s="76"/>
      <c r="AG122" s="86"/>
      <c r="AH122" s="77">
        <f t="shared" si="43"/>
        <v>17</v>
      </c>
      <c r="AI122" s="56">
        <v>10</v>
      </c>
      <c r="AJ122" s="56">
        <v>10</v>
      </c>
      <c r="AK122" s="56">
        <v>45</v>
      </c>
      <c r="AL122" s="57">
        <f t="shared" si="44"/>
        <v>82</v>
      </c>
      <c r="AM122" s="55">
        <f t="shared" si="45"/>
        <v>82</v>
      </c>
      <c r="AN122" s="78">
        <f t="shared" si="46"/>
        <v>1.02</v>
      </c>
      <c r="AO122" s="79"/>
      <c r="AP122" s="80">
        <f t="shared" si="49"/>
        <v>1</v>
      </c>
      <c r="AQ122" s="80">
        <f t="shared" si="49"/>
        <v>2</v>
      </c>
      <c r="AR122" s="61"/>
      <c r="AS122" s="62"/>
      <c r="AT122" s="81"/>
      <c r="AU122" s="81"/>
      <c r="AV122" s="81"/>
      <c r="AW122" s="81"/>
      <c r="AX122" s="82"/>
      <c r="AY122" s="83">
        <f t="shared" si="47"/>
        <v>0</v>
      </c>
      <c r="AZ122" s="83">
        <f t="shared" si="37"/>
        <v>0</v>
      </c>
    </row>
    <row r="123" spans="1:52" s="23" customFormat="1" ht="39.75" customHeight="1" thickBot="1" x14ac:dyDescent="0.2">
      <c r="A123" s="101"/>
      <c r="B123" s="101"/>
      <c r="C123" s="101"/>
      <c r="D123" s="101"/>
      <c r="E123" s="101"/>
      <c r="F123" s="101"/>
      <c r="G123" s="90"/>
      <c r="H123" s="158"/>
      <c r="I123" s="92">
        <v>0.51</v>
      </c>
      <c r="J123" s="41">
        <v>0.49</v>
      </c>
      <c r="K123" s="41"/>
      <c r="L123" s="41"/>
      <c r="M123" s="93"/>
      <c r="N123" s="94">
        <f t="shared" si="50"/>
        <v>1</v>
      </c>
      <c r="O123" s="44">
        <v>1</v>
      </c>
      <c r="P123" s="45">
        <v>15</v>
      </c>
      <c r="Q123" s="46">
        <v>15</v>
      </c>
      <c r="R123" s="46"/>
      <c r="S123" s="46"/>
      <c r="T123" s="70"/>
      <c r="U123" s="71">
        <f t="shared" si="38"/>
        <v>15</v>
      </c>
      <c r="V123" s="72">
        <f t="shared" si="39"/>
        <v>15</v>
      </c>
      <c r="W123" s="99"/>
      <c r="X123" s="100"/>
      <c r="Y123" s="85"/>
      <c r="Z123" s="73"/>
      <c r="AA123" s="74"/>
      <c r="AB123" s="75">
        <f t="shared" si="40"/>
        <v>0</v>
      </c>
      <c r="AC123" s="72">
        <f t="shared" si="41"/>
        <v>0</v>
      </c>
      <c r="AD123" s="52">
        <v>2</v>
      </c>
      <c r="AE123" s="71">
        <f t="shared" si="42"/>
        <v>2</v>
      </c>
      <c r="AF123" s="76"/>
      <c r="AG123" s="86"/>
      <c r="AH123" s="77">
        <f t="shared" si="43"/>
        <v>17</v>
      </c>
      <c r="AI123" s="56">
        <v>10</v>
      </c>
      <c r="AJ123" s="56">
        <v>10</v>
      </c>
      <c r="AK123" s="56">
        <v>45</v>
      </c>
      <c r="AL123" s="57">
        <f t="shared" si="44"/>
        <v>82</v>
      </c>
      <c r="AM123" s="55">
        <f t="shared" si="45"/>
        <v>82</v>
      </c>
      <c r="AN123" s="78">
        <f t="shared" si="46"/>
        <v>1.02</v>
      </c>
      <c r="AO123" s="79"/>
      <c r="AP123" s="80">
        <f t="shared" si="49"/>
        <v>1</v>
      </c>
      <c r="AQ123" s="80">
        <f t="shared" si="49"/>
        <v>2</v>
      </c>
      <c r="AR123" s="61"/>
      <c r="AS123" s="62"/>
      <c r="AT123" s="81"/>
      <c r="AU123" s="81"/>
      <c r="AV123" s="81"/>
      <c r="AW123" s="81"/>
      <c r="AX123" s="82"/>
      <c r="AY123" s="83">
        <f t="shared" si="47"/>
        <v>0</v>
      </c>
      <c r="AZ123" s="83">
        <f t="shared" si="37"/>
        <v>0</v>
      </c>
    </row>
    <row r="124" spans="1:52" s="66" customFormat="1" ht="39.75" customHeight="1" thickBot="1" x14ac:dyDescent="0.2">
      <c r="A124" s="101"/>
      <c r="B124" s="101"/>
      <c r="C124" s="101"/>
      <c r="D124" s="101"/>
      <c r="E124" s="101"/>
      <c r="F124" s="101"/>
      <c r="G124" s="90"/>
      <c r="H124" s="158"/>
      <c r="I124" s="92">
        <v>0.51</v>
      </c>
      <c r="J124" s="41">
        <v>0.49</v>
      </c>
      <c r="K124" s="41"/>
      <c r="L124" s="41"/>
      <c r="M124" s="93"/>
      <c r="N124" s="94">
        <f t="shared" si="50"/>
        <v>1</v>
      </c>
      <c r="O124" s="44">
        <v>1</v>
      </c>
      <c r="P124" s="45">
        <v>15</v>
      </c>
      <c r="Q124" s="46">
        <v>15</v>
      </c>
      <c r="R124" s="46"/>
      <c r="S124" s="46"/>
      <c r="T124" s="70"/>
      <c r="U124" s="71">
        <f t="shared" si="38"/>
        <v>15</v>
      </c>
      <c r="V124" s="72">
        <f t="shared" si="39"/>
        <v>15</v>
      </c>
      <c r="W124" s="99"/>
      <c r="X124" s="100"/>
      <c r="Y124" s="85"/>
      <c r="Z124" s="73"/>
      <c r="AA124" s="74"/>
      <c r="AB124" s="75">
        <f t="shared" si="40"/>
        <v>0</v>
      </c>
      <c r="AC124" s="72">
        <f t="shared" si="41"/>
        <v>0</v>
      </c>
      <c r="AD124" s="52">
        <v>2</v>
      </c>
      <c r="AE124" s="71">
        <f t="shared" si="42"/>
        <v>2</v>
      </c>
      <c r="AF124" s="76"/>
      <c r="AG124" s="86"/>
      <c r="AH124" s="77">
        <f t="shared" si="43"/>
        <v>17</v>
      </c>
      <c r="AI124" s="56">
        <v>10</v>
      </c>
      <c r="AJ124" s="56">
        <v>10</v>
      </c>
      <c r="AK124" s="56">
        <v>45</v>
      </c>
      <c r="AL124" s="57">
        <f t="shared" si="44"/>
        <v>82</v>
      </c>
      <c r="AM124" s="55">
        <f t="shared" si="45"/>
        <v>82</v>
      </c>
      <c r="AN124" s="78">
        <f t="shared" si="46"/>
        <v>1.02</v>
      </c>
      <c r="AO124" s="79"/>
      <c r="AP124" s="80">
        <f t="shared" si="49"/>
        <v>1</v>
      </c>
      <c r="AQ124" s="80">
        <f t="shared" si="49"/>
        <v>2</v>
      </c>
      <c r="AR124" s="61"/>
      <c r="AS124" s="62"/>
      <c r="AT124" s="81"/>
      <c r="AU124" s="81"/>
      <c r="AV124" s="81"/>
      <c r="AW124" s="81"/>
      <c r="AX124" s="82"/>
      <c r="AY124" s="83">
        <f t="shared" si="47"/>
        <v>0</v>
      </c>
      <c r="AZ124" s="83">
        <f t="shared" si="37"/>
        <v>0</v>
      </c>
    </row>
    <row r="125" spans="1:52" s="66" customFormat="1" ht="39.75" customHeight="1" thickBot="1" x14ac:dyDescent="0.2">
      <c r="A125" s="101"/>
      <c r="B125" s="101"/>
      <c r="C125" s="101"/>
      <c r="D125" s="101"/>
      <c r="E125" s="101"/>
      <c r="F125" s="101"/>
      <c r="G125" s="90"/>
      <c r="H125" s="158"/>
      <c r="I125" s="92">
        <v>0.51</v>
      </c>
      <c r="J125" s="41">
        <v>0.49</v>
      </c>
      <c r="K125" s="41"/>
      <c r="L125" s="41"/>
      <c r="M125" s="93"/>
      <c r="N125" s="94">
        <f t="shared" si="50"/>
        <v>1</v>
      </c>
      <c r="O125" s="44">
        <v>1</v>
      </c>
      <c r="P125" s="45">
        <v>15</v>
      </c>
      <c r="Q125" s="46">
        <v>15</v>
      </c>
      <c r="R125" s="46"/>
      <c r="S125" s="46"/>
      <c r="T125" s="70"/>
      <c r="U125" s="71">
        <f t="shared" si="38"/>
        <v>15</v>
      </c>
      <c r="V125" s="72">
        <f t="shared" si="39"/>
        <v>15</v>
      </c>
      <c r="W125" s="99"/>
      <c r="X125" s="100"/>
      <c r="Y125" s="85"/>
      <c r="Z125" s="73"/>
      <c r="AA125" s="74"/>
      <c r="AB125" s="75">
        <f t="shared" si="40"/>
        <v>0</v>
      </c>
      <c r="AC125" s="72">
        <f t="shared" si="41"/>
        <v>0</v>
      </c>
      <c r="AD125" s="52">
        <v>2</v>
      </c>
      <c r="AE125" s="71">
        <f t="shared" si="42"/>
        <v>2</v>
      </c>
      <c r="AF125" s="76"/>
      <c r="AG125" s="86"/>
      <c r="AH125" s="77">
        <f t="shared" si="43"/>
        <v>17</v>
      </c>
      <c r="AI125" s="56">
        <v>10</v>
      </c>
      <c r="AJ125" s="56">
        <v>10</v>
      </c>
      <c r="AK125" s="56">
        <v>45</v>
      </c>
      <c r="AL125" s="57">
        <f t="shared" si="44"/>
        <v>82</v>
      </c>
      <c r="AM125" s="55">
        <f t="shared" si="45"/>
        <v>82</v>
      </c>
      <c r="AN125" s="78">
        <f t="shared" si="46"/>
        <v>1.02</v>
      </c>
      <c r="AO125" s="79"/>
      <c r="AP125" s="80">
        <f t="shared" si="49"/>
        <v>1</v>
      </c>
      <c r="AQ125" s="80">
        <f t="shared" si="49"/>
        <v>2</v>
      </c>
      <c r="AR125" s="61"/>
      <c r="AS125" s="62"/>
      <c r="AT125" s="81"/>
      <c r="AU125" s="81"/>
      <c r="AV125" s="81"/>
      <c r="AW125" s="81"/>
      <c r="AX125" s="82"/>
      <c r="AY125" s="83">
        <f t="shared" si="47"/>
        <v>0</v>
      </c>
      <c r="AZ125" s="83">
        <f t="shared" si="37"/>
        <v>0</v>
      </c>
    </row>
    <row r="126" spans="1:52" s="66" customFormat="1" ht="39.75" customHeight="1" thickBot="1" x14ac:dyDescent="0.2">
      <c r="A126" s="101"/>
      <c r="B126" s="101"/>
      <c r="C126" s="101"/>
      <c r="D126" s="101"/>
      <c r="E126" s="101"/>
      <c r="F126" s="101"/>
      <c r="G126" s="90"/>
      <c r="H126" s="158"/>
      <c r="I126" s="92">
        <v>0.51</v>
      </c>
      <c r="J126" s="41">
        <v>0.49</v>
      </c>
      <c r="K126" s="41"/>
      <c r="L126" s="41"/>
      <c r="M126" s="93"/>
      <c r="N126" s="94">
        <f t="shared" si="50"/>
        <v>1</v>
      </c>
      <c r="O126" s="44">
        <v>1</v>
      </c>
      <c r="P126" s="45">
        <v>15</v>
      </c>
      <c r="Q126" s="46">
        <v>15</v>
      </c>
      <c r="R126" s="46"/>
      <c r="S126" s="46"/>
      <c r="T126" s="47"/>
      <c r="U126" s="71">
        <f t="shared" si="38"/>
        <v>15</v>
      </c>
      <c r="V126" s="72">
        <f t="shared" si="39"/>
        <v>15</v>
      </c>
      <c r="W126" s="99"/>
      <c r="X126" s="100"/>
      <c r="Y126" s="85"/>
      <c r="Z126" s="73"/>
      <c r="AA126" s="74"/>
      <c r="AB126" s="75">
        <f t="shared" si="40"/>
        <v>0</v>
      </c>
      <c r="AC126" s="72">
        <f t="shared" si="41"/>
        <v>0</v>
      </c>
      <c r="AD126" s="52">
        <v>2</v>
      </c>
      <c r="AE126" s="71">
        <f t="shared" si="42"/>
        <v>2</v>
      </c>
      <c r="AF126" s="76"/>
      <c r="AG126" s="86"/>
      <c r="AH126" s="77">
        <f t="shared" si="43"/>
        <v>17</v>
      </c>
      <c r="AI126" s="56">
        <v>10</v>
      </c>
      <c r="AJ126" s="56">
        <v>10</v>
      </c>
      <c r="AK126" s="56">
        <v>45</v>
      </c>
      <c r="AL126" s="57">
        <f t="shared" si="44"/>
        <v>82</v>
      </c>
      <c r="AM126" s="55">
        <f t="shared" si="45"/>
        <v>82</v>
      </c>
      <c r="AN126" s="78">
        <f t="shared" si="46"/>
        <v>1.02</v>
      </c>
      <c r="AO126" s="79"/>
      <c r="AP126" s="80">
        <f t="shared" si="49"/>
        <v>1</v>
      </c>
      <c r="AQ126" s="80">
        <f t="shared" si="49"/>
        <v>2</v>
      </c>
      <c r="AR126" s="61"/>
      <c r="AS126" s="62"/>
      <c r="AT126" s="81"/>
      <c r="AU126" s="81"/>
      <c r="AV126" s="81"/>
      <c r="AW126" s="81"/>
      <c r="AX126" s="82"/>
      <c r="AY126" s="83">
        <f t="shared" si="47"/>
        <v>0</v>
      </c>
      <c r="AZ126" s="83">
        <f t="shared" si="37"/>
        <v>0</v>
      </c>
    </row>
    <row r="127" spans="1:52" s="66" customFormat="1" ht="39.75" customHeight="1" thickBot="1" x14ac:dyDescent="0.2">
      <c r="A127" s="101"/>
      <c r="B127" s="101"/>
      <c r="C127" s="101"/>
      <c r="D127" s="101"/>
      <c r="E127" s="101"/>
      <c r="F127" s="101"/>
      <c r="G127" s="90"/>
      <c r="H127" s="158"/>
      <c r="I127" s="92">
        <v>0.51</v>
      </c>
      <c r="J127" s="41">
        <v>0.49</v>
      </c>
      <c r="K127" s="41"/>
      <c r="L127" s="41"/>
      <c r="M127" s="93"/>
      <c r="N127" s="94">
        <f t="shared" si="50"/>
        <v>1</v>
      </c>
      <c r="O127" s="44">
        <v>1</v>
      </c>
      <c r="P127" s="45">
        <v>15</v>
      </c>
      <c r="Q127" s="46">
        <v>15</v>
      </c>
      <c r="R127" s="46"/>
      <c r="S127" s="46"/>
      <c r="T127" s="47"/>
      <c r="U127" s="71">
        <f t="shared" si="38"/>
        <v>15</v>
      </c>
      <c r="V127" s="72">
        <f t="shared" si="39"/>
        <v>15</v>
      </c>
      <c r="W127" s="99"/>
      <c r="X127" s="100"/>
      <c r="Y127" s="85"/>
      <c r="Z127" s="73"/>
      <c r="AA127" s="74"/>
      <c r="AB127" s="75">
        <f t="shared" si="40"/>
        <v>0</v>
      </c>
      <c r="AC127" s="72">
        <f t="shared" si="41"/>
        <v>0</v>
      </c>
      <c r="AD127" s="52">
        <v>2</v>
      </c>
      <c r="AE127" s="71">
        <f t="shared" si="42"/>
        <v>2</v>
      </c>
      <c r="AF127" s="76"/>
      <c r="AG127" s="86"/>
      <c r="AH127" s="77">
        <f t="shared" si="43"/>
        <v>17</v>
      </c>
      <c r="AI127" s="56">
        <v>10</v>
      </c>
      <c r="AJ127" s="56">
        <v>10</v>
      </c>
      <c r="AK127" s="56">
        <v>45</v>
      </c>
      <c r="AL127" s="57">
        <f t="shared" si="44"/>
        <v>82</v>
      </c>
      <c r="AM127" s="55">
        <f t="shared" si="45"/>
        <v>82</v>
      </c>
      <c r="AN127" s="78">
        <f t="shared" si="46"/>
        <v>1.02</v>
      </c>
      <c r="AO127" s="79"/>
      <c r="AP127" s="80">
        <f t="shared" si="49"/>
        <v>1</v>
      </c>
      <c r="AQ127" s="80">
        <f t="shared" si="49"/>
        <v>2</v>
      </c>
      <c r="AR127" s="61"/>
      <c r="AS127" s="62"/>
      <c r="AT127" s="81"/>
      <c r="AU127" s="81"/>
      <c r="AV127" s="81"/>
      <c r="AW127" s="81"/>
      <c r="AX127" s="82"/>
      <c r="AY127" s="83">
        <f t="shared" si="47"/>
        <v>0</v>
      </c>
      <c r="AZ127" s="83">
        <f t="shared" si="37"/>
        <v>0</v>
      </c>
    </row>
    <row r="128" spans="1:52" s="23" customFormat="1" ht="39.75" customHeight="1" thickBot="1" x14ac:dyDescent="0.2">
      <c r="A128" s="101"/>
      <c r="B128" s="101"/>
      <c r="C128" s="101"/>
      <c r="D128" s="101"/>
      <c r="E128" s="101"/>
      <c r="F128" s="101"/>
      <c r="G128" s="90"/>
      <c r="H128" s="158"/>
      <c r="I128" s="92">
        <v>0.51</v>
      </c>
      <c r="J128" s="41">
        <v>0.49</v>
      </c>
      <c r="K128" s="41"/>
      <c r="L128" s="41"/>
      <c r="M128" s="93"/>
      <c r="N128" s="94">
        <f t="shared" si="50"/>
        <v>1</v>
      </c>
      <c r="O128" s="44">
        <v>1</v>
      </c>
      <c r="P128" s="45">
        <v>15</v>
      </c>
      <c r="Q128" s="46">
        <v>15</v>
      </c>
      <c r="R128" s="46"/>
      <c r="S128" s="46"/>
      <c r="T128" s="47"/>
      <c r="U128" s="71">
        <f t="shared" si="38"/>
        <v>15</v>
      </c>
      <c r="V128" s="72">
        <f t="shared" si="39"/>
        <v>15</v>
      </c>
      <c r="W128" s="99"/>
      <c r="X128" s="100"/>
      <c r="Y128" s="85"/>
      <c r="Z128" s="73"/>
      <c r="AA128" s="74"/>
      <c r="AB128" s="75">
        <f t="shared" si="40"/>
        <v>0</v>
      </c>
      <c r="AC128" s="72">
        <f t="shared" si="41"/>
        <v>0</v>
      </c>
      <c r="AD128" s="52">
        <v>2</v>
      </c>
      <c r="AE128" s="71">
        <f t="shared" si="42"/>
        <v>2</v>
      </c>
      <c r="AF128" s="76"/>
      <c r="AG128" s="86"/>
      <c r="AH128" s="77">
        <f t="shared" si="43"/>
        <v>17</v>
      </c>
      <c r="AI128" s="56">
        <v>10</v>
      </c>
      <c r="AJ128" s="56">
        <v>10</v>
      </c>
      <c r="AK128" s="56">
        <v>45</v>
      </c>
      <c r="AL128" s="57">
        <f t="shared" si="44"/>
        <v>82</v>
      </c>
      <c r="AM128" s="55">
        <f t="shared" si="45"/>
        <v>82</v>
      </c>
      <c r="AN128" s="78">
        <f t="shared" si="46"/>
        <v>1.02</v>
      </c>
      <c r="AO128" s="79"/>
      <c r="AP128" s="80">
        <f t="shared" si="49"/>
        <v>1</v>
      </c>
      <c r="AQ128" s="80">
        <f t="shared" si="49"/>
        <v>2</v>
      </c>
      <c r="AR128" s="61"/>
      <c r="AS128" s="62"/>
      <c r="AT128" s="81"/>
      <c r="AU128" s="81"/>
      <c r="AV128" s="81"/>
      <c r="AW128" s="81"/>
      <c r="AX128" s="82"/>
      <c r="AY128" s="83">
        <f t="shared" si="47"/>
        <v>0</v>
      </c>
      <c r="AZ128" s="83">
        <f t="shared" si="37"/>
        <v>0</v>
      </c>
    </row>
    <row r="129" spans="1:52" s="66" customFormat="1" ht="39.75" customHeight="1" thickBot="1" x14ac:dyDescent="0.2">
      <c r="A129" s="101"/>
      <c r="B129" s="101"/>
      <c r="C129" s="101"/>
      <c r="D129" s="101"/>
      <c r="E129" s="101"/>
      <c r="F129" s="101"/>
      <c r="G129" s="90"/>
      <c r="H129" s="158"/>
      <c r="I129" s="92">
        <v>0.51</v>
      </c>
      <c r="J129" s="41">
        <v>0.49</v>
      </c>
      <c r="K129" s="41"/>
      <c r="L129" s="41"/>
      <c r="M129" s="93"/>
      <c r="N129" s="94">
        <f t="shared" si="50"/>
        <v>1</v>
      </c>
      <c r="O129" s="44">
        <v>1</v>
      </c>
      <c r="P129" s="45">
        <v>15</v>
      </c>
      <c r="Q129" s="46">
        <v>15</v>
      </c>
      <c r="R129" s="46"/>
      <c r="S129" s="46"/>
      <c r="T129" s="47"/>
      <c r="U129" s="71">
        <f t="shared" si="38"/>
        <v>15</v>
      </c>
      <c r="V129" s="72">
        <f t="shared" si="39"/>
        <v>15</v>
      </c>
      <c r="W129" s="99"/>
      <c r="X129" s="100"/>
      <c r="Y129" s="85"/>
      <c r="Z129" s="73"/>
      <c r="AA129" s="74"/>
      <c r="AB129" s="75">
        <f t="shared" si="40"/>
        <v>0</v>
      </c>
      <c r="AC129" s="72">
        <f t="shared" si="41"/>
        <v>0</v>
      </c>
      <c r="AD129" s="52">
        <v>2</v>
      </c>
      <c r="AE129" s="71">
        <f t="shared" si="42"/>
        <v>2</v>
      </c>
      <c r="AF129" s="76"/>
      <c r="AG129" s="86"/>
      <c r="AH129" s="77">
        <f t="shared" si="43"/>
        <v>17</v>
      </c>
      <c r="AI129" s="56">
        <v>10</v>
      </c>
      <c r="AJ129" s="56">
        <v>10</v>
      </c>
      <c r="AK129" s="56">
        <v>45</v>
      </c>
      <c r="AL129" s="57">
        <f t="shared" si="44"/>
        <v>82</v>
      </c>
      <c r="AM129" s="55">
        <f t="shared" si="45"/>
        <v>82</v>
      </c>
      <c r="AN129" s="78">
        <f t="shared" si="46"/>
        <v>1.02</v>
      </c>
      <c r="AO129" s="79"/>
      <c r="AP129" s="80">
        <f t="shared" si="49"/>
        <v>1</v>
      </c>
      <c r="AQ129" s="80">
        <f t="shared" si="49"/>
        <v>2</v>
      </c>
      <c r="AR129" s="61"/>
      <c r="AS129" s="62"/>
      <c r="AT129" s="81"/>
      <c r="AU129" s="81"/>
      <c r="AV129" s="81"/>
      <c r="AW129" s="81"/>
      <c r="AX129" s="82"/>
      <c r="AY129" s="83">
        <f t="shared" si="47"/>
        <v>0</v>
      </c>
      <c r="AZ129" s="83">
        <f t="shared" si="37"/>
        <v>0</v>
      </c>
    </row>
    <row r="130" spans="1:52" s="23" customFormat="1" ht="39.75" customHeight="1" thickBot="1" x14ac:dyDescent="0.2">
      <c r="A130" s="101"/>
      <c r="B130" s="101"/>
      <c r="C130" s="101"/>
      <c r="D130" s="101"/>
      <c r="E130" s="101"/>
      <c r="F130" s="101"/>
      <c r="G130" s="90"/>
      <c r="H130" s="158"/>
      <c r="I130" s="92">
        <v>0.51</v>
      </c>
      <c r="J130" s="41">
        <v>0.49</v>
      </c>
      <c r="K130" s="41"/>
      <c r="L130" s="41"/>
      <c r="M130" s="93"/>
      <c r="N130" s="94">
        <f t="shared" si="50"/>
        <v>1</v>
      </c>
      <c r="O130" s="44">
        <v>1</v>
      </c>
      <c r="P130" s="45">
        <v>15</v>
      </c>
      <c r="Q130" s="46">
        <v>15</v>
      </c>
      <c r="R130" s="46"/>
      <c r="S130" s="46"/>
      <c r="T130" s="47"/>
      <c r="U130" s="71">
        <f t="shared" si="38"/>
        <v>15</v>
      </c>
      <c r="V130" s="72">
        <f t="shared" si="39"/>
        <v>15</v>
      </c>
      <c r="W130" s="99"/>
      <c r="X130" s="100"/>
      <c r="Y130" s="85"/>
      <c r="Z130" s="73"/>
      <c r="AA130" s="74"/>
      <c r="AB130" s="75">
        <f t="shared" si="40"/>
        <v>0</v>
      </c>
      <c r="AC130" s="72">
        <f t="shared" si="41"/>
        <v>0</v>
      </c>
      <c r="AD130" s="52">
        <v>2</v>
      </c>
      <c r="AE130" s="71">
        <f t="shared" si="42"/>
        <v>2</v>
      </c>
      <c r="AF130" s="76"/>
      <c r="AG130" s="86"/>
      <c r="AH130" s="77">
        <f t="shared" si="43"/>
        <v>17</v>
      </c>
      <c r="AI130" s="56">
        <v>10</v>
      </c>
      <c r="AJ130" s="56">
        <v>10</v>
      </c>
      <c r="AK130" s="56">
        <v>45</v>
      </c>
      <c r="AL130" s="57">
        <f t="shared" si="44"/>
        <v>82</v>
      </c>
      <c r="AM130" s="55">
        <f t="shared" si="45"/>
        <v>82</v>
      </c>
      <c r="AN130" s="78">
        <f t="shared" si="46"/>
        <v>1.02</v>
      </c>
      <c r="AO130" s="79"/>
      <c r="AP130" s="80">
        <f t="shared" si="49"/>
        <v>1</v>
      </c>
      <c r="AQ130" s="80">
        <f t="shared" si="49"/>
        <v>2</v>
      </c>
      <c r="AR130" s="61"/>
      <c r="AS130" s="62"/>
      <c r="AT130" s="81"/>
      <c r="AU130" s="81"/>
      <c r="AV130" s="81"/>
      <c r="AW130" s="81"/>
      <c r="AX130" s="82"/>
      <c r="AY130" s="83">
        <f t="shared" si="47"/>
        <v>0</v>
      </c>
      <c r="AZ130" s="83">
        <f t="shared" si="37"/>
        <v>0</v>
      </c>
    </row>
    <row r="131" spans="1:52" s="66" customFormat="1" ht="39.75" customHeight="1" thickBot="1" x14ac:dyDescent="0.2">
      <c r="A131" s="101"/>
      <c r="B131" s="101"/>
      <c r="C131" s="101"/>
      <c r="D131" s="101"/>
      <c r="E131" s="101"/>
      <c r="F131" s="101"/>
      <c r="G131" s="90"/>
      <c r="H131" s="158"/>
      <c r="I131" s="92">
        <v>0.51</v>
      </c>
      <c r="J131" s="41">
        <v>0.49</v>
      </c>
      <c r="K131" s="41"/>
      <c r="L131" s="41"/>
      <c r="M131" s="93"/>
      <c r="N131" s="94">
        <f t="shared" si="50"/>
        <v>1</v>
      </c>
      <c r="O131" s="44">
        <v>1</v>
      </c>
      <c r="P131" s="45">
        <v>15</v>
      </c>
      <c r="Q131" s="46">
        <v>15</v>
      </c>
      <c r="R131" s="46"/>
      <c r="S131" s="46"/>
      <c r="T131" s="47"/>
      <c r="U131" s="71">
        <f t="shared" si="38"/>
        <v>15</v>
      </c>
      <c r="V131" s="72">
        <f t="shared" si="39"/>
        <v>15</v>
      </c>
      <c r="W131" s="99"/>
      <c r="X131" s="100"/>
      <c r="Y131" s="85"/>
      <c r="Z131" s="73"/>
      <c r="AA131" s="74"/>
      <c r="AB131" s="75">
        <f t="shared" si="40"/>
        <v>0</v>
      </c>
      <c r="AC131" s="72">
        <f t="shared" si="41"/>
        <v>0</v>
      </c>
      <c r="AD131" s="52">
        <v>2</v>
      </c>
      <c r="AE131" s="71">
        <f t="shared" si="42"/>
        <v>2</v>
      </c>
      <c r="AF131" s="76"/>
      <c r="AG131" s="86"/>
      <c r="AH131" s="77">
        <f t="shared" si="43"/>
        <v>17</v>
      </c>
      <c r="AI131" s="56">
        <v>10</v>
      </c>
      <c r="AJ131" s="56">
        <v>10</v>
      </c>
      <c r="AK131" s="56">
        <v>45</v>
      </c>
      <c r="AL131" s="57">
        <f t="shared" si="44"/>
        <v>82</v>
      </c>
      <c r="AM131" s="55">
        <f t="shared" si="45"/>
        <v>82</v>
      </c>
      <c r="AN131" s="78">
        <f t="shared" si="46"/>
        <v>1.02</v>
      </c>
      <c r="AO131" s="79"/>
      <c r="AP131" s="80">
        <f t="shared" ref="AP131:AQ138" si="51">100%+AO131</f>
        <v>1</v>
      </c>
      <c r="AQ131" s="80">
        <f t="shared" si="51"/>
        <v>2</v>
      </c>
      <c r="AR131" s="61"/>
      <c r="AS131" s="62"/>
      <c r="AT131" s="81"/>
      <c r="AU131" s="81"/>
      <c r="AV131" s="81"/>
      <c r="AW131" s="81"/>
      <c r="AX131" s="82"/>
      <c r="AY131" s="83">
        <f t="shared" si="47"/>
        <v>0</v>
      </c>
      <c r="AZ131" s="83">
        <f t="shared" si="37"/>
        <v>0</v>
      </c>
    </row>
    <row r="132" spans="1:52" s="66" customFormat="1" ht="39.75" customHeight="1" thickBot="1" x14ac:dyDescent="0.2">
      <c r="A132" s="101"/>
      <c r="B132" s="101"/>
      <c r="C132" s="101"/>
      <c r="D132" s="101"/>
      <c r="E132" s="101"/>
      <c r="F132" s="101"/>
      <c r="G132" s="90"/>
      <c r="H132" s="158"/>
      <c r="I132" s="92">
        <v>0.51</v>
      </c>
      <c r="J132" s="41">
        <v>0.49</v>
      </c>
      <c r="K132" s="41"/>
      <c r="L132" s="41"/>
      <c r="M132" s="93"/>
      <c r="N132" s="94">
        <f t="shared" si="50"/>
        <v>1</v>
      </c>
      <c r="O132" s="44">
        <v>1</v>
      </c>
      <c r="P132" s="45">
        <v>15</v>
      </c>
      <c r="Q132" s="46">
        <v>15</v>
      </c>
      <c r="R132" s="46"/>
      <c r="S132" s="46"/>
      <c r="T132" s="47"/>
      <c r="U132" s="71">
        <f t="shared" si="38"/>
        <v>15</v>
      </c>
      <c r="V132" s="72">
        <f t="shared" si="39"/>
        <v>15</v>
      </c>
      <c r="W132" s="99"/>
      <c r="X132" s="100"/>
      <c r="Y132" s="85"/>
      <c r="Z132" s="73"/>
      <c r="AA132" s="74"/>
      <c r="AB132" s="75">
        <f t="shared" si="40"/>
        <v>0</v>
      </c>
      <c r="AC132" s="72">
        <f t="shared" si="41"/>
        <v>0</v>
      </c>
      <c r="AD132" s="52">
        <v>2</v>
      </c>
      <c r="AE132" s="71">
        <f t="shared" si="42"/>
        <v>2</v>
      </c>
      <c r="AF132" s="76"/>
      <c r="AG132" s="86"/>
      <c r="AH132" s="77">
        <f t="shared" si="43"/>
        <v>17</v>
      </c>
      <c r="AI132" s="56">
        <v>10</v>
      </c>
      <c r="AJ132" s="56">
        <v>10</v>
      </c>
      <c r="AK132" s="56">
        <v>45</v>
      </c>
      <c r="AL132" s="57">
        <f t="shared" si="44"/>
        <v>82</v>
      </c>
      <c r="AM132" s="55">
        <f t="shared" si="45"/>
        <v>82</v>
      </c>
      <c r="AN132" s="78">
        <f t="shared" si="46"/>
        <v>1.02</v>
      </c>
      <c r="AO132" s="79"/>
      <c r="AP132" s="80">
        <f t="shared" si="51"/>
        <v>1</v>
      </c>
      <c r="AQ132" s="80">
        <f t="shared" si="51"/>
        <v>2</v>
      </c>
      <c r="AR132" s="61"/>
      <c r="AS132" s="62"/>
      <c r="AT132" s="81"/>
      <c r="AU132" s="81"/>
      <c r="AV132" s="81"/>
      <c r="AW132" s="81"/>
      <c r="AX132" s="82"/>
      <c r="AY132" s="83">
        <f t="shared" si="47"/>
        <v>0</v>
      </c>
      <c r="AZ132" s="83">
        <f t="shared" si="37"/>
        <v>0</v>
      </c>
    </row>
    <row r="133" spans="1:52" s="66" customFormat="1" ht="39.75" customHeight="1" thickBot="1" x14ac:dyDescent="0.2">
      <c r="A133" s="101"/>
      <c r="B133" s="101"/>
      <c r="C133" s="101"/>
      <c r="D133" s="101"/>
      <c r="E133" s="101"/>
      <c r="F133" s="101"/>
      <c r="G133" s="90"/>
      <c r="H133" s="158"/>
      <c r="I133" s="92">
        <v>0.51</v>
      </c>
      <c r="J133" s="41">
        <v>0.49</v>
      </c>
      <c r="K133" s="41"/>
      <c r="L133" s="41"/>
      <c r="M133" s="93"/>
      <c r="N133" s="94">
        <f t="shared" si="50"/>
        <v>1</v>
      </c>
      <c r="O133" s="44">
        <v>1</v>
      </c>
      <c r="P133" s="45">
        <v>15</v>
      </c>
      <c r="Q133" s="46">
        <v>15</v>
      </c>
      <c r="R133" s="46"/>
      <c r="S133" s="46"/>
      <c r="T133" s="47"/>
      <c r="U133" s="71">
        <f t="shared" si="38"/>
        <v>15</v>
      </c>
      <c r="V133" s="72">
        <f t="shared" si="39"/>
        <v>15</v>
      </c>
      <c r="W133" s="99"/>
      <c r="X133" s="100"/>
      <c r="Y133" s="85"/>
      <c r="Z133" s="73"/>
      <c r="AA133" s="74"/>
      <c r="AB133" s="75">
        <f t="shared" si="40"/>
        <v>0</v>
      </c>
      <c r="AC133" s="72">
        <f t="shared" si="41"/>
        <v>0</v>
      </c>
      <c r="AD133" s="52">
        <v>2</v>
      </c>
      <c r="AE133" s="71">
        <f t="shared" si="42"/>
        <v>2</v>
      </c>
      <c r="AF133" s="76"/>
      <c r="AG133" s="86"/>
      <c r="AH133" s="77">
        <f t="shared" si="43"/>
        <v>17</v>
      </c>
      <c r="AI133" s="56">
        <v>10</v>
      </c>
      <c r="AJ133" s="56">
        <v>10</v>
      </c>
      <c r="AK133" s="56">
        <v>45</v>
      </c>
      <c r="AL133" s="57">
        <f t="shared" si="44"/>
        <v>82</v>
      </c>
      <c r="AM133" s="55">
        <f t="shared" si="45"/>
        <v>82</v>
      </c>
      <c r="AN133" s="78">
        <f t="shared" si="46"/>
        <v>1.02</v>
      </c>
      <c r="AO133" s="79"/>
      <c r="AP133" s="80">
        <f t="shared" si="51"/>
        <v>1</v>
      </c>
      <c r="AQ133" s="80">
        <f t="shared" si="51"/>
        <v>2</v>
      </c>
      <c r="AR133" s="61"/>
      <c r="AS133" s="62"/>
      <c r="AT133" s="81"/>
      <c r="AU133" s="81"/>
      <c r="AV133" s="81"/>
      <c r="AW133" s="81"/>
      <c r="AX133" s="82"/>
      <c r="AY133" s="83">
        <f t="shared" si="47"/>
        <v>0</v>
      </c>
      <c r="AZ133" s="83">
        <f t="shared" si="37"/>
        <v>0</v>
      </c>
    </row>
    <row r="134" spans="1:52" s="23" customFormat="1" ht="39.75" customHeight="1" thickBot="1" x14ac:dyDescent="0.2">
      <c r="A134" s="101"/>
      <c r="B134" s="101"/>
      <c r="C134" s="101"/>
      <c r="D134" s="101"/>
      <c r="E134" s="101"/>
      <c r="F134" s="101"/>
      <c r="G134" s="90"/>
      <c r="H134" s="158"/>
      <c r="I134" s="92">
        <v>0.51</v>
      </c>
      <c r="J134" s="41">
        <v>0.49</v>
      </c>
      <c r="K134" s="41"/>
      <c r="L134" s="41"/>
      <c r="M134" s="93"/>
      <c r="N134" s="94">
        <f t="shared" si="50"/>
        <v>1</v>
      </c>
      <c r="O134" s="44">
        <v>1</v>
      </c>
      <c r="P134" s="45">
        <v>15</v>
      </c>
      <c r="Q134" s="46">
        <v>15</v>
      </c>
      <c r="R134" s="46"/>
      <c r="S134" s="46"/>
      <c r="T134" s="47"/>
      <c r="U134" s="71">
        <f t="shared" si="38"/>
        <v>15</v>
      </c>
      <c r="V134" s="72">
        <f t="shared" si="39"/>
        <v>15</v>
      </c>
      <c r="W134" s="99"/>
      <c r="X134" s="100"/>
      <c r="Y134" s="85"/>
      <c r="Z134" s="73"/>
      <c r="AA134" s="74"/>
      <c r="AB134" s="75">
        <f t="shared" si="40"/>
        <v>0</v>
      </c>
      <c r="AC134" s="72">
        <f t="shared" si="41"/>
        <v>0</v>
      </c>
      <c r="AD134" s="52">
        <v>2</v>
      </c>
      <c r="AE134" s="71">
        <f t="shared" si="42"/>
        <v>2</v>
      </c>
      <c r="AF134" s="76"/>
      <c r="AG134" s="86"/>
      <c r="AH134" s="77">
        <f t="shared" si="43"/>
        <v>17</v>
      </c>
      <c r="AI134" s="56">
        <v>10</v>
      </c>
      <c r="AJ134" s="56">
        <v>10</v>
      </c>
      <c r="AK134" s="56">
        <v>45</v>
      </c>
      <c r="AL134" s="57">
        <f t="shared" si="44"/>
        <v>82</v>
      </c>
      <c r="AM134" s="55">
        <f t="shared" si="45"/>
        <v>82</v>
      </c>
      <c r="AN134" s="78">
        <f t="shared" si="46"/>
        <v>1.02</v>
      </c>
      <c r="AO134" s="79"/>
      <c r="AP134" s="80">
        <f t="shared" si="51"/>
        <v>1</v>
      </c>
      <c r="AQ134" s="80">
        <f t="shared" si="51"/>
        <v>2</v>
      </c>
      <c r="AR134" s="61"/>
      <c r="AS134" s="62"/>
      <c r="AT134" s="81"/>
      <c r="AU134" s="81"/>
      <c r="AV134" s="81"/>
      <c r="AW134" s="81"/>
      <c r="AX134" s="82"/>
      <c r="AY134" s="83">
        <f t="shared" si="47"/>
        <v>0</v>
      </c>
      <c r="AZ134" s="83">
        <f t="shared" si="37"/>
        <v>0</v>
      </c>
    </row>
    <row r="135" spans="1:52" s="66" customFormat="1" ht="39.75" customHeight="1" thickBot="1" x14ac:dyDescent="0.2">
      <c r="A135" s="101"/>
      <c r="B135" s="101"/>
      <c r="C135" s="101"/>
      <c r="D135" s="101"/>
      <c r="E135" s="101"/>
      <c r="F135" s="101"/>
      <c r="G135" s="90"/>
      <c r="H135" s="158"/>
      <c r="I135" s="92">
        <v>0.51</v>
      </c>
      <c r="J135" s="41">
        <v>0.49</v>
      </c>
      <c r="K135" s="41"/>
      <c r="L135" s="41"/>
      <c r="M135" s="93"/>
      <c r="N135" s="94">
        <f t="shared" si="50"/>
        <v>1</v>
      </c>
      <c r="O135" s="44">
        <v>1</v>
      </c>
      <c r="P135" s="45">
        <v>15</v>
      </c>
      <c r="Q135" s="46">
        <v>15</v>
      </c>
      <c r="R135" s="46"/>
      <c r="S135" s="46"/>
      <c r="T135" s="47"/>
      <c r="U135" s="71">
        <f t="shared" si="38"/>
        <v>15</v>
      </c>
      <c r="V135" s="72">
        <f t="shared" si="39"/>
        <v>15</v>
      </c>
      <c r="W135" s="99"/>
      <c r="X135" s="100"/>
      <c r="Y135" s="85"/>
      <c r="Z135" s="73"/>
      <c r="AA135" s="74"/>
      <c r="AB135" s="75">
        <f t="shared" si="40"/>
        <v>0</v>
      </c>
      <c r="AC135" s="72">
        <f t="shared" si="41"/>
        <v>0</v>
      </c>
      <c r="AD135" s="52">
        <v>2</v>
      </c>
      <c r="AE135" s="71">
        <f t="shared" si="42"/>
        <v>2</v>
      </c>
      <c r="AF135" s="76"/>
      <c r="AG135" s="86"/>
      <c r="AH135" s="77">
        <f t="shared" si="43"/>
        <v>17</v>
      </c>
      <c r="AI135" s="56">
        <v>10</v>
      </c>
      <c r="AJ135" s="56">
        <v>10</v>
      </c>
      <c r="AK135" s="56">
        <v>45</v>
      </c>
      <c r="AL135" s="57">
        <f t="shared" si="44"/>
        <v>82</v>
      </c>
      <c r="AM135" s="55">
        <f t="shared" si="45"/>
        <v>82</v>
      </c>
      <c r="AN135" s="78">
        <f t="shared" si="46"/>
        <v>1.02</v>
      </c>
      <c r="AO135" s="79"/>
      <c r="AP135" s="80">
        <f t="shared" si="51"/>
        <v>1</v>
      </c>
      <c r="AQ135" s="80">
        <f t="shared" si="51"/>
        <v>2</v>
      </c>
      <c r="AR135" s="61"/>
      <c r="AS135" s="62"/>
      <c r="AT135" s="81"/>
      <c r="AU135" s="81"/>
      <c r="AV135" s="81"/>
      <c r="AW135" s="81"/>
      <c r="AX135" s="82"/>
      <c r="AY135" s="83">
        <f t="shared" si="47"/>
        <v>0</v>
      </c>
      <c r="AZ135" s="83">
        <f t="shared" si="37"/>
        <v>0</v>
      </c>
    </row>
    <row r="136" spans="1:52" s="23" customFormat="1" ht="39.75" customHeight="1" thickBot="1" x14ac:dyDescent="0.2">
      <c r="A136" s="101"/>
      <c r="B136" s="101"/>
      <c r="C136" s="101"/>
      <c r="D136" s="101"/>
      <c r="E136" s="101"/>
      <c r="F136" s="101"/>
      <c r="G136" s="90"/>
      <c r="H136" s="158"/>
      <c r="I136" s="92">
        <v>0.51</v>
      </c>
      <c r="J136" s="41">
        <v>0.49</v>
      </c>
      <c r="K136" s="41"/>
      <c r="L136" s="41"/>
      <c r="M136" s="93"/>
      <c r="N136" s="94">
        <f t="shared" si="50"/>
        <v>1</v>
      </c>
      <c r="O136" s="44">
        <v>1</v>
      </c>
      <c r="P136" s="45">
        <v>15</v>
      </c>
      <c r="Q136" s="46">
        <v>15</v>
      </c>
      <c r="R136" s="46"/>
      <c r="S136" s="46"/>
      <c r="T136" s="47"/>
      <c r="U136" s="71">
        <f t="shared" si="38"/>
        <v>15</v>
      </c>
      <c r="V136" s="72">
        <f t="shared" si="39"/>
        <v>15</v>
      </c>
      <c r="W136" s="99"/>
      <c r="X136" s="100"/>
      <c r="Y136" s="85"/>
      <c r="Z136" s="73"/>
      <c r="AA136" s="74"/>
      <c r="AB136" s="75">
        <f t="shared" si="40"/>
        <v>0</v>
      </c>
      <c r="AC136" s="72">
        <f t="shared" si="41"/>
        <v>0</v>
      </c>
      <c r="AD136" s="52">
        <v>2</v>
      </c>
      <c r="AE136" s="71">
        <f t="shared" si="42"/>
        <v>2</v>
      </c>
      <c r="AF136" s="76"/>
      <c r="AG136" s="86"/>
      <c r="AH136" s="77">
        <f t="shared" si="43"/>
        <v>17</v>
      </c>
      <c r="AI136" s="56">
        <v>10</v>
      </c>
      <c r="AJ136" s="56">
        <v>10</v>
      </c>
      <c r="AK136" s="56">
        <v>45</v>
      </c>
      <c r="AL136" s="57">
        <f t="shared" si="44"/>
        <v>82</v>
      </c>
      <c r="AM136" s="55">
        <f t="shared" si="45"/>
        <v>82</v>
      </c>
      <c r="AN136" s="78">
        <f t="shared" si="46"/>
        <v>1.02</v>
      </c>
      <c r="AO136" s="79"/>
      <c r="AP136" s="80">
        <f t="shared" si="51"/>
        <v>1</v>
      </c>
      <c r="AQ136" s="80">
        <f t="shared" si="51"/>
        <v>2</v>
      </c>
      <c r="AR136" s="61"/>
      <c r="AS136" s="62"/>
      <c r="AT136" s="81"/>
      <c r="AU136" s="81"/>
      <c r="AV136" s="81"/>
      <c r="AW136" s="81"/>
      <c r="AX136" s="82"/>
      <c r="AY136" s="83">
        <f t="shared" si="47"/>
        <v>0</v>
      </c>
      <c r="AZ136" s="83">
        <f t="shared" si="37"/>
        <v>0</v>
      </c>
    </row>
    <row r="137" spans="1:52" s="66" customFormat="1" ht="39.75" customHeight="1" thickBot="1" x14ac:dyDescent="0.2">
      <c r="A137" s="101"/>
      <c r="B137" s="101"/>
      <c r="C137" s="101"/>
      <c r="D137" s="101"/>
      <c r="E137" s="101"/>
      <c r="F137" s="101"/>
      <c r="G137" s="90"/>
      <c r="H137" s="158"/>
      <c r="I137" s="92">
        <v>0.51</v>
      </c>
      <c r="J137" s="41">
        <v>0.49</v>
      </c>
      <c r="K137" s="41"/>
      <c r="L137" s="41"/>
      <c r="M137" s="93"/>
      <c r="N137" s="94">
        <f t="shared" si="50"/>
        <v>1</v>
      </c>
      <c r="O137" s="44">
        <v>1</v>
      </c>
      <c r="P137" s="45">
        <v>15</v>
      </c>
      <c r="Q137" s="46">
        <v>15</v>
      </c>
      <c r="R137" s="46"/>
      <c r="S137" s="46"/>
      <c r="T137" s="47"/>
      <c r="U137" s="71">
        <f t="shared" si="38"/>
        <v>15</v>
      </c>
      <c r="V137" s="72">
        <f t="shared" si="39"/>
        <v>15</v>
      </c>
      <c r="W137" s="99"/>
      <c r="X137" s="100"/>
      <c r="Y137" s="85"/>
      <c r="Z137" s="73"/>
      <c r="AA137" s="74"/>
      <c r="AB137" s="75">
        <f t="shared" si="40"/>
        <v>0</v>
      </c>
      <c r="AC137" s="72">
        <f t="shared" si="41"/>
        <v>0</v>
      </c>
      <c r="AD137" s="52">
        <v>2</v>
      </c>
      <c r="AE137" s="71">
        <f t="shared" si="42"/>
        <v>2</v>
      </c>
      <c r="AF137" s="76"/>
      <c r="AG137" s="86"/>
      <c r="AH137" s="77">
        <f t="shared" si="43"/>
        <v>17</v>
      </c>
      <c r="AI137" s="56">
        <v>10</v>
      </c>
      <c r="AJ137" s="56">
        <v>10</v>
      </c>
      <c r="AK137" s="56">
        <v>45</v>
      </c>
      <c r="AL137" s="57">
        <f t="shared" si="44"/>
        <v>82</v>
      </c>
      <c r="AM137" s="55">
        <f t="shared" si="45"/>
        <v>82</v>
      </c>
      <c r="AN137" s="78">
        <f t="shared" si="46"/>
        <v>1.02</v>
      </c>
      <c r="AO137" s="79"/>
      <c r="AP137" s="80">
        <f t="shared" si="51"/>
        <v>1</v>
      </c>
      <c r="AQ137" s="80">
        <f t="shared" si="51"/>
        <v>2</v>
      </c>
      <c r="AR137" s="61"/>
      <c r="AS137" s="62"/>
      <c r="AT137" s="81"/>
      <c r="AU137" s="81"/>
      <c r="AV137" s="81"/>
      <c r="AW137" s="81"/>
      <c r="AX137" s="82"/>
      <c r="AY137" s="83">
        <f t="shared" si="47"/>
        <v>0</v>
      </c>
      <c r="AZ137" s="83">
        <f t="shared" si="37"/>
        <v>0</v>
      </c>
    </row>
    <row r="138" spans="1:52" s="66" customFormat="1" ht="39.75" customHeight="1" thickBot="1" x14ac:dyDescent="0.2">
      <c r="A138" s="101"/>
      <c r="B138" s="101"/>
      <c r="C138" s="101"/>
      <c r="D138" s="101"/>
      <c r="E138" s="101"/>
      <c r="F138" s="101"/>
      <c r="G138" s="90"/>
      <c r="H138" s="158"/>
      <c r="I138" s="92">
        <v>0.51</v>
      </c>
      <c r="J138" s="41">
        <v>0.49</v>
      </c>
      <c r="K138" s="41"/>
      <c r="L138" s="41"/>
      <c r="M138" s="93"/>
      <c r="N138" s="94">
        <f t="shared" si="50"/>
        <v>1</v>
      </c>
      <c r="O138" s="44">
        <v>1</v>
      </c>
      <c r="P138" s="45">
        <v>15</v>
      </c>
      <c r="Q138" s="46">
        <v>15</v>
      </c>
      <c r="R138" s="46"/>
      <c r="S138" s="46"/>
      <c r="T138" s="47"/>
      <c r="U138" s="71">
        <f t="shared" si="38"/>
        <v>15</v>
      </c>
      <c r="V138" s="72">
        <f t="shared" si="39"/>
        <v>15</v>
      </c>
      <c r="W138" s="99"/>
      <c r="X138" s="100"/>
      <c r="Y138" s="85"/>
      <c r="Z138" s="73"/>
      <c r="AA138" s="74"/>
      <c r="AB138" s="75">
        <f t="shared" si="40"/>
        <v>0</v>
      </c>
      <c r="AC138" s="72">
        <f t="shared" si="41"/>
        <v>0</v>
      </c>
      <c r="AD138" s="52">
        <v>2</v>
      </c>
      <c r="AE138" s="71">
        <f t="shared" si="42"/>
        <v>2</v>
      </c>
      <c r="AF138" s="86"/>
      <c r="AG138" s="86"/>
      <c r="AH138" s="77">
        <f t="shared" si="43"/>
        <v>17</v>
      </c>
      <c r="AI138" s="56">
        <v>10</v>
      </c>
      <c r="AJ138" s="56">
        <v>10</v>
      </c>
      <c r="AK138" s="56">
        <v>45</v>
      </c>
      <c r="AL138" s="57">
        <f t="shared" si="44"/>
        <v>82</v>
      </c>
      <c r="AM138" s="55">
        <f t="shared" si="45"/>
        <v>82</v>
      </c>
      <c r="AN138" s="78">
        <f t="shared" si="46"/>
        <v>1.02</v>
      </c>
      <c r="AO138" s="79"/>
      <c r="AP138" s="80">
        <f t="shared" si="51"/>
        <v>1</v>
      </c>
      <c r="AQ138" s="80">
        <f t="shared" si="51"/>
        <v>2</v>
      </c>
      <c r="AR138" s="61"/>
      <c r="AS138" s="62"/>
      <c r="AT138" s="81"/>
      <c r="AU138" s="81"/>
      <c r="AV138" s="81"/>
      <c r="AW138" s="81"/>
      <c r="AX138" s="82"/>
      <c r="AY138" s="83">
        <f t="shared" si="47"/>
        <v>0</v>
      </c>
      <c r="AZ138" s="83">
        <f t="shared" si="37"/>
        <v>0</v>
      </c>
    </row>
  </sheetData>
  <mergeCells count="43">
    <mergeCell ref="C18:G18"/>
    <mergeCell ref="C31:G31"/>
    <mergeCell ref="C33:G33"/>
    <mergeCell ref="C11:G11"/>
    <mergeCell ref="AZ3:AZ4"/>
    <mergeCell ref="AT3:AT4"/>
    <mergeCell ref="AU3:AU4"/>
    <mergeCell ref="AV3:AV4"/>
    <mergeCell ref="AW3:AW4"/>
    <mergeCell ref="AX3:AX4"/>
    <mergeCell ref="AY3:AY4"/>
    <mergeCell ref="AN3:AN4"/>
    <mergeCell ref="AO3:AO4"/>
    <mergeCell ref="AP3:AP4"/>
    <mergeCell ref="AQ3:AQ4"/>
    <mergeCell ref="AR3:AR4"/>
    <mergeCell ref="AS3:AS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C35:G35"/>
    <mergeCell ref="C16:G16"/>
    <mergeCell ref="AG1:AJ1"/>
    <mergeCell ref="D2:E2"/>
    <mergeCell ref="I2:J2"/>
    <mergeCell ref="M2:P2"/>
    <mergeCell ref="W2:X2"/>
    <mergeCell ref="Y2:Z2"/>
    <mergeCell ref="AA2:AB2"/>
    <mergeCell ref="AE2:AL2"/>
    <mergeCell ref="D1:E1"/>
    <mergeCell ref="I1:J1"/>
    <mergeCell ref="W1:X1"/>
    <mergeCell ref="Y1:Z1"/>
    <mergeCell ref="AA1:AB1"/>
    <mergeCell ref="AE1:AF1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60" max="51" man="1"/>
  </rowBreaks>
  <colBreaks count="2" manualBreakCount="2">
    <brk id="14" max="132" man="1"/>
    <brk id="40" max="13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Z142"/>
  <sheetViews>
    <sheetView zoomScale="86" zoomScaleNormal="86" workbookViewId="0">
      <selection activeCell="J30" sqref="J30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8.77734375" style="102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103" hidden="1" customWidth="1"/>
    <col min="23" max="27" width="8.33203125" style="1" customWidth="1"/>
    <col min="28" max="28" width="7.6640625" style="1" customWidth="1"/>
    <col min="29" max="29" width="7.6640625" style="103" hidden="1" customWidth="1"/>
    <col min="30" max="31" width="7.6640625" style="103" customWidth="1"/>
    <col min="32" max="33" width="6.109375" style="1" customWidth="1"/>
    <col min="34" max="34" width="7.6640625" style="1" customWidth="1"/>
    <col min="35" max="37" width="4.5546875" style="1" customWidth="1"/>
    <col min="38" max="38" width="6.7773437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58</v>
      </c>
      <c r="D1" s="366">
        <v>9739527000</v>
      </c>
      <c r="E1" s="366"/>
      <c r="F1" s="4"/>
      <c r="G1" s="5"/>
      <c r="H1" s="6" t="s">
        <v>57</v>
      </c>
      <c r="I1" s="367">
        <v>11178201000</v>
      </c>
      <c r="J1" s="368"/>
      <c r="K1" s="7" t="s">
        <v>275</v>
      </c>
      <c r="L1" s="178"/>
      <c r="M1" s="178"/>
      <c r="N1" s="8"/>
      <c r="O1" s="8"/>
      <c r="P1" s="8"/>
      <c r="Q1" s="8"/>
      <c r="R1" s="8"/>
      <c r="S1" s="8"/>
      <c r="T1" s="8"/>
      <c r="U1" s="8"/>
      <c r="V1" s="8"/>
      <c r="W1" s="369" t="s">
        <v>56</v>
      </c>
      <c r="X1" s="369"/>
      <c r="Y1" s="370" t="s">
        <v>55</v>
      </c>
      <c r="Z1" s="371"/>
      <c r="AA1" s="372" t="s">
        <v>0</v>
      </c>
      <c r="AB1" s="373"/>
      <c r="AC1" s="11"/>
      <c r="AD1" s="11"/>
      <c r="AE1" s="374" t="s">
        <v>54</v>
      </c>
      <c r="AF1" s="375"/>
      <c r="AG1" s="355">
        <f>D1</f>
        <v>9739527000</v>
      </c>
      <c r="AH1" s="355"/>
      <c r="AI1" s="355"/>
      <c r="AJ1" s="355"/>
      <c r="AK1" s="9" t="s">
        <v>53</v>
      </c>
      <c r="AL1" s="10"/>
      <c r="AM1" s="10"/>
      <c r="AN1" s="8"/>
      <c r="AQ1" s="104"/>
    </row>
    <row r="2" spans="1:52" s="19" customFormat="1" ht="29.25" customHeight="1" thickBot="1" x14ac:dyDescent="0.2">
      <c r="A2" s="11"/>
      <c r="B2" s="12"/>
      <c r="C2" s="13" t="s">
        <v>52</v>
      </c>
      <c r="D2" s="356">
        <v>9899295000</v>
      </c>
      <c r="E2" s="356"/>
      <c r="F2" s="14"/>
      <c r="G2" s="15"/>
      <c r="H2" s="3" t="s">
        <v>51</v>
      </c>
      <c r="I2" s="357">
        <f>D2*2</f>
        <v>19798590000</v>
      </c>
      <c r="J2" s="358"/>
      <c r="K2" s="16" t="s">
        <v>50</v>
      </c>
      <c r="L2" s="177" t="s">
        <v>49</v>
      </c>
      <c r="M2" s="359">
        <v>45973.625</v>
      </c>
      <c r="N2" s="359"/>
      <c r="O2" s="359"/>
      <c r="P2" s="359"/>
      <c r="Q2" s="176" t="s">
        <v>60</v>
      </c>
      <c r="R2" s="176"/>
      <c r="S2" s="176"/>
      <c r="T2" s="17"/>
      <c r="U2" s="175"/>
      <c r="V2" s="175"/>
      <c r="W2" s="360">
        <v>2957695000</v>
      </c>
      <c r="X2" s="360"/>
      <c r="Y2" s="361">
        <f>I1</f>
        <v>11178201000</v>
      </c>
      <c r="Z2" s="362"/>
      <c r="AA2" s="363">
        <f>TRUNC(W2/Y2,4)</f>
        <v>0.26450000000000001</v>
      </c>
      <c r="AB2" s="364"/>
      <c r="AC2" s="18"/>
      <c r="AD2" s="260" t="s">
        <v>278</v>
      </c>
      <c r="AE2" s="145"/>
      <c r="AF2" s="145"/>
      <c r="AG2" s="145"/>
      <c r="AH2" s="145"/>
      <c r="AI2" s="145"/>
      <c r="AJ2" s="145"/>
      <c r="AK2" s="145"/>
      <c r="AL2" s="145"/>
      <c r="AM2" s="145"/>
      <c r="AN2" s="104" t="s">
        <v>61</v>
      </c>
      <c r="AO2" s="20"/>
      <c r="AP2" s="104"/>
      <c r="AQ2" s="104"/>
      <c r="AR2" s="104"/>
      <c r="AS2" s="1"/>
      <c r="AT2" s="21" t="s">
        <v>48</v>
      </c>
      <c r="AU2" s="377">
        <f>AG1</f>
        <v>9739527000</v>
      </c>
      <c r="AV2" s="378"/>
      <c r="AY2" s="22"/>
    </row>
    <row r="3" spans="1:52" s="23" customFormat="1" ht="24.95" customHeight="1" thickBot="1" x14ac:dyDescent="0.2">
      <c r="A3" s="379" t="s">
        <v>47</v>
      </c>
      <c r="B3" s="381" t="s">
        <v>46</v>
      </c>
      <c r="C3" s="383" t="s">
        <v>45</v>
      </c>
      <c r="D3" s="384"/>
      <c r="E3" s="384"/>
      <c r="F3" s="384"/>
      <c r="G3" s="384"/>
      <c r="H3" s="385"/>
      <c r="I3" s="383" t="s">
        <v>19</v>
      </c>
      <c r="J3" s="384"/>
      <c r="K3" s="384"/>
      <c r="L3" s="384"/>
      <c r="M3" s="385"/>
      <c r="N3" s="386" t="s">
        <v>18</v>
      </c>
      <c r="O3" s="388" t="s">
        <v>17</v>
      </c>
      <c r="P3" s="383" t="s">
        <v>44</v>
      </c>
      <c r="Q3" s="384"/>
      <c r="R3" s="390"/>
      <c r="S3" s="390"/>
      <c r="T3" s="384"/>
      <c r="U3" s="385"/>
      <c r="V3" s="184"/>
      <c r="W3" s="383" t="s">
        <v>4</v>
      </c>
      <c r="X3" s="384"/>
      <c r="Y3" s="384"/>
      <c r="Z3" s="384"/>
      <c r="AA3" s="384"/>
      <c r="AB3" s="384"/>
      <c r="AC3" s="384"/>
      <c r="AD3" s="384"/>
      <c r="AE3" s="385"/>
      <c r="AF3" s="383"/>
      <c r="AG3" s="384"/>
      <c r="AH3" s="384"/>
      <c r="AI3" s="384"/>
      <c r="AJ3" s="384"/>
      <c r="AK3" s="384"/>
      <c r="AL3" s="384"/>
      <c r="AM3" s="385"/>
      <c r="AN3" s="391" t="s">
        <v>43</v>
      </c>
      <c r="AO3" s="393" t="s">
        <v>42</v>
      </c>
      <c r="AP3" s="395" t="s">
        <v>41</v>
      </c>
      <c r="AQ3" s="397" t="s">
        <v>16</v>
      </c>
      <c r="AR3" s="399" t="s">
        <v>40</v>
      </c>
      <c r="AS3" s="376" t="s">
        <v>39</v>
      </c>
      <c r="AT3" s="393" t="s">
        <v>38</v>
      </c>
      <c r="AU3" s="376" t="s">
        <v>15</v>
      </c>
      <c r="AV3" s="376" t="s">
        <v>37</v>
      </c>
      <c r="AW3" s="376" t="s">
        <v>36</v>
      </c>
      <c r="AX3" s="400" t="s">
        <v>14</v>
      </c>
      <c r="AY3" s="376" t="s">
        <v>13</v>
      </c>
      <c r="AZ3" s="376" t="s">
        <v>12</v>
      </c>
    </row>
    <row r="4" spans="1:52" s="23" customFormat="1" ht="39.75" customHeight="1" thickBot="1" x14ac:dyDescent="0.2">
      <c r="A4" s="380"/>
      <c r="B4" s="382"/>
      <c r="C4" s="24" t="s">
        <v>32</v>
      </c>
      <c r="D4" s="25" t="s">
        <v>31</v>
      </c>
      <c r="E4" s="26" t="s">
        <v>9</v>
      </c>
      <c r="F4" s="26" t="s">
        <v>8</v>
      </c>
      <c r="G4" s="27" t="s">
        <v>10</v>
      </c>
      <c r="H4" s="184" t="s">
        <v>35</v>
      </c>
      <c r="I4" s="28" t="s">
        <v>32</v>
      </c>
      <c r="J4" s="29" t="s">
        <v>31</v>
      </c>
      <c r="K4" s="25" t="s">
        <v>9</v>
      </c>
      <c r="L4" s="25" t="s">
        <v>8</v>
      </c>
      <c r="M4" s="30" t="s">
        <v>7</v>
      </c>
      <c r="N4" s="387"/>
      <c r="O4" s="389"/>
      <c r="P4" s="28" t="s">
        <v>32</v>
      </c>
      <c r="Q4" s="29" t="s">
        <v>31</v>
      </c>
      <c r="R4" s="25" t="s">
        <v>9</v>
      </c>
      <c r="S4" s="25" t="s">
        <v>11</v>
      </c>
      <c r="T4" s="30" t="s">
        <v>7</v>
      </c>
      <c r="U4" s="31" t="s">
        <v>34</v>
      </c>
      <c r="V4" s="32" t="s">
        <v>33</v>
      </c>
      <c r="W4" s="33" t="s">
        <v>32</v>
      </c>
      <c r="X4" s="29" t="s">
        <v>31</v>
      </c>
      <c r="Y4" s="29" t="s">
        <v>30</v>
      </c>
      <c r="Z4" s="29" t="s">
        <v>11</v>
      </c>
      <c r="AA4" s="30" t="s">
        <v>10</v>
      </c>
      <c r="AB4" s="34" t="s">
        <v>29</v>
      </c>
      <c r="AC4" s="35" t="s">
        <v>28</v>
      </c>
      <c r="AD4" s="36" t="s">
        <v>27</v>
      </c>
      <c r="AE4" s="36" t="s">
        <v>26</v>
      </c>
      <c r="AF4" s="37" t="s">
        <v>25</v>
      </c>
      <c r="AG4" s="37" t="s">
        <v>24</v>
      </c>
      <c r="AH4" s="38" t="s">
        <v>23</v>
      </c>
      <c r="AI4" s="38" t="s">
        <v>22</v>
      </c>
      <c r="AJ4" s="38" t="s">
        <v>21</v>
      </c>
      <c r="AK4" s="39" t="s">
        <v>6</v>
      </c>
      <c r="AL4" s="39"/>
      <c r="AM4" s="39" t="s">
        <v>5</v>
      </c>
      <c r="AN4" s="392"/>
      <c r="AO4" s="394"/>
      <c r="AP4" s="396"/>
      <c r="AQ4" s="398"/>
      <c r="AR4" s="399"/>
      <c r="AS4" s="376"/>
      <c r="AT4" s="394"/>
      <c r="AU4" s="376"/>
      <c r="AV4" s="376"/>
      <c r="AW4" s="376"/>
      <c r="AX4" s="401"/>
      <c r="AY4" s="376"/>
      <c r="AZ4" s="376"/>
    </row>
    <row r="5" spans="1:52" s="66" customFormat="1" ht="39.75" customHeight="1" thickBot="1" x14ac:dyDescent="0.2">
      <c r="A5" s="96">
        <v>1</v>
      </c>
      <c r="B5" s="91" t="s">
        <v>294</v>
      </c>
      <c r="C5" s="132" t="s">
        <v>251</v>
      </c>
      <c r="D5" s="131" t="s">
        <v>296</v>
      </c>
      <c r="E5" s="131"/>
      <c r="F5" s="110"/>
      <c r="G5" s="97"/>
      <c r="H5" s="207" t="s">
        <v>274</v>
      </c>
      <c r="I5" s="258">
        <v>0.84250000000000003</v>
      </c>
      <c r="J5" s="259">
        <v>0.1</v>
      </c>
      <c r="K5" s="174"/>
      <c r="L5" s="42"/>
      <c r="M5" s="68"/>
      <c r="N5" s="69">
        <f>SUM(I5:M5)</f>
        <v>0.9425</v>
      </c>
      <c r="O5" s="125">
        <v>1</v>
      </c>
      <c r="P5" s="173">
        <v>15</v>
      </c>
      <c r="Q5" s="113">
        <v>15</v>
      </c>
      <c r="R5" s="113"/>
      <c r="S5" s="120"/>
      <c r="T5" s="70"/>
      <c r="U5" s="71">
        <f>ROUND(((P5*I5)+(Q5*J5)+(R5*K5)+(S5*L5)+(T5*M5))*O5,2)</f>
        <v>14.14</v>
      </c>
      <c r="V5" s="72">
        <f>IF(U5&gt;=15,15,U5)</f>
        <v>14.14</v>
      </c>
      <c r="W5" s="116">
        <v>39588420000</v>
      </c>
      <c r="X5" s="136">
        <v>3664456000</v>
      </c>
      <c r="Y5" s="116"/>
      <c r="Z5" s="119"/>
      <c r="AA5" s="74"/>
      <c r="AB5" s="75">
        <f>ROUND((((W5*I5)+(X5*J5)+(Y5*K5)+(Z5*L5)+(AA5*M5))/$I$2),2)*13</f>
        <v>22.099999999999998</v>
      </c>
      <c r="AC5" s="72">
        <f>IF(AB5&gt;=13,13,AB5)</f>
        <v>13</v>
      </c>
      <c r="AD5" s="149">
        <v>1</v>
      </c>
      <c r="AE5" s="71">
        <f>IF((AC5+AD5)&gt;=15,15,(AC5+AD5))</f>
        <v>14</v>
      </c>
      <c r="AF5" s="76">
        <f>1.5*I5</f>
        <v>1.2637499999999999</v>
      </c>
      <c r="AG5" s="54">
        <v>2.96</v>
      </c>
      <c r="AH5" s="77">
        <f>IF((V5+AE5+AF5)&gt;=30,30,(V5+AE5+AF5))</f>
        <v>29.403750000000002</v>
      </c>
      <c r="AI5" s="56">
        <v>10</v>
      </c>
      <c r="AJ5" s="56">
        <v>10</v>
      </c>
      <c r="AK5" s="56">
        <v>45</v>
      </c>
      <c r="AL5" s="57">
        <f>V5+AE5+AF5+AI5+AJ5+AK5+AG5</f>
        <v>97.363749999999996</v>
      </c>
      <c r="AM5" s="55">
        <f>IF(AH5+AI5+AJ5+AK5+AG5&gt;=95,95,AH5+AI5+AJ5+AK5+AG5)</f>
        <v>95</v>
      </c>
      <c r="AN5" s="78">
        <f>-((50-((176+(45+(50-AH5)))))/200)</f>
        <v>0.95798125000000001</v>
      </c>
      <c r="AO5" s="79"/>
      <c r="AP5" s="80">
        <f>100%+AO5</f>
        <v>1</v>
      </c>
      <c r="AQ5" s="80">
        <f>100%+AP5</f>
        <v>2</v>
      </c>
      <c r="AR5" s="61"/>
      <c r="AS5" s="62"/>
      <c r="AT5" s="81"/>
      <c r="AU5" s="81"/>
      <c r="AV5" s="81"/>
      <c r="AW5" s="81"/>
      <c r="AX5" s="82"/>
      <c r="AY5" s="83">
        <f>AT5+AU5+AV5+AW5+AX5</f>
        <v>0</v>
      </c>
      <c r="AZ5" s="83">
        <f>(AT5*I5)+(AU5*J5)+(AV5*K5)+(AW5*L5)+(AX5*M5)</f>
        <v>0</v>
      </c>
    </row>
    <row r="6" spans="1:52" s="66" customFormat="1" ht="21.95" customHeight="1" thickBot="1" x14ac:dyDescent="0.2">
      <c r="A6" s="96"/>
      <c r="B6" s="91"/>
      <c r="C6" s="352" t="s">
        <v>3</v>
      </c>
      <c r="D6" s="353"/>
      <c r="E6" s="353"/>
      <c r="F6" s="353"/>
      <c r="G6" s="354"/>
      <c r="H6" s="67"/>
      <c r="I6" s="84">
        <v>85</v>
      </c>
      <c r="J6" s="84">
        <v>85</v>
      </c>
      <c r="K6" s="84"/>
      <c r="L6" s="84"/>
      <c r="M6" s="84"/>
      <c r="N6" s="168">
        <f>I6*I5+J6*J5+K6*K5+L6*L5+M6*M5</f>
        <v>80.112499999999997</v>
      </c>
      <c r="O6" s="44"/>
      <c r="P6" s="45"/>
      <c r="Q6" s="46"/>
      <c r="R6" s="46"/>
      <c r="S6" s="47"/>
      <c r="T6" s="70"/>
      <c r="U6" s="71"/>
      <c r="V6" s="72"/>
      <c r="W6" s="150"/>
      <c r="X6" s="85"/>
      <c r="Y6" s="151"/>
      <c r="Z6" s="85"/>
      <c r="AA6" s="74"/>
      <c r="AB6" s="75"/>
      <c r="AC6" s="72"/>
      <c r="AD6" s="71"/>
      <c r="AE6" s="71"/>
      <c r="AF6" s="152"/>
      <c r="AG6" s="86"/>
      <c r="AH6" s="77"/>
      <c r="AI6" s="87"/>
      <c r="AJ6" s="46"/>
      <c r="AK6" s="77"/>
      <c r="AL6" s="78"/>
      <c r="AM6" s="79"/>
      <c r="AN6" s="80"/>
      <c r="AO6" s="80"/>
      <c r="AP6" s="61"/>
      <c r="AQ6" s="62"/>
      <c r="AR6" s="81"/>
      <c r="AS6" s="81"/>
      <c r="AT6" s="81"/>
      <c r="AU6" s="81"/>
      <c r="AV6" s="82"/>
      <c r="AW6" s="83"/>
      <c r="AX6" s="83"/>
      <c r="AZ6" s="66">
        <f t="shared" ref="AZ6" si="0">(AT6*I6)+(AU6*J6)+(AV6*K6)+(AW6*L6)+(AX6*M6)</f>
        <v>0</v>
      </c>
    </row>
    <row r="7" spans="1:52" s="66" customFormat="1" ht="39.75" customHeight="1" thickBot="1" x14ac:dyDescent="0.2">
      <c r="A7" s="96">
        <v>1</v>
      </c>
      <c r="B7" s="91" t="s">
        <v>294</v>
      </c>
      <c r="C7" s="98" t="s">
        <v>62</v>
      </c>
      <c r="D7" s="134" t="s">
        <v>262</v>
      </c>
      <c r="E7" s="110"/>
      <c r="F7" s="110"/>
      <c r="G7" s="97"/>
      <c r="H7" s="207" t="s">
        <v>263</v>
      </c>
      <c r="I7" s="111">
        <v>0.7</v>
      </c>
      <c r="J7" s="166">
        <v>0.1976</v>
      </c>
      <c r="K7" s="41"/>
      <c r="L7" s="42"/>
      <c r="M7" s="68"/>
      <c r="N7" s="69">
        <f>SUM(I7:M7)</f>
        <v>0.89759999999999995</v>
      </c>
      <c r="O7" s="125">
        <v>1</v>
      </c>
      <c r="P7" s="236">
        <v>15</v>
      </c>
      <c r="Q7" s="135">
        <v>11.23</v>
      </c>
      <c r="R7" s="113"/>
      <c r="S7" s="120"/>
      <c r="T7" s="70"/>
      <c r="U7" s="71">
        <f>ROUND(((P7*I7)+(Q7*J7)+(R7*K7)+(S7*L7)+(T7*M7))*O7,2)</f>
        <v>12.72</v>
      </c>
      <c r="V7" s="72">
        <f>IF(U7&gt;=15,15,U7)</f>
        <v>12.72</v>
      </c>
      <c r="W7" s="116">
        <v>59183685000</v>
      </c>
      <c r="X7" s="136">
        <v>6121402000</v>
      </c>
      <c r="Y7" s="116"/>
      <c r="Z7" s="119"/>
      <c r="AA7" s="74"/>
      <c r="AB7" s="75">
        <f>ROUND((((W7*I7)+(X7*J7)+(Y7*K7)+(Z7*L7)+(AA7*M7))/$I$2),2)*13</f>
        <v>27.95</v>
      </c>
      <c r="AC7" s="72">
        <f>IF(AB7&gt;=13,13,AB7)</f>
        <v>13</v>
      </c>
      <c r="AD7" s="149">
        <v>1</v>
      </c>
      <c r="AE7" s="71">
        <f>IF((AC7+AD7)&gt;=15,15,(AC7+AD7))</f>
        <v>14</v>
      </c>
      <c r="AF7" s="76">
        <f>1.5*I7</f>
        <v>1.0499999999999998</v>
      </c>
      <c r="AG7" s="54">
        <v>2.96</v>
      </c>
      <c r="AH7" s="77">
        <f>IF((V7+AE7+AF7)&gt;=30,30,(V7+AE7+AF7))</f>
        <v>27.77</v>
      </c>
      <c r="AI7" s="56">
        <v>10</v>
      </c>
      <c r="AJ7" s="56">
        <v>10</v>
      </c>
      <c r="AK7" s="56">
        <v>45</v>
      </c>
      <c r="AL7" s="57">
        <f>V7+AE7+AF7+AI7+AJ7+AK7+AG7</f>
        <v>95.72999999999999</v>
      </c>
      <c r="AM7" s="55">
        <f>IF(AH7+AI7+AJ7+AK7+AG7&gt;=95,95,AH7+AI7+AJ7+AK7+AG7)</f>
        <v>95</v>
      </c>
      <c r="AN7" s="78">
        <f>-((50-((176+(45+(50-AH7)))))/200)</f>
        <v>0.96615000000000006</v>
      </c>
      <c r="AO7" s="79"/>
      <c r="AP7" s="80">
        <f>100%+AO7</f>
        <v>1</v>
      </c>
      <c r="AQ7" s="80">
        <f>100%+AP7</f>
        <v>2</v>
      </c>
      <c r="AR7" s="61"/>
      <c r="AS7" s="62"/>
      <c r="AT7" s="81"/>
      <c r="AU7" s="81"/>
      <c r="AV7" s="81"/>
      <c r="AW7" s="81"/>
      <c r="AX7" s="82"/>
      <c r="AY7" s="83">
        <f>AT7+AU7+AV7+AW7+AX7</f>
        <v>0</v>
      </c>
      <c r="AZ7" s="83">
        <f>(AT7*I7)+(AU7*J7)+(AV7*K7)+(AW7*L7)+(AX7*M7)</f>
        <v>0</v>
      </c>
    </row>
    <row r="8" spans="1:52" s="66" customFormat="1" ht="21.95" customHeight="1" thickBot="1" x14ac:dyDescent="0.2">
      <c r="A8" s="96"/>
      <c r="B8" s="91"/>
      <c r="C8" s="352" t="s">
        <v>3</v>
      </c>
      <c r="D8" s="353"/>
      <c r="E8" s="353"/>
      <c r="F8" s="353"/>
      <c r="G8" s="354"/>
      <c r="H8" s="67"/>
      <c r="I8" s="167">
        <v>93.38</v>
      </c>
      <c r="J8" s="84">
        <v>85</v>
      </c>
      <c r="K8" s="84">
        <v>85</v>
      </c>
      <c r="L8" s="84"/>
      <c r="M8" s="84"/>
      <c r="N8" s="168">
        <f>I8*I7+J8*J7+K8*K7+L8*L7+M8*M7</f>
        <v>82.162000000000006</v>
      </c>
      <c r="O8" s="44"/>
      <c r="P8" s="45"/>
      <c r="Q8" s="46"/>
      <c r="R8" s="46"/>
      <c r="S8" s="47"/>
      <c r="T8" s="70"/>
      <c r="U8" s="71"/>
      <c r="V8" s="72"/>
      <c r="W8" s="150"/>
      <c r="X8" s="85"/>
      <c r="Y8" s="151"/>
      <c r="Z8" s="85"/>
      <c r="AA8" s="74"/>
      <c r="AB8" s="75"/>
      <c r="AC8" s="72"/>
      <c r="AD8" s="71"/>
      <c r="AE8" s="71"/>
      <c r="AF8" s="152"/>
      <c r="AG8" s="86"/>
      <c r="AH8" s="77"/>
      <c r="AI8" s="87"/>
      <c r="AJ8" s="46"/>
      <c r="AK8" s="77"/>
      <c r="AL8" s="78"/>
      <c r="AM8" s="79"/>
      <c r="AN8" s="80"/>
      <c r="AO8" s="80"/>
      <c r="AP8" s="61"/>
      <c r="AQ8" s="62"/>
      <c r="AR8" s="81"/>
      <c r="AS8" s="81"/>
      <c r="AT8" s="81"/>
      <c r="AU8" s="81"/>
      <c r="AV8" s="82"/>
      <c r="AW8" s="83"/>
      <c r="AX8" s="83"/>
      <c r="AZ8" s="66">
        <f t="shared" ref="AZ8" si="1">(AT8*I8)+(AU8*J8)+(AV8*K8)+(AW8*L8)+(AX8*M8)</f>
        <v>0</v>
      </c>
    </row>
    <row r="9" spans="1:52" s="66" customFormat="1" ht="39.75" customHeight="1" thickBot="1" x14ac:dyDescent="0.2">
      <c r="A9" s="96">
        <v>2</v>
      </c>
      <c r="B9" s="91" t="s">
        <v>294</v>
      </c>
      <c r="C9" s="131" t="s">
        <v>20</v>
      </c>
      <c r="D9" s="154" t="s">
        <v>269</v>
      </c>
      <c r="E9" s="130" t="s">
        <v>254</v>
      </c>
      <c r="F9" s="110"/>
      <c r="G9" s="97"/>
      <c r="H9" s="254" t="s">
        <v>277</v>
      </c>
      <c r="I9" s="111">
        <v>0.7</v>
      </c>
      <c r="J9" s="252">
        <v>0.15</v>
      </c>
      <c r="K9" s="209">
        <v>0.13619999999999999</v>
      </c>
      <c r="L9" s="42"/>
      <c r="M9" s="68"/>
      <c r="N9" s="69">
        <f>SUM(I9:M9)</f>
        <v>0.98619999999999997</v>
      </c>
      <c r="O9" s="125">
        <v>1</v>
      </c>
      <c r="P9" s="112">
        <v>15</v>
      </c>
      <c r="Q9" s="159">
        <v>13.5</v>
      </c>
      <c r="R9" s="113">
        <v>15</v>
      </c>
      <c r="S9" s="120"/>
      <c r="T9" s="70"/>
      <c r="U9" s="71">
        <f>ROUND(((P9*I9)+(Q9*J9)+(R9*K9)+(S9*L9)+(T9*M9))*O9,2)</f>
        <v>14.57</v>
      </c>
      <c r="V9" s="72">
        <f>IF(U9&gt;=15,15,U9)</f>
        <v>14.57</v>
      </c>
      <c r="W9" s="136">
        <v>39361754000</v>
      </c>
      <c r="X9" s="117">
        <v>3721306000</v>
      </c>
      <c r="Y9" s="116">
        <v>1217056000</v>
      </c>
      <c r="Z9" s="136"/>
      <c r="AA9" s="74"/>
      <c r="AB9" s="75">
        <f>ROUND((((W9*I9)+(X9*J9)+(Y9*K9)+(Z9*L9)+(AA9*M9))/$I$2),2)*13</f>
        <v>18.59</v>
      </c>
      <c r="AC9" s="72">
        <f>IF(AB9&gt;=13,13,AB9)</f>
        <v>13</v>
      </c>
      <c r="AD9" s="124">
        <v>2</v>
      </c>
      <c r="AE9" s="71">
        <f>IF((AC9+AD9)&gt;=15,15,(AC9+AD9))</f>
        <v>15</v>
      </c>
      <c r="AF9" s="76"/>
      <c r="AG9" s="54">
        <v>2.96</v>
      </c>
      <c r="AH9" s="77">
        <f>IF((V9+AE9+AF9)&gt;=30,30,(V9+AE9+AF9))</f>
        <v>29.57</v>
      </c>
      <c r="AI9" s="56">
        <v>10</v>
      </c>
      <c r="AJ9" s="56">
        <v>10</v>
      </c>
      <c r="AK9" s="56">
        <v>45</v>
      </c>
      <c r="AL9" s="57">
        <f>V9+AE9+AF9+AI9+AJ9+AK9+AG9</f>
        <v>97.529999999999987</v>
      </c>
      <c r="AM9" s="55">
        <f>IF(AH9+AI9+AJ9+AK9+AG9&gt;=95,95,AH9+AI9+AJ9+AK9+AG9)</f>
        <v>95</v>
      </c>
      <c r="AN9" s="78">
        <f>-((50-((176+(45+(50-AH9)))))/200)</f>
        <v>0.95715000000000006</v>
      </c>
      <c r="AO9" s="79"/>
      <c r="AP9" s="80">
        <f>100%+AO9</f>
        <v>1</v>
      </c>
      <c r="AQ9" s="80">
        <f>100%+AP9</f>
        <v>2</v>
      </c>
      <c r="AR9" s="61"/>
      <c r="AS9" s="62"/>
      <c r="AT9" s="81"/>
      <c r="AU9" s="81"/>
      <c r="AV9" s="81"/>
      <c r="AW9" s="81"/>
      <c r="AX9" s="82"/>
      <c r="AY9" s="83">
        <f>AT9+AU9+AV9+AW9+AX9</f>
        <v>0</v>
      </c>
      <c r="AZ9" s="83">
        <f>(AT9*I9)+(AU9*J9)+(AV9*K9)+(AW9*L9)+(AX9*M9)</f>
        <v>0</v>
      </c>
    </row>
    <row r="10" spans="1:52" s="66" customFormat="1" ht="21.95" customHeight="1" thickBot="1" x14ac:dyDescent="0.2">
      <c r="A10" s="96"/>
      <c r="B10" s="91"/>
      <c r="C10" s="352" t="s">
        <v>3</v>
      </c>
      <c r="D10" s="353"/>
      <c r="E10" s="353"/>
      <c r="F10" s="353"/>
      <c r="G10" s="354"/>
      <c r="H10" s="67"/>
      <c r="I10" s="167">
        <v>90.73</v>
      </c>
      <c r="J10" s="84">
        <v>85</v>
      </c>
      <c r="K10" s="84">
        <v>85</v>
      </c>
      <c r="L10" s="84"/>
      <c r="M10" s="84"/>
      <c r="N10" s="168">
        <f>I10*I9+J10*J9+K10*K9+L10*L9+M10*M9</f>
        <v>87.837999999999994</v>
      </c>
      <c r="O10" s="44"/>
      <c r="P10" s="45"/>
      <c r="Q10" s="46"/>
      <c r="R10" s="46"/>
      <c r="S10" s="47"/>
      <c r="T10" s="70"/>
      <c r="U10" s="71"/>
      <c r="V10" s="72"/>
      <c r="W10" s="150"/>
      <c r="X10" s="85"/>
      <c r="Y10" s="151"/>
      <c r="Z10" s="85"/>
      <c r="AA10" s="74"/>
      <c r="AB10" s="75"/>
      <c r="AC10" s="72"/>
      <c r="AD10" s="71"/>
      <c r="AE10" s="71"/>
      <c r="AF10" s="152"/>
      <c r="AG10" s="86"/>
      <c r="AH10" s="77"/>
      <c r="AI10" s="87"/>
      <c r="AJ10" s="46"/>
      <c r="AK10" s="77"/>
      <c r="AL10" s="78"/>
      <c r="AM10" s="79"/>
      <c r="AN10" s="80"/>
      <c r="AO10" s="80"/>
      <c r="AP10" s="61"/>
      <c r="AQ10" s="62"/>
      <c r="AR10" s="81"/>
      <c r="AS10" s="81"/>
      <c r="AT10" s="81"/>
      <c r="AU10" s="81"/>
      <c r="AV10" s="82"/>
      <c r="AW10" s="83"/>
      <c r="AX10" s="83"/>
      <c r="AZ10" s="66">
        <f t="shared" ref="AZ10" si="2">(AT10*I10)+(AU10*J10)+(AV10*K10)+(AW10*L10)+(AX10*M10)</f>
        <v>0</v>
      </c>
    </row>
    <row r="11" spans="1:52" s="66" customFormat="1" ht="39.75" customHeight="1" thickBot="1" x14ac:dyDescent="0.2">
      <c r="A11" s="96">
        <v>3</v>
      </c>
      <c r="B11" s="91" t="s">
        <v>294</v>
      </c>
      <c r="C11" s="131" t="s">
        <v>64</v>
      </c>
      <c r="D11" s="134" t="s">
        <v>261</v>
      </c>
      <c r="E11" s="133"/>
      <c r="F11" s="110"/>
      <c r="G11" s="161"/>
      <c r="H11" s="165"/>
      <c r="I11" s="111">
        <v>0.6</v>
      </c>
      <c r="J11" s="257">
        <v>0.4</v>
      </c>
      <c r="K11" s="41"/>
      <c r="L11" s="42"/>
      <c r="M11" s="128"/>
      <c r="N11" s="43">
        <f>SUM(I11:M11)</f>
        <v>1</v>
      </c>
      <c r="O11" s="125">
        <v>1</v>
      </c>
      <c r="P11" s="112">
        <v>15</v>
      </c>
      <c r="Q11" s="113">
        <v>15</v>
      </c>
      <c r="R11" s="113">
        <v>15</v>
      </c>
      <c r="S11" s="120"/>
      <c r="T11" s="156"/>
      <c r="U11" s="48">
        <f>ROUND(((P11*I11)+(Q11*J11)+(R11*K11)+(S11*L11)+(T11*M11))*O11,2)</f>
        <v>15</v>
      </c>
      <c r="V11" s="49">
        <f>IF(U11&gt;=15,15,U11)</f>
        <v>15</v>
      </c>
      <c r="W11" s="140">
        <v>34748832000</v>
      </c>
      <c r="X11" s="136">
        <v>7707037000</v>
      </c>
      <c r="Y11" s="162"/>
      <c r="Z11" s="163"/>
      <c r="AA11" s="164"/>
      <c r="AB11" s="50">
        <f>ROUND((((W11*I11)+(X11*J11)+(Y11*K11)+(Z11*L11)+(AA11*M11))/$I$2),2)*13</f>
        <v>15.73</v>
      </c>
      <c r="AC11" s="51">
        <f>IF(AB11&gt;=13,13,AB11)</f>
        <v>13</v>
      </c>
      <c r="AD11" s="124">
        <v>2</v>
      </c>
      <c r="AE11" s="48">
        <f>IF((AC11+AD11)&gt;=15,15,(AC11+AD11))</f>
        <v>15</v>
      </c>
      <c r="AF11" s="76"/>
      <c r="AG11" s="54">
        <v>2.96</v>
      </c>
      <c r="AH11" s="55">
        <f>IF((V11+AE11+AF11)&gt;=30,30,(V11+AE11+AF11))</f>
        <v>30</v>
      </c>
      <c r="AI11" s="56">
        <v>10</v>
      </c>
      <c r="AJ11" s="56">
        <v>10</v>
      </c>
      <c r="AK11" s="56">
        <v>45</v>
      </c>
      <c r="AL11" s="57">
        <f>V11+AE11+AF11+AI11+AJ11+AK11+AG11</f>
        <v>97.96</v>
      </c>
      <c r="AM11" s="55">
        <f>IF(AH11+AI11+AJ11+AK11+AG11&gt;=95,95,AH11+AI11+AJ11+AK11+AG11)</f>
        <v>95</v>
      </c>
      <c r="AN11" s="58">
        <f>-((50-((176+(45+(50-AH11)))))/200)</f>
        <v>0.95499999999999996</v>
      </c>
      <c r="AO11" s="59"/>
      <c r="AP11" s="60">
        <f>100%+AO11</f>
        <v>1</v>
      </c>
      <c r="AQ11" s="60">
        <f>100%+AP11</f>
        <v>2</v>
      </c>
      <c r="AR11" s="61"/>
      <c r="AS11" s="62"/>
      <c r="AT11" s="63"/>
      <c r="AU11" s="63"/>
      <c r="AV11" s="63"/>
      <c r="AW11" s="63"/>
      <c r="AX11" s="64"/>
      <c r="AY11" s="65">
        <f>AT11+AU11+AV11+AW11+AX11</f>
        <v>0</v>
      </c>
      <c r="AZ11" s="65">
        <f>(AT11*I11)+(AU11*J11)+(AV11*K11)+(AW11*L11)+(AX11*M11)</f>
        <v>0</v>
      </c>
    </row>
    <row r="12" spans="1:52" s="66" customFormat="1" ht="39.75" customHeight="1" thickBot="1" x14ac:dyDescent="0.2">
      <c r="A12" s="96">
        <v>4</v>
      </c>
      <c r="B12" s="210" t="s">
        <v>295</v>
      </c>
      <c r="C12" s="131" t="s">
        <v>63</v>
      </c>
      <c r="D12" s="134" t="s">
        <v>267</v>
      </c>
      <c r="E12" s="133"/>
      <c r="F12" s="110"/>
      <c r="G12" s="170"/>
      <c r="H12" s="207"/>
      <c r="I12" s="92">
        <v>0.55000000000000004</v>
      </c>
      <c r="J12" s="267">
        <v>0.45</v>
      </c>
      <c r="K12" s="41"/>
      <c r="L12" s="42"/>
      <c r="M12" s="147"/>
      <c r="N12" s="94">
        <f>SUM(I12:M12)</f>
        <v>1</v>
      </c>
      <c r="O12" s="125">
        <v>1</v>
      </c>
      <c r="P12" s="112">
        <v>15</v>
      </c>
      <c r="Q12" s="113">
        <v>15</v>
      </c>
      <c r="R12" s="113">
        <v>15</v>
      </c>
      <c r="S12" s="120"/>
      <c r="T12" s="70"/>
      <c r="U12" s="71">
        <f>ROUND(((P12*I12)+(Q12*J12)+(R12*K12)+(S12*L12)+(T12*M12))*O12,2)</f>
        <v>15</v>
      </c>
      <c r="V12" s="72">
        <f>IF(U12&gt;=15,15,U12)</f>
        <v>15</v>
      </c>
      <c r="W12" s="140">
        <v>57539030000</v>
      </c>
      <c r="X12" s="136">
        <v>3482331000</v>
      </c>
      <c r="Y12" s="136"/>
      <c r="Z12" s="136"/>
      <c r="AA12" s="74"/>
      <c r="AB12" s="75">
        <f>ROUND((((W12*I12)+(X12*J12)+(Y12*K12)+(Z12*L12)+(AA12*M12))/$I$2),2)*13</f>
        <v>21.84</v>
      </c>
      <c r="AC12" s="72">
        <f>IF(AB12&gt;=13,13,AB12)</f>
        <v>13</v>
      </c>
      <c r="AD12" s="124">
        <v>2</v>
      </c>
      <c r="AE12" s="71">
        <f>IF((AC12+AD12)&gt;=15,15,(AC12+AD12))</f>
        <v>15</v>
      </c>
      <c r="AF12" s="76">
        <f>0.5*I12</f>
        <v>0.27500000000000002</v>
      </c>
      <c r="AG12" s="54">
        <v>2.96</v>
      </c>
      <c r="AH12" s="77">
        <f>IF((V12+AE12+AF12)&gt;=30,30,(V12+AE12+AF12))</f>
        <v>30</v>
      </c>
      <c r="AI12" s="56">
        <v>10</v>
      </c>
      <c r="AJ12" s="56">
        <v>10</v>
      </c>
      <c r="AK12" s="56">
        <v>45</v>
      </c>
      <c r="AL12" s="57">
        <f>V12+AE12+AF12+AI12+AJ12+AK12+AG12</f>
        <v>98.234999999999999</v>
      </c>
      <c r="AM12" s="55">
        <f>IF(AH12+AI12+AJ12+AK12+AG12&gt;=95,95,AH12+AI12+AJ12+AK12+AG12)</f>
        <v>95</v>
      </c>
      <c r="AN12" s="78">
        <f>-((50-((176+(45+(50-AH12)))))/200)</f>
        <v>0.95499999999999996</v>
      </c>
      <c r="AO12" s="79"/>
      <c r="AP12" s="80">
        <f>100%+AO12</f>
        <v>1</v>
      </c>
      <c r="AQ12" s="80">
        <f>100%+AP12</f>
        <v>2</v>
      </c>
      <c r="AR12" s="61"/>
      <c r="AS12" s="62"/>
      <c r="AT12" s="81"/>
      <c r="AU12" s="81"/>
      <c r="AV12" s="81"/>
      <c r="AW12" s="81"/>
      <c r="AX12" s="82"/>
      <c r="AY12" s="83">
        <f>AT12+AU12+AV12+AW12+AX12</f>
        <v>0</v>
      </c>
      <c r="AZ12" s="83">
        <f>(AT12*I12)+(AU12*J12)+(AV12*K12)+(AW12*L12)+(AX12*M12)</f>
        <v>0</v>
      </c>
    </row>
    <row r="13" spans="1:52" s="66" customFormat="1" ht="21.95" customHeight="1" thickBot="1" x14ac:dyDescent="0.2">
      <c r="A13" s="96"/>
      <c r="B13" s="91"/>
      <c r="C13" s="352" t="s">
        <v>3</v>
      </c>
      <c r="D13" s="353"/>
      <c r="E13" s="353"/>
      <c r="F13" s="353"/>
      <c r="G13" s="354"/>
      <c r="H13" s="67"/>
      <c r="I13" s="84">
        <v>85</v>
      </c>
      <c r="J13" s="84">
        <v>85</v>
      </c>
      <c r="K13" s="84">
        <v>85</v>
      </c>
      <c r="L13" s="84"/>
      <c r="M13" s="84"/>
      <c r="N13" s="168">
        <f>I13*I12+J13*J12+K13*K12+L13*L12+M13*M12</f>
        <v>85</v>
      </c>
      <c r="O13" s="44"/>
      <c r="P13" s="45"/>
      <c r="Q13" s="46"/>
      <c r="R13" s="46"/>
      <c r="S13" s="47"/>
      <c r="T13" s="70"/>
      <c r="U13" s="71"/>
      <c r="V13" s="72"/>
      <c r="W13" s="150"/>
      <c r="X13" s="85"/>
      <c r="Y13" s="151"/>
      <c r="Z13" s="85"/>
      <c r="AA13" s="74"/>
      <c r="AB13" s="75"/>
      <c r="AC13" s="72"/>
      <c r="AD13" s="71"/>
      <c r="AE13" s="71"/>
      <c r="AF13" s="152"/>
      <c r="AG13" s="86"/>
      <c r="AH13" s="77"/>
      <c r="AI13" s="87"/>
      <c r="AJ13" s="46"/>
      <c r="AK13" s="77"/>
      <c r="AL13" s="78"/>
      <c r="AM13" s="79"/>
      <c r="AN13" s="80"/>
      <c r="AO13" s="80"/>
      <c r="AP13" s="61"/>
      <c r="AQ13" s="62"/>
      <c r="AR13" s="81"/>
      <c r="AS13" s="81"/>
      <c r="AT13" s="81"/>
      <c r="AU13" s="81"/>
      <c r="AV13" s="82"/>
      <c r="AW13" s="83"/>
      <c r="AX13" s="83"/>
      <c r="AZ13" s="66">
        <f t="shared" ref="AZ13" si="3">(AT13*I13)+(AU13*J13)+(AV13*K13)+(AW13*L13)+(AX13*M13)</f>
        <v>0</v>
      </c>
    </row>
    <row r="14" spans="1:52" s="66" customFormat="1" ht="39.75" customHeight="1" thickBot="1" x14ac:dyDescent="0.2">
      <c r="A14" s="96">
        <v>5</v>
      </c>
      <c r="B14" s="91" t="s">
        <v>294</v>
      </c>
      <c r="C14" s="131" t="s">
        <v>258</v>
      </c>
      <c r="D14" s="134" t="s">
        <v>259</v>
      </c>
      <c r="E14" s="131" t="s">
        <v>260</v>
      </c>
      <c r="F14" s="110"/>
      <c r="G14" s="97"/>
      <c r="H14" s="158"/>
      <c r="I14" s="111">
        <v>0.4</v>
      </c>
      <c r="J14" s="182">
        <v>0.3</v>
      </c>
      <c r="K14" s="41">
        <v>0.3</v>
      </c>
      <c r="L14" s="42"/>
      <c r="M14" s="68"/>
      <c r="N14" s="69">
        <f>SUM(I14:M14)</f>
        <v>1</v>
      </c>
      <c r="O14" s="125">
        <v>1</v>
      </c>
      <c r="P14" s="112">
        <v>15</v>
      </c>
      <c r="Q14" s="135">
        <v>14.93</v>
      </c>
      <c r="R14" s="113">
        <v>15</v>
      </c>
      <c r="S14" s="120"/>
      <c r="T14" s="70"/>
      <c r="U14" s="71">
        <f>ROUND(((P14*I14)+(Q14*J14)+(R14*K14)+(S14*L14)+(T14*M14))*O14,2)</f>
        <v>14.98</v>
      </c>
      <c r="V14" s="72">
        <f>IF(U14&gt;=15,15,U14)</f>
        <v>14.98</v>
      </c>
      <c r="W14" s="136">
        <v>14977246000</v>
      </c>
      <c r="X14" s="136">
        <v>9733078000</v>
      </c>
      <c r="Y14" s="136">
        <v>130509297000</v>
      </c>
      <c r="Z14" s="116"/>
      <c r="AA14" s="74"/>
      <c r="AB14" s="75">
        <f>ROUND((((W14*I14)+(X14*J14)+(Y14*K14)+(Z14*L14)+(AA14*M14))/$I$2),2)*13</f>
        <v>31.590000000000003</v>
      </c>
      <c r="AC14" s="72">
        <f>IF(AB14&gt;=13,13,AB14)</f>
        <v>13</v>
      </c>
      <c r="AD14" s="124">
        <v>2</v>
      </c>
      <c r="AE14" s="71">
        <f>IF((AC14+AD14)&gt;=15,15,(AC14+AD14))</f>
        <v>15</v>
      </c>
      <c r="AF14" s="76">
        <f>0.5*I14</f>
        <v>0.2</v>
      </c>
      <c r="AG14" s="54">
        <v>2.96</v>
      </c>
      <c r="AH14" s="77">
        <f>IF((V14+AE14+AF14)&gt;=30,30,(V14+AE14+AF14))</f>
        <v>30</v>
      </c>
      <c r="AI14" s="56">
        <v>10</v>
      </c>
      <c r="AJ14" s="56">
        <v>10</v>
      </c>
      <c r="AK14" s="56">
        <v>45</v>
      </c>
      <c r="AL14" s="57">
        <f>V14+AE14+AF14+AI14+AJ14+AK14+AG14</f>
        <v>98.14</v>
      </c>
      <c r="AM14" s="55">
        <f>IF(AH14+AI14+AJ14+AK14+AG14&gt;=95,95,AH14+AI14+AJ14+AK14+AG14)</f>
        <v>95</v>
      </c>
      <c r="AN14" s="78">
        <f>-((50-((176+(45+(50-AH14)))))/200)</f>
        <v>0.95499999999999996</v>
      </c>
      <c r="AO14" s="79"/>
      <c r="AP14" s="80">
        <f>100%+AO14</f>
        <v>1</v>
      </c>
      <c r="AQ14" s="80">
        <f>100%+AP14</f>
        <v>2</v>
      </c>
      <c r="AR14" s="61"/>
      <c r="AS14" s="62"/>
      <c r="AT14" s="81">
        <v>6911393000</v>
      </c>
      <c r="AU14" s="81">
        <v>3414248000</v>
      </c>
      <c r="AV14" s="81"/>
      <c r="AW14" s="81"/>
      <c r="AX14" s="82"/>
      <c r="AY14" s="83">
        <f>AT14+AU14+AV14+AW14+AX14</f>
        <v>10325641000</v>
      </c>
      <c r="AZ14" s="83">
        <f>(AT14*I14)+(AU14*J14)+(AV14*K14)+(AW14*L14)+(AX14*M14)</f>
        <v>3788831600</v>
      </c>
    </row>
    <row r="15" spans="1:52" s="66" customFormat="1" ht="39.75" customHeight="1" thickBot="1" x14ac:dyDescent="0.2">
      <c r="A15" s="96">
        <v>7</v>
      </c>
      <c r="B15" s="91" t="s">
        <v>294</v>
      </c>
      <c r="C15" s="134" t="s">
        <v>255</v>
      </c>
      <c r="D15" s="131" t="s">
        <v>256</v>
      </c>
      <c r="E15" s="122"/>
      <c r="F15" s="110"/>
      <c r="G15" s="97"/>
      <c r="H15" s="207" t="s">
        <v>257</v>
      </c>
      <c r="I15" s="258">
        <v>0.4395</v>
      </c>
      <c r="J15" s="257">
        <v>0.49</v>
      </c>
      <c r="K15" s="41"/>
      <c r="L15" s="42"/>
      <c r="M15" s="68"/>
      <c r="N15" s="69">
        <f>SUM(I15:M15)</f>
        <v>0.92949999999999999</v>
      </c>
      <c r="O15" s="125">
        <v>1</v>
      </c>
      <c r="P15" s="112">
        <v>15</v>
      </c>
      <c r="Q15" s="113">
        <v>15</v>
      </c>
      <c r="R15" s="113">
        <v>15</v>
      </c>
      <c r="S15" s="120"/>
      <c r="T15" s="70"/>
      <c r="U15" s="71">
        <f>ROUND(((P15*I15)+(Q15*J15)+(R15*K15)+(S15*L15)+(T15*M15))*O15,2)</f>
        <v>13.94</v>
      </c>
      <c r="V15" s="72">
        <f>IF(U15&gt;=15,15,U15)</f>
        <v>13.94</v>
      </c>
      <c r="W15" s="136">
        <v>24024444000</v>
      </c>
      <c r="X15" s="136">
        <v>328448752000</v>
      </c>
      <c r="Y15" s="136"/>
      <c r="Z15" s="136"/>
      <c r="AA15" s="74"/>
      <c r="AB15" s="75">
        <f>ROUND((((W15*I15)+(X15*J15)+(Y15*K15)+(Z15*L15)+(AA15*M15))/$I$2),2)*13</f>
        <v>112.58</v>
      </c>
      <c r="AC15" s="72">
        <f>IF(AB15&gt;=13,13,AB15)</f>
        <v>13</v>
      </c>
      <c r="AD15" s="149">
        <v>1.5</v>
      </c>
      <c r="AE15" s="71">
        <f>IF((AC15+AD15)&gt;=15,15,(AC15+AD15))</f>
        <v>14.5</v>
      </c>
      <c r="AF15" s="76">
        <f>0.5*I15</f>
        <v>0.21975</v>
      </c>
      <c r="AG15" s="54">
        <v>2.96</v>
      </c>
      <c r="AH15" s="77">
        <f>IF((V15+AE15+AF15)&gt;=30,30,(V15+AE15+AF15))</f>
        <v>28.659749999999999</v>
      </c>
      <c r="AI15" s="56">
        <v>10</v>
      </c>
      <c r="AJ15" s="56">
        <v>10</v>
      </c>
      <c r="AK15" s="56">
        <v>45</v>
      </c>
      <c r="AL15" s="57">
        <f>V15+AE15+AF15+AI15+AJ15+AK15+AG15</f>
        <v>96.619749999999996</v>
      </c>
      <c r="AM15" s="55">
        <f>IF(AH15+AI15+AJ15+AK15+AG15&gt;=95,95,AH15+AI15+AJ15+AK15+AG15)</f>
        <v>95</v>
      </c>
      <c r="AN15" s="78">
        <f>-((50-((176+(45+(50-AH15)))))/200)</f>
        <v>0.96170124999999995</v>
      </c>
      <c r="AO15" s="79"/>
      <c r="AP15" s="80">
        <f>100%+AO15</f>
        <v>1</v>
      </c>
      <c r="AQ15" s="80">
        <f>100%+AP15</f>
        <v>2</v>
      </c>
      <c r="AR15" s="61"/>
      <c r="AS15" s="62"/>
      <c r="AT15" s="81"/>
      <c r="AU15" s="81"/>
      <c r="AV15" s="81"/>
      <c r="AW15" s="81"/>
      <c r="AX15" s="82"/>
      <c r="AY15" s="83">
        <f>AT15+AU15+AV15+AW15+AX15</f>
        <v>0</v>
      </c>
      <c r="AZ15" s="83">
        <f>(AT15*I15)+(AU15*J15)+(AV15*K15)+(AW15*L15)+(AX15*M15)</f>
        <v>0</v>
      </c>
    </row>
    <row r="16" spans="1:52" s="66" customFormat="1" ht="21.95" customHeight="1" thickBot="1" x14ac:dyDescent="0.2">
      <c r="A16" s="96"/>
      <c r="B16" s="91"/>
      <c r="C16" s="352" t="s">
        <v>3</v>
      </c>
      <c r="D16" s="353"/>
      <c r="E16" s="353"/>
      <c r="F16" s="353"/>
      <c r="G16" s="354"/>
      <c r="H16" s="67"/>
      <c r="I16" s="84">
        <v>85</v>
      </c>
      <c r="J16" s="167">
        <v>93.38</v>
      </c>
      <c r="K16" s="84">
        <v>85</v>
      </c>
      <c r="L16" s="84"/>
      <c r="M16" s="84"/>
      <c r="N16" s="168">
        <f>I16*I15+J16*J15+K16*K15+L16*L15+M16*M15</f>
        <v>83.113699999999994</v>
      </c>
      <c r="O16" s="44"/>
      <c r="P16" s="45"/>
      <c r="Q16" s="46"/>
      <c r="R16" s="46"/>
      <c r="S16" s="47"/>
      <c r="T16" s="70"/>
      <c r="U16" s="71"/>
      <c r="V16" s="72"/>
      <c r="W16" s="150"/>
      <c r="X16" s="85"/>
      <c r="Y16" s="151"/>
      <c r="Z16" s="85"/>
      <c r="AA16" s="74"/>
      <c r="AB16" s="75"/>
      <c r="AC16" s="72"/>
      <c r="AD16" s="71"/>
      <c r="AE16" s="71"/>
      <c r="AF16" s="152"/>
      <c r="AG16" s="86"/>
      <c r="AH16" s="77"/>
      <c r="AI16" s="87"/>
      <c r="AJ16" s="46"/>
      <c r="AK16" s="77"/>
      <c r="AL16" s="78"/>
      <c r="AM16" s="79"/>
      <c r="AN16" s="80"/>
      <c r="AO16" s="80"/>
      <c r="AP16" s="61"/>
      <c r="AQ16" s="62"/>
      <c r="AR16" s="81"/>
      <c r="AS16" s="81"/>
      <c r="AT16" s="81"/>
      <c r="AU16" s="81"/>
      <c r="AV16" s="82"/>
      <c r="AW16" s="83"/>
      <c r="AX16" s="83"/>
      <c r="AZ16" s="66">
        <f t="shared" ref="AZ16" si="4">(AT16*I16)+(AU16*J16)+(AV16*K16)+(AW16*L16)+(AX16*M16)</f>
        <v>0</v>
      </c>
    </row>
    <row r="17" spans="1:52" s="66" customFormat="1" ht="39.75" customHeight="1" thickBot="1" x14ac:dyDescent="0.2">
      <c r="A17" s="96">
        <v>8</v>
      </c>
      <c r="B17" s="91" t="s">
        <v>294</v>
      </c>
      <c r="C17" s="134" t="s">
        <v>264</v>
      </c>
      <c r="D17" s="131" t="s">
        <v>265</v>
      </c>
      <c r="E17" s="131"/>
      <c r="F17" s="131"/>
      <c r="G17" s="170"/>
      <c r="H17" s="207" t="s">
        <v>271</v>
      </c>
      <c r="I17" s="258">
        <v>0.49730000000000002</v>
      </c>
      <c r="J17" s="172">
        <v>0.49</v>
      </c>
      <c r="K17" s="41"/>
      <c r="L17" s="42"/>
      <c r="M17" s="68"/>
      <c r="N17" s="94">
        <f>SUM(I17:M17)</f>
        <v>0.98730000000000007</v>
      </c>
      <c r="O17" s="125">
        <v>1</v>
      </c>
      <c r="P17" s="112">
        <v>15</v>
      </c>
      <c r="Q17" s="113">
        <v>15</v>
      </c>
      <c r="R17" s="113"/>
      <c r="S17" s="120"/>
      <c r="T17" s="70"/>
      <c r="U17" s="71">
        <f>ROUND(((P17*I17)+(Q17*J17)+(R17*K17)+(S17*L17)+(T17*M17))*O17,2)</f>
        <v>14.81</v>
      </c>
      <c r="V17" s="72">
        <f>IF(U17&gt;=15,15,U17)</f>
        <v>14.81</v>
      </c>
      <c r="W17" s="136">
        <v>5383000000</v>
      </c>
      <c r="X17" s="136">
        <v>78106522000</v>
      </c>
      <c r="Y17" s="136"/>
      <c r="Z17" s="136"/>
      <c r="AA17" s="74"/>
      <c r="AB17" s="75">
        <f>ROUND((((W17*I17)+(X17*J17)+(Y17*K17)+(Z17*L17)+(AA17*M17))/$I$2),2)*13</f>
        <v>26.909999999999997</v>
      </c>
      <c r="AC17" s="72">
        <f>IF(AB17&gt;=13,13,AB17)</f>
        <v>13</v>
      </c>
      <c r="AD17" s="149">
        <v>1.5</v>
      </c>
      <c r="AE17" s="71">
        <f>IF((AC17+AD17)&gt;=15,15,(AC17+AD17))</f>
        <v>14.5</v>
      </c>
      <c r="AF17" s="76"/>
      <c r="AG17" s="54">
        <v>2.96</v>
      </c>
      <c r="AH17" s="77">
        <f>IF((V17+AE17+AF17)&gt;=30,30,(V17+AE17+AF17))</f>
        <v>29.310000000000002</v>
      </c>
      <c r="AI17" s="56">
        <v>10</v>
      </c>
      <c r="AJ17" s="56">
        <v>10</v>
      </c>
      <c r="AK17" s="56">
        <v>45</v>
      </c>
      <c r="AL17" s="57">
        <f>V17+AE17+AF17+AI17+AJ17+AK17+AG17</f>
        <v>97.27</v>
      </c>
      <c r="AM17" s="55">
        <f>IF(AH17+AI17+AJ17+AK17+AG17&gt;=95,95,AH17+AI17+AJ17+AK17+AG17)</f>
        <v>95</v>
      </c>
      <c r="AN17" s="78">
        <f>-((50-((176+(45+(50-AH17)))))/200)</f>
        <v>0.95845000000000002</v>
      </c>
      <c r="AO17" s="79"/>
      <c r="AP17" s="80">
        <f>100%+AO17</f>
        <v>1</v>
      </c>
      <c r="AQ17" s="80">
        <f>100%+AP17</f>
        <v>2</v>
      </c>
      <c r="AR17" s="61"/>
      <c r="AS17" s="62"/>
      <c r="AT17" s="81"/>
      <c r="AU17" s="81"/>
      <c r="AV17" s="81"/>
      <c r="AW17" s="81"/>
      <c r="AX17" s="82"/>
      <c r="AY17" s="83">
        <f>AT17+AU17+AV17+AW17+AX17</f>
        <v>0</v>
      </c>
      <c r="AZ17" s="83">
        <f t="shared" ref="AZ17:AZ75" si="5">(AT17*I17)+(AU17*J17)+(AV17*K17)+(AW17*L17)+(AX17*M17)</f>
        <v>0</v>
      </c>
    </row>
    <row r="18" spans="1:52" s="66" customFormat="1" ht="21.95" customHeight="1" thickBot="1" x14ac:dyDescent="0.2">
      <c r="A18" s="96"/>
      <c r="B18" s="91"/>
      <c r="C18" s="352" t="s">
        <v>3</v>
      </c>
      <c r="D18" s="353"/>
      <c r="E18" s="353"/>
      <c r="F18" s="353"/>
      <c r="G18" s="354"/>
      <c r="H18" s="67"/>
      <c r="I18" s="84">
        <v>85</v>
      </c>
      <c r="J18" s="84">
        <v>85</v>
      </c>
      <c r="K18" s="84">
        <v>85</v>
      </c>
      <c r="L18" s="84"/>
      <c r="M18" s="84"/>
      <c r="N18" s="168">
        <f>I18*I17+J18*J17+K18*K17+L18*L17+M18*M17</f>
        <v>83.920500000000004</v>
      </c>
      <c r="O18" s="44"/>
      <c r="P18" s="45"/>
      <c r="Q18" s="46"/>
      <c r="R18" s="46"/>
      <c r="S18" s="47"/>
      <c r="T18" s="70"/>
      <c r="U18" s="71"/>
      <c r="V18" s="72"/>
      <c r="W18" s="150"/>
      <c r="X18" s="85"/>
      <c r="Y18" s="151"/>
      <c r="Z18" s="85"/>
      <c r="AA18" s="74"/>
      <c r="AB18" s="75"/>
      <c r="AC18" s="72"/>
      <c r="AD18" s="71"/>
      <c r="AE18" s="71"/>
      <c r="AF18" s="152"/>
      <c r="AG18" s="86"/>
      <c r="AH18" s="77"/>
      <c r="AI18" s="87"/>
      <c r="AJ18" s="46"/>
      <c r="AK18" s="77"/>
      <c r="AL18" s="78"/>
      <c r="AM18" s="79"/>
      <c r="AN18" s="80"/>
      <c r="AO18" s="80"/>
      <c r="AP18" s="61"/>
      <c r="AQ18" s="62"/>
      <c r="AR18" s="81"/>
      <c r="AS18" s="81"/>
      <c r="AT18" s="81"/>
      <c r="AU18" s="81"/>
      <c r="AV18" s="82"/>
      <c r="AW18" s="83"/>
      <c r="AX18" s="83"/>
      <c r="AZ18" s="66">
        <f t="shared" si="5"/>
        <v>0</v>
      </c>
    </row>
    <row r="19" spans="1:52" s="66" customFormat="1" ht="39.75" customHeight="1" thickBot="1" x14ac:dyDescent="0.2">
      <c r="A19" s="265">
        <v>9</v>
      </c>
      <c r="B19" s="91" t="s">
        <v>294</v>
      </c>
      <c r="C19" s="122" t="s">
        <v>66</v>
      </c>
      <c r="D19" s="132" t="s">
        <v>273</v>
      </c>
      <c r="E19" s="122" t="s">
        <v>290</v>
      </c>
      <c r="F19" s="108"/>
      <c r="G19" s="170" t="s">
        <v>292</v>
      </c>
      <c r="H19" s="207" t="s">
        <v>291</v>
      </c>
      <c r="I19" s="251">
        <v>0.5</v>
      </c>
      <c r="J19" s="153">
        <v>0.2651</v>
      </c>
      <c r="K19" s="41">
        <v>0.19800000000000001</v>
      </c>
      <c r="L19" s="42"/>
      <c r="M19" s="147"/>
      <c r="N19" s="94">
        <f>SUM(I19:M19)</f>
        <v>0.96310000000000007</v>
      </c>
      <c r="O19" s="125">
        <v>1</v>
      </c>
      <c r="P19" s="112">
        <v>15</v>
      </c>
      <c r="Q19" s="113">
        <v>15</v>
      </c>
      <c r="R19" s="113">
        <v>15</v>
      </c>
      <c r="S19" s="120"/>
      <c r="T19" s="70"/>
      <c r="U19" s="71">
        <f>ROUND(((P19*I19)+(Q19*J19)+(R19*K19)+(S19*L19)+(T19*M19))*O19,2)</f>
        <v>14.45</v>
      </c>
      <c r="V19" s="72">
        <f>IF(U19&gt;=15,15,U19)</f>
        <v>14.45</v>
      </c>
      <c r="W19" s="139">
        <v>46537406000</v>
      </c>
      <c r="X19" s="136">
        <v>3938159000</v>
      </c>
      <c r="Y19" s="136">
        <v>2636399000</v>
      </c>
      <c r="Z19" s="136"/>
      <c r="AA19" s="74"/>
      <c r="AB19" s="75">
        <f>ROUND((((W19*I19)+(X19*J19)+(Y19*K19)+(Z19*L19)+(AA19*M19))/$I$2),2)*13</f>
        <v>16.25</v>
      </c>
      <c r="AC19" s="72">
        <f>IF(AB19&gt;=13,13,AB19)</f>
        <v>13</v>
      </c>
      <c r="AD19" s="149">
        <v>1</v>
      </c>
      <c r="AE19" s="71">
        <f>IF((AC19+AD19)&gt;=15,15,(AC19+AD19))</f>
        <v>14</v>
      </c>
      <c r="AF19" s="76"/>
      <c r="AG19" s="54">
        <v>2.96</v>
      </c>
      <c r="AH19" s="77">
        <f>IF((V19+AE19+AF19)&gt;=30,30,(V19+AE19+AF19))</f>
        <v>28.45</v>
      </c>
      <c r="AI19" s="56">
        <v>10</v>
      </c>
      <c r="AJ19" s="56">
        <v>10</v>
      </c>
      <c r="AK19" s="56">
        <v>45</v>
      </c>
      <c r="AL19" s="57">
        <f>V19+AE19+AF19+AI19+AJ19+AK19+AG19</f>
        <v>96.41</v>
      </c>
      <c r="AM19" s="55">
        <f>IF(AH19+AI19+AJ19+AK19+AG19&gt;=95,95,AH19+AI19+AJ19+AK19+AG19)</f>
        <v>95</v>
      </c>
      <c r="AN19" s="78">
        <f>-((50-((176+(45+(50-AH19)))))/200)</f>
        <v>0.96275000000000011</v>
      </c>
      <c r="AO19" s="79"/>
      <c r="AP19" s="80">
        <f>100%+AO19</f>
        <v>1</v>
      </c>
      <c r="AQ19" s="80">
        <f>100%+AP19</f>
        <v>2</v>
      </c>
      <c r="AR19" s="61"/>
      <c r="AS19" s="62"/>
      <c r="AT19" s="81"/>
      <c r="AU19" s="81"/>
      <c r="AV19" s="81"/>
      <c r="AW19" s="81"/>
      <c r="AX19" s="82"/>
      <c r="AY19" s="83">
        <f>AT19+AU19+AV19+AW19+AX19</f>
        <v>0</v>
      </c>
      <c r="AZ19" s="83">
        <f t="shared" si="5"/>
        <v>0</v>
      </c>
    </row>
    <row r="20" spans="1:52" s="66" customFormat="1" ht="21.95" customHeight="1" thickBot="1" x14ac:dyDescent="0.2">
      <c r="A20" s="265"/>
      <c r="B20" s="91"/>
      <c r="C20" s="352" t="s">
        <v>3</v>
      </c>
      <c r="D20" s="353"/>
      <c r="E20" s="353"/>
      <c r="F20" s="353"/>
      <c r="G20" s="354"/>
      <c r="H20" s="67"/>
      <c r="I20" s="84">
        <v>85</v>
      </c>
      <c r="J20" s="84">
        <v>85</v>
      </c>
      <c r="K20" s="84">
        <v>85</v>
      </c>
      <c r="L20" s="84"/>
      <c r="M20" s="84"/>
      <c r="N20" s="168">
        <f>I20*I19+J20*J19+K20*K19+L20*L19+M20*M19</f>
        <v>81.863500000000002</v>
      </c>
      <c r="O20" s="44"/>
      <c r="P20" s="45"/>
      <c r="Q20" s="46"/>
      <c r="R20" s="46"/>
      <c r="S20" s="47"/>
      <c r="T20" s="70"/>
      <c r="U20" s="71"/>
      <c r="V20" s="72"/>
      <c r="W20" s="150"/>
      <c r="X20" s="85"/>
      <c r="Y20" s="151"/>
      <c r="Z20" s="85"/>
      <c r="AA20" s="74"/>
      <c r="AB20" s="75"/>
      <c r="AC20" s="72"/>
      <c r="AD20" s="71"/>
      <c r="AE20" s="71"/>
      <c r="AF20" s="152"/>
      <c r="AG20" s="86"/>
      <c r="AH20" s="77"/>
      <c r="AI20" s="87"/>
      <c r="AJ20" s="46"/>
      <c r="AK20" s="77"/>
      <c r="AL20" s="78"/>
      <c r="AM20" s="79"/>
      <c r="AN20" s="80"/>
      <c r="AO20" s="80"/>
      <c r="AP20" s="61"/>
      <c r="AQ20" s="62"/>
      <c r="AR20" s="81"/>
      <c r="AS20" s="81"/>
      <c r="AT20" s="81"/>
      <c r="AU20" s="81"/>
      <c r="AV20" s="82"/>
      <c r="AW20" s="83"/>
      <c r="AX20" s="83"/>
      <c r="AZ20" s="66">
        <f t="shared" si="5"/>
        <v>0</v>
      </c>
    </row>
    <row r="21" spans="1:52" s="66" customFormat="1" ht="39.75" customHeight="1" thickBot="1" x14ac:dyDescent="0.2">
      <c r="A21" s="265">
        <v>10</v>
      </c>
      <c r="B21" s="91" t="s">
        <v>294</v>
      </c>
      <c r="C21" s="122" t="s">
        <v>266</v>
      </c>
      <c r="D21" s="134" t="s">
        <v>268</v>
      </c>
      <c r="E21" s="108"/>
      <c r="F21" s="108"/>
      <c r="G21" s="97"/>
      <c r="H21" s="158"/>
      <c r="I21" s="111">
        <v>0.6</v>
      </c>
      <c r="J21" s="172">
        <v>0.4</v>
      </c>
      <c r="K21" s="41"/>
      <c r="L21" s="42"/>
      <c r="M21" s="147"/>
      <c r="N21" s="69">
        <f>SUM(I21:M21)</f>
        <v>1</v>
      </c>
      <c r="O21" s="141">
        <v>1.05</v>
      </c>
      <c r="P21" s="112">
        <v>15</v>
      </c>
      <c r="Q21" s="113">
        <v>15</v>
      </c>
      <c r="R21" s="113"/>
      <c r="S21" s="120"/>
      <c r="T21" s="70"/>
      <c r="U21" s="71">
        <f>ROUND(((P21*I21)+(Q21*J21)+(R21*K21)+(S21*L21)+(T21*M21))*O21,2)</f>
        <v>15.75</v>
      </c>
      <c r="V21" s="72">
        <f>IF(U21&gt;=15,15,U21)</f>
        <v>15</v>
      </c>
      <c r="W21" s="139">
        <v>24296161000</v>
      </c>
      <c r="X21" s="117">
        <v>7924612000</v>
      </c>
      <c r="Y21" s="119"/>
      <c r="Z21" s="119"/>
      <c r="AA21" s="74"/>
      <c r="AB21" s="75">
        <f>ROUND((((W21*I21)+(X21*J21)+(Y21*K21)+(Z21*L21)+(AA21*M21))/$I$2),2)*13</f>
        <v>11.700000000000001</v>
      </c>
      <c r="AC21" s="72">
        <f>IF(AB21&gt;=13,13,AB21)</f>
        <v>11.700000000000001</v>
      </c>
      <c r="AD21" s="124">
        <v>2</v>
      </c>
      <c r="AE21" s="71">
        <f>IF((AC21+AD21)&gt;=15,15,(AC21+AD21))</f>
        <v>13.700000000000001</v>
      </c>
      <c r="AF21" s="76">
        <f>0.5*I21</f>
        <v>0.3</v>
      </c>
      <c r="AG21" s="54">
        <v>2.96</v>
      </c>
      <c r="AH21" s="77">
        <f>IF((V21+AE21+AF21)&gt;=30,30,(V21+AE21+AF21))</f>
        <v>29.000000000000004</v>
      </c>
      <c r="AI21" s="56">
        <v>10</v>
      </c>
      <c r="AJ21" s="56">
        <v>10</v>
      </c>
      <c r="AK21" s="56">
        <v>45</v>
      </c>
      <c r="AL21" s="57">
        <f>V21+AE21+AF21+AI21+AJ21+AK21+AG21</f>
        <v>96.96</v>
      </c>
      <c r="AM21" s="55">
        <f>IF(AH21+AI21+AJ21+AK21+AG21&gt;=95,95,AH21+AI21+AJ21+AK21+AG21)</f>
        <v>95</v>
      </c>
      <c r="AN21" s="78">
        <f>-((50-((176+(45+(50-AH21)))))/200)</f>
        <v>0.96</v>
      </c>
      <c r="AO21" s="79"/>
      <c r="AP21" s="80">
        <f t="shared" ref="AP21:AQ38" si="6">100%+AO21</f>
        <v>1</v>
      </c>
      <c r="AQ21" s="80">
        <f t="shared" si="6"/>
        <v>2</v>
      </c>
      <c r="AR21" s="61"/>
      <c r="AS21" s="62"/>
      <c r="AT21" s="81"/>
      <c r="AU21" s="81"/>
      <c r="AV21" s="81"/>
      <c r="AW21" s="81"/>
      <c r="AX21" s="82"/>
      <c r="AY21" s="83">
        <f>AT21+AU21+AV21+AW21+AX21</f>
        <v>0</v>
      </c>
      <c r="AZ21" s="83">
        <f t="shared" si="5"/>
        <v>0</v>
      </c>
    </row>
    <row r="22" spans="1:52" s="66" customFormat="1" ht="21.95" customHeight="1" thickBot="1" x14ac:dyDescent="0.2">
      <c r="A22" s="96"/>
      <c r="B22" s="91"/>
      <c r="C22" s="352" t="s">
        <v>3</v>
      </c>
      <c r="D22" s="353"/>
      <c r="E22" s="353"/>
      <c r="F22" s="353"/>
      <c r="G22" s="354"/>
      <c r="H22" s="67"/>
      <c r="I22" s="84">
        <v>85</v>
      </c>
      <c r="J22" s="84">
        <v>85</v>
      </c>
      <c r="K22" s="84"/>
      <c r="L22" s="84"/>
      <c r="M22" s="84"/>
      <c r="N22" s="168">
        <f>I22*I21+J22*J21+K22*K21+L22*L21+M22*M21</f>
        <v>85</v>
      </c>
      <c r="O22" s="44"/>
      <c r="P22" s="45"/>
      <c r="Q22" s="46"/>
      <c r="R22" s="46"/>
      <c r="S22" s="47"/>
      <c r="T22" s="70"/>
      <c r="U22" s="71"/>
      <c r="V22" s="72"/>
      <c r="W22" s="150"/>
      <c r="X22" s="85"/>
      <c r="Y22" s="151"/>
      <c r="Z22" s="85"/>
      <c r="AA22" s="74"/>
      <c r="AB22" s="75"/>
      <c r="AC22" s="72"/>
      <c r="AD22" s="71"/>
      <c r="AE22" s="71"/>
      <c r="AF22" s="152"/>
      <c r="AG22" s="86"/>
      <c r="AH22" s="77"/>
      <c r="AI22" s="87"/>
      <c r="AJ22" s="46"/>
      <c r="AK22" s="77"/>
      <c r="AL22" s="78"/>
      <c r="AM22" s="79"/>
      <c r="AN22" s="80"/>
      <c r="AO22" s="80"/>
      <c r="AP22" s="61"/>
      <c r="AQ22" s="62"/>
      <c r="AR22" s="81"/>
      <c r="AS22" s="81"/>
      <c r="AT22" s="81"/>
      <c r="AU22" s="81"/>
      <c r="AV22" s="82"/>
      <c r="AW22" s="83"/>
      <c r="AX22" s="83"/>
      <c r="AZ22" s="66">
        <f t="shared" si="5"/>
        <v>0</v>
      </c>
    </row>
    <row r="23" spans="1:52" s="66" customFormat="1" ht="39.75" customHeight="1" thickBot="1" x14ac:dyDescent="0.2">
      <c r="A23" s="266" t="s">
        <v>293</v>
      </c>
      <c r="B23" s="91"/>
      <c r="C23" s="131" t="s">
        <v>270</v>
      </c>
      <c r="D23" s="134"/>
      <c r="E23" s="131"/>
      <c r="F23" s="108"/>
      <c r="G23" s="170"/>
      <c r="H23" s="207"/>
      <c r="I23" s="111">
        <v>0.55000000000000004</v>
      </c>
      <c r="J23" s="233">
        <v>0.45</v>
      </c>
      <c r="K23" s="84"/>
      <c r="L23" s="42"/>
      <c r="M23" s="147"/>
      <c r="N23" s="69">
        <f>SUM(I23:M23)</f>
        <v>1</v>
      </c>
      <c r="O23" s="125">
        <v>1</v>
      </c>
      <c r="P23" s="112">
        <v>15</v>
      </c>
      <c r="Q23" s="113">
        <v>15</v>
      </c>
      <c r="R23" s="113"/>
      <c r="S23" s="120"/>
      <c r="T23" s="70"/>
      <c r="U23" s="71">
        <f>ROUND(((P23*I23)+(Q23*J23)+(R23*K23)+(S23*L23)+(T23*M23))*O23,2)</f>
        <v>15</v>
      </c>
      <c r="V23" s="72">
        <f>IF(U23&gt;=15,15,U23)</f>
        <v>15</v>
      </c>
      <c r="W23" s="139">
        <v>56329120000</v>
      </c>
      <c r="X23" s="136"/>
      <c r="Y23" s="136"/>
      <c r="Z23" s="116"/>
      <c r="AA23" s="74"/>
      <c r="AB23" s="75">
        <f>ROUND((((W23*I23)+(X23*J23)+(Y23*K23)+(Z23*L23)+(AA23*M23))/$I$2),2)*13</f>
        <v>20.28</v>
      </c>
      <c r="AC23" s="72">
        <f>IF(AB23&gt;=13,13,AB23)</f>
        <v>13</v>
      </c>
      <c r="AD23" s="124">
        <v>2</v>
      </c>
      <c r="AE23" s="71">
        <f>IF((AC23+AD23)&gt;=15,15,(AC23+AD23))</f>
        <v>15</v>
      </c>
      <c r="AF23" s="53"/>
      <c r="AG23" s="54">
        <v>2.96</v>
      </c>
      <c r="AH23" s="77">
        <f>IF((V23+AE23+AF23)&gt;=30,30,(V23+AE23+AF23))</f>
        <v>30</v>
      </c>
      <c r="AI23" s="56">
        <v>10</v>
      </c>
      <c r="AJ23" s="56">
        <v>10</v>
      </c>
      <c r="AK23" s="56">
        <v>45</v>
      </c>
      <c r="AL23" s="57">
        <f>V23+AE23+AF23+AI23+AJ23+AK23+AG23</f>
        <v>97.96</v>
      </c>
      <c r="AM23" s="55">
        <f>IF(AH23+AI23+AJ23+AK23+AG23&gt;=95,95,AH23+AI23+AJ23+AK23+AG23)</f>
        <v>95</v>
      </c>
      <c r="AN23" s="78">
        <f>-((50-((176+(45+(50-AH23)))))/200)</f>
        <v>0.95499999999999996</v>
      </c>
      <c r="AO23" s="79"/>
      <c r="AP23" s="80">
        <f t="shared" si="6"/>
        <v>1</v>
      </c>
      <c r="AQ23" s="80">
        <f t="shared" si="6"/>
        <v>2</v>
      </c>
      <c r="AR23" s="61"/>
      <c r="AS23" s="62"/>
      <c r="AT23" s="81"/>
      <c r="AU23" s="81"/>
      <c r="AV23" s="81"/>
      <c r="AW23" s="81"/>
      <c r="AX23" s="82"/>
      <c r="AY23" s="83">
        <f>AT23+AU23+AV23+AW23+AX23</f>
        <v>0</v>
      </c>
      <c r="AZ23" s="83">
        <f t="shared" si="5"/>
        <v>0</v>
      </c>
    </row>
    <row r="24" spans="1:52" s="66" customFormat="1" ht="21.95" customHeight="1" thickBot="1" x14ac:dyDescent="0.2">
      <c r="A24" s="96"/>
      <c r="B24" s="91"/>
      <c r="C24" s="352" t="s">
        <v>3</v>
      </c>
      <c r="D24" s="353"/>
      <c r="E24" s="353"/>
      <c r="F24" s="353"/>
      <c r="G24" s="354"/>
      <c r="H24" s="67"/>
      <c r="I24" s="84">
        <v>85</v>
      </c>
      <c r="J24" s="84">
        <v>85</v>
      </c>
      <c r="K24" s="84"/>
      <c r="L24" s="84"/>
      <c r="M24" s="84"/>
      <c r="N24" s="168">
        <f>I24*I23+J24*J23+K24*K23+L24*L23+M24*M23</f>
        <v>85</v>
      </c>
      <c r="O24" s="44"/>
      <c r="P24" s="45"/>
      <c r="Q24" s="46"/>
      <c r="R24" s="46"/>
      <c r="S24" s="47"/>
      <c r="T24" s="70"/>
      <c r="U24" s="71"/>
      <c r="V24" s="72"/>
      <c r="W24" s="150"/>
      <c r="X24" s="85"/>
      <c r="Y24" s="151"/>
      <c r="Z24" s="85"/>
      <c r="AA24" s="74"/>
      <c r="AB24" s="75"/>
      <c r="AC24" s="72"/>
      <c r="AD24" s="71"/>
      <c r="AE24" s="71"/>
      <c r="AF24" s="152"/>
      <c r="AG24" s="86"/>
      <c r="AH24" s="77"/>
      <c r="AI24" s="87"/>
      <c r="AJ24" s="46"/>
      <c r="AK24" s="77"/>
      <c r="AL24" s="78"/>
      <c r="AM24" s="79"/>
      <c r="AN24" s="80"/>
      <c r="AO24" s="80"/>
      <c r="AP24" s="61"/>
      <c r="AQ24" s="62"/>
      <c r="AR24" s="81"/>
      <c r="AS24" s="81"/>
      <c r="AT24" s="81"/>
      <c r="AU24" s="81"/>
      <c r="AV24" s="82"/>
      <c r="AW24" s="83"/>
      <c r="AX24" s="83"/>
      <c r="AZ24" s="66">
        <f t="shared" si="5"/>
        <v>0</v>
      </c>
    </row>
    <row r="25" spans="1:52" s="66" customFormat="1" ht="39.75" customHeight="1" thickBot="1" x14ac:dyDescent="0.2">
      <c r="A25" s="96">
        <v>11</v>
      </c>
      <c r="B25" s="91" t="s">
        <v>294</v>
      </c>
      <c r="C25" s="131" t="s">
        <v>78</v>
      </c>
      <c r="D25" s="134" t="s">
        <v>289</v>
      </c>
      <c r="E25" s="105"/>
      <c r="F25" s="131"/>
      <c r="G25" s="170"/>
      <c r="H25" s="207" t="s">
        <v>276</v>
      </c>
      <c r="I25" s="111">
        <v>0.6</v>
      </c>
      <c r="J25" s="256">
        <v>0.36840000000000001</v>
      </c>
      <c r="K25" s="41"/>
      <c r="L25" s="42"/>
      <c r="M25" s="147"/>
      <c r="N25" s="94">
        <f>SUM(I25:M25)</f>
        <v>0.96839999999999993</v>
      </c>
      <c r="O25" s="141">
        <v>1.05</v>
      </c>
      <c r="P25" s="112">
        <v>15</v>
      </c>
      <c r="Q25" s="113">
        <v>15</v>
      </c>
      <c r="R25" s="113"/>
      <c r="S25" s="120"/>
      <c r="T25" s="70"/>
      <c r="U25" s="71">
        <f>ROUND(((P25*I25)+(Q25*J25)+(R25*K25)+(S25*L25)+(T25*M25))*O25,2)</f>
        <v>15.25</v>
      </c>
      <c r="V25" s="72">
        <f>IF(U25&gt;=15,15,U25)</f>
        <v>15</v>
      </c>
      <c r="W25" s="139">
        <v>227887155000</v>
      </c>
      <c r="X25" s="136">
        <v>5348852000</v>
      </c>
      <c r="Y25" s="85"/>
      <c r="Z25" s="139"/>
      <c r="AA25" s="74"/>
      <c r="AB25" s="75">
        <f>ROUND((((W25*I25)+(X25*J25)+(Y25*K25)+(Z25*L25)+(AA25*M25))/$I$2),2)*13</f>
        <v>91.13</v>
      </c>
      <c r="AC25" s="72">
        <f>IF(AB25&gt;=13,13,AB25)</f>
        <v>13</v>
      </c>
      <c r="AD25" s="149">
        <v>1</v>
      </c>
      <c r="AE25" s="71">
        <f>IF((AC25+AD25)&gt;=15,15,(AC25+AD25))</f>
        <v>14</v>
      </c>
      <c r="AF25" s="76"/>
      <c r="AG25" s="54">
        <v>2.96</v>
      </c>
      <c r="AH25" s="77">
        <f>IF((V25+AE25+AF25)&gt;=30,30,(V25+AE25+AF25))</f>
        <v>29</v>
      </c>
      <c r="AI25" s="56">
        <v>10</v>
      </c>
      <c r="AJ25" s="56">
        <v>10</v>
      </c>
      <c r="AK25" s="56">
        <v>45</v>
      </c>
      <c r="AL25" s="57">
        <f>V25+AE25+AF25+AI25+AJ25+AK25+AG25</f>
        <v>96.96</v>
      </c>
      <c r="AM25" s="55">
        <f>IF(AH25+AI25+AJ25+AK25+AG25&gt;=95,95,AH25+AI25+AJ25+AK25+AG25)</f>
        <v>95</v>
      </c>
      <c r="AN25" s="78">
        <f>-((50-((176+(45+(50-AH25)))))/200)</f>
        <v>0.96</v>
      </c>
      <c r="AO25" s="79"/>
      <c r="AP25" s="80">
        <f t="shared" si="6"/>
        <v>1</v>
      </c>
      <c r="AQ25" s="80">
        <f t="shared" si="6"/>
        <v>2</v>
      </c>
      <c r="AR25" s="61"/>
      <c r="AS25" s="62"/>
      <c r="AT25" s="81"/>
      <c r="AU25" s="81"/>
      <c r="AV25" s="81"/>
      <c r="AW25" s="81"/>
      <c r="AX25" s="82"/>
      <c r="AY25" s="83">
        <f>AT25+AU25+AV25+AW25+AX25</f>
        <v>0</v>
      </c>
      <c r="AZ25" s="83">
        <f t="shared" si="5"/>
        <v>0</v>
      </c>
    </row>
    <row r="26" spans="1:52" s="66" customFormat="1" ht="21.95" customHeight="1" thickBot="1" x14ac:dyDescent="0.2">
      <c r="A26" s="96"/>
      <c r="B26" s="91"/>
      <c r="C26" s="352" t="s">
        <v>3</v>
      </c>
      <c r="D26" s="353"/>
      <c r="E26" s="353"/>
      <c r="F26" s="353"/>
      <c r="G26" s="354"/>
      <c r="H26" s="67"/>
      <c r="I26" s="84">
        <v>85</v>
      </c>
      <c r="J26" s="84">
        <v>85</v>
      </c>
      <c r="K26" s="84"/>
      <c r="L26" s="84"/>
      <c r="M26" s="84"/>
      <c r="N26" s="168">
        <f>I26*I25+J26*J25+K26*K25+L26*L25+M26*M25</f>
        <v>82.313999999999993</v>
      </c>
      <c r="O26" s="44"/>
      <c r="P26" s="45"/>
      <c r="Q26" s="46"/>
      <c r="R26" s="46"/>
      <c r="S26" s="47"/>
      <c r="T26" s="70"/>
      <c r="U26" s="71"/>
      <c r="V26" s="72"/>
      <c r="W26" s="150"/>
      <c r="X26" s="85"/>
      <c r="Y26" s="151"/>
      <c r="Z26" s="85"/>
      <c r="AA26" s="74"/>
      <c r="AB26" s="75"/>
      <c r="AC26" s="72"/>
      <c r="AD26" s="71"/>
      <c r="AE26" s="71"/>
      <c r="AF26" s="152"/>
      <c r="AG26" s="86"/>
      <c r="AH26" s="77"/>
      <c r="AI26" s="87"/>
      <c r="AJ26" s="46"/>
      <c r="AK26" s="77"/>
      <c r="AL26" s="78"/>
      <c r="AM26" s="79"/>
      <c r="AN26" s="80"/>
      <c r="AO26" s="80"/>
      <c r="AP26" s="61"/>
      <c r="AQ26" s="62"/>
      <c r="AR26" s="81"/>
      <c r="AS26" s="81"/>
      <c r="AT26" s="81"/>
      <c r="AU26" s="81"/>
      <c r="AV26" s="82"/>
      <c r="AW26" s="83"/>
      <c r="AX26" s="83"/>
      <c r="AZ26" s="66">
        <f t="shared" si="5"/>
        <v>0</v>
      </c>
    </row>
    <row r="27" spans="1:52" s="66" customFormat="1" ht="39.75" customHeight="1" thickBot="1" x14ac:dyDescent="0.2">
      <c r="A27" s="96"/>
      <c r="B27" s="91"/>
      <c r="C27" s="131" t="s">
        <v>279</v>
      </c>
      <c r="D27" s="131"/>
      <c r="E27" s="105"/>
      <c r="F27" s="109"/>
      <c r="G27" s="170"/>
      <c r="H27" s="158"/>
      <c r="I27" s="92">
        <v>0.51</v>
      </c>
      <c r="J27" s="41">
        <v>0.49</v>
      </c>
      <c r="K27" s="41"/>
      <c r="L27" s="42"/>
      <c r="M27" s="68"/>
      <c r="N27" s="94">
        <f t="shared" ref="N27:N54" si="7">SUM(I27:M27)</f>
        <v>1</v>
      </c>
      <c r="O27" s="125">
        <v>1</v>
      </c>
      <c r="P27" s="112">
        <v>15</v>
      </c>
      <c r="Q27" s="120">
        <v>15</v>
      </c>
      <c r="R27" s="89">
        <v>15</v>
      </c>
      <c r="S27" s="120">
        <v>15</v>
      </c>
      <c r="T27" s="70"/>
      <c r="U27" s="71">
        <f t="shared" ref="U27:U91" si="8">ROUND(((P27*I27)+(Q27*J27)+(R27*K27)+(S27*L27)+(T27*M27))*O27,2)</f>
        <v>15</v>
      </c>
      <c r="V27" s="72">
        <f t="shared" ref="V27:V91" si="9">IF(U27&gt;=15,15,U27)</f>
        <v>15</v>
      </c>
      <c r="W27" s="137">
        <v>139068887000</v>
      </c>
      <c r="X27" s="136"/>
      <c r="Y27" s="85"/>
      <c r="Z27" s="139"/>
      <c r="AA27" s="85"/>
      <c r="AB27" s="71">
        <f t="shared" ref="AB27:AB91" si="10">ROUND((((W27*I27)+(X27*J27)+(Y27*K27)+(Z27*L27)+(AA27*M27))/$I$2),2)*13</f>
        <v>46.54</v>
      </c>
      <c r="AC27" s="72">
        <f t="shared" ref="AC27:AC91" si="11">IF(AB27&gt;=13,13,AB27)</f>
        <v>13</v>
      </c>
      <c r="AD27" s="124">
        <v>2</v>
      </c>
      <c r="AE27" s="71">
        <f t="shared" ref="AE27:AE91" si="12">IF((AC27+AD27)&gt;=15,15,(AC27+AD27))</f>
        <v>15</v>
      </c>
      <c r="AF27" s="76"/>
      <c r="AG27" s="54">
        <v>2.96</v>
      </c>
      <c r="AH27" s="77">
        <f t="shared" ref="AH27:AH91" si="13">IF((V27+AE27+AF27)&gt;=30,30,(V27+AE27+AF27))</f>
        <v>30</v>
      </c>
      <c r="AI27" s="56">
        <v>10</v>
      </c>
      <c r="AJ27" s="56">
        <v>10</v>
      </c>
      <c r="AK27" s="56">
        <v>45</v>
      </c>
      <c r="AL27" s="57">
        <f t="shared" ref="AL27:AL91" si="14">V27+AE27+AF27+AI27+AJ27+AK27+AG27</f>
        <v>97.96</v>
      </c>
      <c r="AM27" s="55">
        <f t="shared" ref="AM27:AM91" si="15">IF(AH27+AI27+AJ27+AK27+AG27&gt;=95,95,AH27+AI27+AJ27+AK27+AG27)</f>
        <v>95</v>
      </c>
      <c r="AN27" s="78">
        <f t="shared" ref="AN27:AN91" si="16">-((50-((176+(45+(50-AH27)))))/200)</f>
        <v>0.95499999999999996</v>
      </c>
      <c r="AO27" s="79"/>
      <c r="AP27" s="80">
        <f t="shared" si="6"/>
        <v>1</v>
      </c>
      <c r="AQ27" s="80">
        <f t="shared" si="6"/>
        <v>2</v>
      </c>
      <c r="AR27" s="61"/>
      <c r="AS27" s="62"/>
      <c r="AT27" s="81"/>
      <c r="AU27" s="81"/>
      <c r="AV27" s="81"/>
      <c r="AW27" s="81"/>
      <c r="AX27" s="82"/>
      <c r="AY27" s="83">
        <f t="shared" ref="AY27:AY91" si="17">AT27+AU27+AV27+AW27+AX27</f>
        <v>0</v>
      </c>
      <c r="AZ27" s="83">
        <f t="shared" si="5"/>
        <v>0</v>
      </c>
    </row>
    <row r="28" spans="1:52" s="66" customFormat="1" ht="21.95" customHeight="1" thickBot="1" x14ac:dyDescent="0.2">
      <c r="A28" s="96"/>
      <c r="B28" s="91"/>
      <c r="C28" s="352" t="s">
        <v>272</v>
      </c>
      <c r="D28" s="353"/>
      <c r="E28" s="353"/>
      <c r="F28" s="353"/>
      <c r="G28" s="354"/>
      <c r="H28" s="67"/>
      <c r="I28" s="84">
        <v>85</v>
      </c>
      <c r="J28" s="84">
        <v>85</v>
      </c>
      <c r="K28" s="84">
        <v>85</v>
      </c>
      <c r="L28" s="84"/>
      <c r="M28" s="84"/>
      <c r="N28" s="168">
        <f>I28*I27+J28*J27+K28*K27+L28*L27+M28*M27</f>
        <v>85</v>
      </c>
      <c r="O28" s="44"/>
      <c r="P28" s="45"/>
      <c r="Q28" s="46"/>
      <c r="R28" s="46"/>
      <c r="S28" s="47"/>
      <c r="T28" s="70"/>
      <c r="U28" s="71"/>
      <c r="V28" s="72"/>
      <c r="W28" s="150"/>
      <c r="X28" s="85"/>
      <c r="Y28" s="151"/>
      <c r="Z28" s="85"/>
      <c r="AA28" s="74"/>
      <c r="AB28" s="75"/>
      <c r="AC28" s="72"/>
      <c r="AD28" s="71"/>
      <c r="AE28" s="71"/>
      <c r="AF28" s="152"/>
      <c r="AG28" s="86"/>
      <c r="AH28" s="77"/>
      <c r="AI28" s="87"/>
      <c r="AJ28" s="46"/>
      <c r="AK28" s="77"/>
      <c r="AL28" s="78"/>
      <c r="AM28" s="79"/>
      <c r="AN28" s="80"/>
      <c r="AO28" s="80"/>
      <c r="AP28" s="61"/>
      <c r="AQ28" s="62"/>
      <c r="AR28" s="81"/>
      <c r="AS28" s="81"/>
      <c r="AT28" s="81"/>
      <c r="AU28" s="81"/>
      <c r="AV28" s="82"/>
      <c r="AW28" s="83"/>
      <c r="AX28" s="83"/>
      <c r="AZ28" s="66">
        <f t="shared" si="5"/>
        <v>0</v>
      </c>
    </row>
    <row r="29" spans="1:52" s="66" customFormat="1" ht="39.75" customHeight="1" thickBot="1" x14ac:dyDescent="0.2">
      <c r="A29" s="96"/>
      <c r="B29" s="91"/>
      <c r="C29" s="105" t="s">
        <v>281</v>
      </c>
      <c r="D29" s="131"/>
      <c r="E29" s="131"/>
      <c r="F29" s="108"/>
      <c r="G29" s="170"/>
      <c r="H29" s="158"/>
      <c r="I29" s="92">
        <v>0.51</v>
      </c>
      <c r="J29" s="41">
        <v>0.49</v>
      </c>
      <c r="K29" s="41"/>
      <c r="L29" s="42"/>
      <c r="M29" s="147"/>
      <c r="N29" s="94">
        <f>SUM(I29:M29)</f>
        <v>1</v>
      </c>
      <c r="O29" s="125">
        <v>1</v>
      </c>
      <c r="P29" s="112">
        <v>15</v>
      </c>
      <c r="Q29" s="113">
        <v>15</v>
      </c>
      <c r="R29" s="89">
        <v>15</v>
      </c>
      <c r="S29" s="120"/>
      <c r="T29" s="70"/>
      <c r="U29" s="71">
        <f>ROUND(((P29*I29)+(Q29*J29)+(R29*K29)+(S29*L29)+(T29*M29))*O29,2)</f>
        <v>15</v>
      </c>
      <c r="V29" s="72">
        <f>IF(U29&gt;=15,15,U29)</f>
        <v>15</v>
      </c>
      <c r="W29" s="136">
        <v>32826052000</v>
      </c>
      <c r="X29" s="85"/>
      <c r="Y29" s="146"/>
      <c r="Z29" s="117"/>
      <c r="AA29" s="74"/>
      <c r="AB29" s="75">
        <f>ROUND((((W29*I29)+(X29*J29)+(Y29*K29)+(Z29*L29)+(AA29*M29))/$I$2),2)*13</f>
        <v>11.049999999999999</v>
      </c>
      <c r="AC29" s="72">
        <f>IF(AB29&gt;=13,13,AB29)</f>
        <v>11.049999999999999</v>
      </c>
      <c r="AD29" s="124">
        <v>2</v>
      </c>
      <c r="AE29" s="71">
        <f>IF((AC29+AD29)&gt;=15,15,(AC29+AD29))</f>
        <v>13.049999999999999</v>
      </c>
      <c r="AF29" s="76"/>
      <c r="AG29" s="54">
        <v>2.96</v>
      </c>
      <c r="AH29" s="77">
        <f>IF((V29+AE29+AF29)&gt;=30,30,(V29+AE29+AF29))</f>
        <v>28.049999999999997</v>
      </c>
      <c r="AI29" s="56">
        <v>10</v>
      </c>
      <c r="AJ29" s="56">
        <v>10</v>
      </c>
      <c r="AK29" s="56">
        <v>45</v>
      </c>
      <c r="AL29" s="57">
        <f>V29+AE29+AF29+AI29+AJ29+AK29+AG29</f>
        <v>96.009999999999991</v>
      </c>
      <c r="AM29" s="55">
        <f>IF(AH29+AI29+AJ29+AK29+AG29&gt;=95,95,AH29+AI29+AJ29+AK29+AG29)</f>
        <v>95</v>
      </c>
      <c r="AN29" s="78">
        <f>-((50-((176+(45+(50-AH29)))))/200)</f>
        <v>0.96475</v>
      </c>
      <c r="AO29" s="79"/>
      <c r="AP29" s="80">
        <f>100%+AO29</f>
        <v>1</v>
      </c>
      <c r="AQ29" s="80">
        <f>100%+AP29</f>
        <v>2</v>
      </c>
      <c r="AR29" s="61"/>
      <c r="AS29" s="62"/>
      <c r="AT29" s="81"/>
      <c r="AU29" s="81"/>
      <c r="AV29" s="81"/>
      <c r="AW29" s="81"/>
      <c r="AX29" s="82"/>
      <c r="AY29" s="83">
        <f>AT29+AU29+AV29+AW29+AX29</f>
        <v>0</v>
      </c>
      <c r="AZ29" s="83">
        <f>(AT29*I29)+(AU29*J29)+(AV29*K29)+(AW29*L29)+(AX29*M29)</f>
        <v>0</v>
      </c>
    </row>
    <row r="30" spans="1:52" s="66" customFormat="1" ht="39.75" customHeight="1" thickBot="1" x14ac:dyDescent="0.2">
      <c r="A30" s="96"/>
      <c r="B30" s="91"/>
      <c r="C30" s="131" t="s">
        <v>284</v>
      </c>
      <c r="D30" s="131"/>
      <c r="E30" s="134" t="s">
        <v>252</v>
      </c>
      <c r="F30" s="109"/>
      <c r="G30" s="170"/>
      <c r="H30" s="158"/>
      <c r="I30" s="92">
        <v>0.51</v>
      </c>
      <c r="J30" s="41">
        <v>0.49</v>
      </c>
      <c r="K30" s="41"/>
      <c r="L30" s="42"/>
      <c r="M30" s="147"/>
      <c r="N30" s="94">
        <f t="shared" si="7"/>
        <v>1</v>
      </c>
      <c r="O30" s="125">
        <v>1</v>
      </c>
      <c r="P30" s="112">
        <v>15</v>
      </c>
      <c r="Q30" s="113">
        <v>15</v>
      </c>
      <c r="R30" s="89">
        <v>15</v>
      </c>
      <c r="S30" s="120"/>
      <c r="T30" s="70"/>
      <c r="U30" s="71">
        <f t="shared" si="8"/>
        <v>15</v>
      </c>
      <c r="V30" s="72">
        <f t="shared" si="9"/>
        <v>15</v>
      </c>
      <c r="W30" s="136">
        <v>75890281000</v>
      </c>
      <c r="X30" s="148"/>
      <c r="Y30" s="136"/>
      <c r="Z30" s="136"/>
      <c r="AA30" s="74"/>
      <c r="AB30" s="75">
        <f t="shared" si="10"/>
        <v>25.349999999999998</v>
      </c>
      <c r="AC30" s="72">
        <f t="shared" si="11"/>
        <v>13</v>
      </c>
      <c r="AD30" s="124">
        <v>2</v>
      </c>
      <c r="AE30" s="71">
        <f t="shared" si="12"/>
        <v>15</v>
      </c>
      <c r="AF30" s="76"/>
      <c r="AG30" s="54">
        <v>2.96</v>
      </c>
      <c r="AH30" s="77">
        <f t="shared" si="13"/>
        <v>30</v>
      </c>
      <c r="AI30" s="56">
        <v>10</v>
      </c>
      <c r="AJ30" s="56">
        <v>10</v>
      </c>
      <c r="AK30" s="56">
        <v>45</v>
      </c>
      <c r="AL30" s="57">
        <f t="shared" si="14"/>
        <v>97.96</v>
      </c>
      <c r="AM30" s="55">
        <f t="shared" si="15"/>
        <v>95</v>
      </c>
      <c r="AN30" s="78">
        <f t="shared" si="16"/>
        <v>0.95499999999999996</v>
      </c>
      <c r="AO30" s="79"/>
      <c r="AP30" s="80">
        <f t="shared" si="6"/>
        <v>1</v>
      </c>
      <c r="AQ30" s="80">
        <f t="shared" si="6"/>
        <v>2</v>
      </c>
      <c r="AR30" s="61"/>
      <c r="AS30" s="62"/>
      <c r="AT30" s="81"/>
      <c r="AU30" s="81"/>
      <c r="AV30" s="81"/>
      <c r="AW30" s="81"/>
      <c r="AX30" s="82"/>
      <c r="AY30" s="83">
        <f t="shared" si="17"/>
        <v>0</v>
      </c>
      <c r="AZ30" s="83">
        <f t="shared" si="5"/>
        <v>0</v>
      </c>
    </row>
    <row r="31" spans="1:52" s="66" customFormat="1" ht="39.75" customHeight="1" thickBot="1" x14ac:dyDescent="0.2">
      <c r="A31" s="96"/>
      <c r="B31" s="91"/>
      <c r="C31" s="131" t="s">
        <v>285</v>
      </c>
      <c r="D31" s="131"/>
      <c r="E31" s="131"/>
      <c r="F31" s="131"/>
      <c r="G31" s="170"/>
      <c r="H31" s="158"/>
      <c r="I31" s="92">
        <v>0.51</v>
      </c>
      <c r="J31" s="41">
        <v>0.49</v>
      </c>
      <c r="K31" s="41"/>
      <c r="L31" s="42"/>
      <c r="M31" s="147"/>
      <c r="N31" s="94">
        <f t="shared" si="7"/>
        <v>1</v>
      </c>
      <c r="O31" s="125">
        <v>1</v>
      </c>
      <c r="P31" s="112">
        <v>15</v>
      </c>
      <c r="Q31" s="113">
        <v>15</v>
      </c>
      <c r="R31" s="89">
        <v>15</v>
      </c>
      <c r="S31" s="120"/>
      <c r="T31" s="70"/>
      <c r="U31" s="71">
        <f t="shared" si="8"/>
        <v>15</v>
      </c>
      <c r="V31" s="72">
        <f t="shared" si="9"/>
        <v>15</v>
      </c>
      <c r="W31" s="136">
        <v>44048635000</v>
      </c>
      <c r="X31" s="148"/>
      <c r="Y31" s="117"/>
      <c r="Z31" s="136"/>
      <c r="AA31" s="74"/>
      <c r="AB31" s="75">
        <f t="shared" si="10"/>
        <v>14.689999999999998</v>
      </c>
      <c r="AC31" s="72">
        <f t="shared" si="11"/>
        <v>13</v>
      </c>
      <c r="AD31" s="124">
        <v>2</v>
      </c>
      <c r="AE31" s="71">
        <f t="shared" si="12"/>
        <v>15</v>
      </c>
      <c r="AF31" s="76"/>
      <c r="AG31" s="54">
        <v>2.96</v>
      </c>
      <c r="AH31" s="77">
        <f t="shared" si="13"/>
        <v>30</v>
      </c>
      <c r="AI31" s="56">
        <v>10</v>
      </c>
      <c r="AJ31" s="56">
        <v>10</v>
      </c>
      <c r="AK31" s="56">
        <v>45</v>
      </c>
      <c r="AL31" s="57">
        <f t="shared" si="14"/>
        <v>97.96</v>
      </c>
      <c r="AM31" s="55">
        <f t="shared" si="15"/>
        <v>95</v>
      </c>
      <c r="AN31" s="78">
        <f t="shared" si="16"/>
        <v>0.95499999999999996</v>
      </c>
      <c r="AO31" s="79"/>
      <c r="AP31" s="80">
        <f t="shared" si="6"/>
        <v>1</v>
      </c>
      <c r="AQ31" s="80">
        <f t="shared" si="6"/>
        <v>2</v>
      </c>
      <c r="AR31" s="61"/>
      <c r="AS31" s="62"/>
      <c r="AT31" s="81"/>
      <c r="AU31" s="81"/>
      <c r="AV31" s="81"/>
      <c r="AW31" s="81"/>
      <c r="AX31" s="82"/>
      <c r="AY31" s="83">
        <f t="shared" si="17"/>
        <v>0</v>
      </c>
      <c r="AZ31" s="83">
        <f t="shared" si="5"/>
        <v>0</v>
      </c>
    </row>
    <row r="32" spans="1:52" s="66" customFormat="1" ht="39.75" customHeight="1" thickBot="1" x14ac:dyDescent="0.2">
      <c r="A32" s="96"/>
      <c r="B32" s="91"/>
      <c r="C32" s="131" t="s">
        <v>286</v>
      </c>
      <c r="D32" s="131"/>
      <c r="E32" s="131"/>
      <c r="F32" s="131"/>
      <c r="G32" s="170"/>
      <c r="H32" s="158"/>
      <c r="I32" s="92">
        <v>0.51</v>
      </c>
      <c r="J32" s="41">
        <v>0.49</v>
      </c>
      <c r="K32" s="41"/>
      <c r="L32" s="42"/>
      <c r="M32" s="147"/>
      <c r="N32" s="94">
        <f t="shared" si="7"/>
        <v>1</v>
      </c>
      <c r="O32" s="125">
        <v>1</v>
      </c>
      <c r="P32" s="112">
        <v>15</v>
      </c>
      <c r="Q32" s="113">
        <v>15</v>
      </c>
      <c r="R32" s="89">
        <v>15</v>
      </c>
      <c r="S32" s="120"/>
      <c r="T32" s="70"/>
      <c r="U32" s="71">
        <f t="shared" si="8"/>
        <v>15</v>
      </c>
      <c r="V32" s="72">
        <f t="shared" si="9"/>
        <v>15</v>
      </c>
      <c r="W32" s="144">
        <v>57131058000</v>
      </c>
      <c r="X32" s="138"/>
      <c r="Y32" s="136"/>
      <c r="Z32" s="136"/>
      <c r="AA32" s="74"/>
      <c r="AB32" s="75">
        <f t="shared" si="10"/>
        <v>19.11</v>
      </c>
      <c r="AC32" s="72">
        <f t="shared" si="11"/>
        <v>13</v>
      </c>
      <c r="AD32" s="124">
        <v>2</v>
      </c>
      <c r="AE32" s="71">
        <f t="shared" si="12"/>
        <v>15</v>
      </c>
      <c r="AF32" s="76"/>
      <c r="AG32" s="54"/>
      <c r="AH32" s="77">
        <f t="shared" si="13"/>
        <v>30</v>
      </c>
      <c r="AI32" s="56">
        <v>10</v>
      </c>
      <c r="AJ32" s="56">
        <v>10</v>
      </c>
      <c r="AK32" s="56">
        <v>45</v>
      </c>
      <c r="AL32" s="57">
        <f t="shared" si="14"/>
        <v>95</v>
      </c>
      <c r="AM32" s="55">
        <f t="shared" si="15"/>
        <v>95</v>
      </c>
      <c r="AN32" s="78">
        <f t="shared" si="16"/>
        <v>0.95499999999999996</v>
      </c>
      <c r="AO32" s="79"/>
      <c r="AP32" s="80">
        <f t="shared" si="6"/>
        <v>1</v>
      </c>
      <c r="AQ32" s="80">
        <f t="shared" si="6"/>
        <v>2</v>
      </c>
      <c r="AR32" s="61"/>
      <c r="AS32" s="62"/>
      <c r="AT32" s="81"/>
      <c r="AU32" s="81"/>
      <c r="AV32" s="81"/>
      <c r="AW32" s="81"/>
      <c r="AX32" s="82"/>
      <c r="AY32" s="83">
        <f t="shared" si="17"/>
        <v>0</v>
      </c>
      <c r="AZ32" s="83">
        <f t="shared" si="5"/>
        <v>0</v>
      </c>
    </row>
    <row r="33" spans="1:52" s="66" customFormat="1" ht="39.75" customHeight="1" thickBot="1" x14ac:dyDescent="0.2">
      <c r="A33" s="96"/>
      <c r="B33" s="91"/>
      <c r="C33" s="131"/>
      <c r="D33" s="131" t="s">
        <v>283</v>
      </c>
      <c r="E33" s="105"/>
      <c r="F33" s="109"/>
      <c r="G33" s="170"/>
      <c r="H33" s="158"/>
      <c r="I33" s="92">
        <v>0.51</v>
      </c>
      <c r="J33" s="41">
        <v>0.49</v>
      </c>
      <c r="K33" s="41"/>
      <c r="L33" s="42"/>
      <c r="M33" s="147"/>
      <c r="N33" s="94">
        <f>SUM(I33:M33)</f>
        <v>1</v>
      </c>
      <c r="O33" s="125">
        <v>1</v>
      </c>
      <c r="P33" s="126">
        <v>15</v>
      </c>
      <c r="Q33" s="89">
        <v>15</v>
      </c>
      <c r="R33" s="89"/>
      <c r="S33" s="114"/>
      <c r="T33" s="70"/>
      <c r="U33" s="71">
        <f>ROUND(((P33*I33)+(Q33*J33)+(R33*K33)+(S33*L33)+(T33*M33))*O33,2)</f>
        <v>15</v>
      </c>
      <c r="V33" s="72">
        <f>IF(U33&gt;=15,15,U33)</f>
        <v>15</v>
      </c>
      <c r="W33" s="136"/>
      <c r="X33" s="148">
        <v>58909982000</v>
      </c>
      <c r="Y33" s="136"/>
      <c r="Z33" s="117"/>
      <c r="AA33" s="74"/>
      <c r="AB33" s="75">
        <f>ROUND((((W33*I33)+(X33*J33)+(Y33*K33)+(Z33*L33)+(AA33*M33))/$I$2),2)*13</f>
        <v>18.98</v>
      </c>
      <c r="AC33" s="72">
        <f>IF(AB33&gt;=13,13,AB33)</f>
        <v>13</v>
      </c>
      <c r="AD33" s="124">
        <v>2</v>
      </c>
      <c r="AE33" s="71">
        <f>IF((AC33+AD33)&gt;=15,15,(AC33+AD33))</f>
        <v>15</v>
      </c>
      <c r="AF33" s="76"/>
      <c r="AG33" s="54"/>
      <c r="AH33" s="77">
        <f>IF((V33+AE33+AF33)&gt;=30,30,(V33+AE33+AF33))</f>
        <v>30</v>
      </c>
      <c r="AI33" s="56">
        <v>10</v>
      </c>
      <c r="AJ33" s="56">
        <v>10</v>
      </c>
      <c r="AK33" s="56">
        <v>45</v>
      </c>
      <c r="AL33" s="57">
        <f>V33+AE33+AF33+AI33+AJ33+AK33+AG33</f>
        <v>95</v>
      </c>
      <c r="AM33" s="55">
        <f>IF(AH33+AI33+AJ33+AK33+AG33&gt;=95,95,AH33+AI33+AJ33+AK33+AG33)</f>
        <v>95</v>
      </c>
      <c r="AN33" s="78">
        <f>-((50-((176+(45+(50-AH33)))))/200)</f>
        <v>0.95499999999999996</v>
      </c>
      <c r="AO33" s="79"/>
      <c r="AP33" s="80">
        <f>100%+AO33</f>
        <v>1</v>
      </c>
      <c r="AQ33" s="80">
        <f>100%+AP33</f>
        <v>2</v>
      </c>
      <c r="AR33" s="61"/>
      <c r="AS33" s="62"/>
      <c r="AT33" s="81"/>
      <c r="AU33" s="81"/>
      <c r="AV33" s="81"/>
      <c r="AW33" s="81"/>
      <c r="AX33" s="82"/>
      <c r="AY33" s="83">
        <f>AT33+AU33+AV33+AW33+AX33</f>
        <v>0</v>
      </c>
      <c r="AZ33" s="83">
        <f>(AT33*I33)+(AU33*J33)+(AV33*K33)+(AW33*L33)+(AX33*M33)</f>
        <v>0</v>
      </c>
    </row>
    <row r="34" spans="1:52" s="66" customFormat="1" ht="39.75" customHeight="1" thickBot="1" x14ac:dyDescent="0.2">
      <c r="A34" s="96"/>
      <c r="B34" s="91"/>
      <c r="C34" s="122"/>
      <c r="D34" s="131" t="s">
        <v>280</v>
      </c>
      <c r="E34" s="105"/>
      <c r="F34" s="110"/>
      <c r="G34" s="170"/>
      <c r="H34" s="158"/>
      <c r="I34" s="92">
        <v>0.51</v>
      </c>
      <c r="J34" s="41">
        <v>0.49</v>
      </c>
      <c r="K34" s="41"/>
      <c r="L34" s="42"/>
      <c r="M34" s="147"/>
      <c r="N34" s="94">
        <f t="shared" si="7"/>
        <v>1</v>
      </c>
      <c r="O34" s="125">
        <v>1</v>
      </c>
      <c r="P34" s="112">
        <v>15</v>
      </c>
      <c r="Q34" s="113">
        <v>15</v>
      </c>
      <c r="R34" s="114"/>
      <c r="S34" s="120"/>
      <c r="T34" s="70"/>
      <c r="U34" s="71">
        <f t="shared" si="8"/>
        <v>15</v>
      </c>
      <c r="V34" s="72">
        <f t="shared" si="9"/>
        <v>15</v>
      </c>
      <c r="W34" s="139"/>
      <c r="X34" s="148">
        <v>80267427000</v>
      </c>
      <c r="Y34" s="146"/>
      <c r="Z34" s="117"/>
      <c r="AA34" s="74"/>
      <c r="AB34" s="75">
        <f t="shared" si="10"/>
        <v>25.87</v>
      </c>
      <c r="AC34" s="72">
        <f t="shared" si="11"/>
        <v>13</v>
      </c>
      <c r="AD34" s="124">
        <v>2</v>
      </c>
      <c r="AE34" s="71">
        <f t="shared" si="12"/>
        <v>15</v>
      </c>
      <c r="AF34" s="76"/>
      <c r="AG34" s="54"/>
      <c r="AH34" s="77">
        <f t="shared" si="13"/>
        <v>30</v>
      </c>
      <c r="AI34" s="56">
        <v>10</v>
      </c>
      <c r="AJ34" s="56">
        <v>10</v>
      </c>
      <c r="AK34" s="56">
        <v>45</v>
      </c>
      <c r="AL34" s="57">
        <f t="shared" si="14"/>
        <v>95</v>
      </c>
      <c r="AM34" s="55">
        <f t="shared" si="15"/>
        <v>95</v>
      </c>
      <c r="AN34" s="78">
        <f t="shared" si="16"/>
        <v>0.95499999999999996</v>
      </c>
      <c r="AO34" s="79"/>
      <c r="AP34" s="80">
        <f t="shared" si="6"/>
        <v>1</v>
      </c>
      <c r="AQ34" s="80">
        <f t="shared" si="6"/>
        <v>2</v>
      </c>
      <c r="AR34" s="61"/>
      <c r="AS34" s="62"/>
      <c r="AT34" s="81"/>
      <c r="AU34" s="81"/>
      <c r="AV34" s="81"/>
      <c r="AW34" s="81"/>
      <c r="AX34" s="82"/>
      <c r="AY34" s="83">
        <f t="shared" si="17"/>
        <v>0</v>
      </c>
      <c r="AZ34" s="83">
        <f t="shared" si="5"/>
        <v>0</v>
      </c>
    </row>
    <row r="35" spans="1:52" s="66" customFormat="1" ht="39.75" customHeight="1" thickBot="1" x14ac:dyDescent="0.2">
      <c r="A35" s="96"/>
      <c r="B35" s="91"/>
      <c r="C35" s="131"/>
      <c r="D35" s="131" t="s">
        <v>282</v>
      </c>
      <c r="E35" s="105"/>
      <c r="F35" s="105"/>
      <c r="G35" s="170"/>
      <c r="H35" s="158"/>
      <c r="I35" s="92">
        <v>0.51</v>
      </c>
      <c r="J35" s="41">
        <v>0.49</v>
      </c>
      <c r="K35" s="41"/>
      <c r="L35" s="42"/>
      <c r="M35" s="147"/>
      <c r="N35" s="94">
        <f t="shared" si="7"/>
        <v>1</v>
      </c>
      <c r="O35" s="125">
        <v>1</v>
      </c>
      <c r="P35" s="126">
        <v>15</v>
      </c>
      <c r="Q35" s="89">
        <v>15</v>
      </c>
      <c r="R35" s="89"/>
      <c r="S35" s="114"/>
      <c r="T35" s="70"/>
      <c r="U35" s="71">
        <f t="shared" si="8"/>
        <v>15</v>
      </c>
      <c r="V35" s="72">
        <f t="shared" si="9"/>
        <v>15</v>
      </c>
      <c r="W35" s="137"/>
      <c r="X35" s="138">
        <v>36061728000</v>
      </c>
      <c r="Y35" s="148"/>
      <c r="Z35" s="85"/>
      <c r="AA35" s="74"/>
      <c r="AB35" s="75">
        <f t="shared" si="10"/>
        <v>11.57</v>
      </c>
      <c r="AC35" s="72">
        <f t="shared" si="11"/>
        <v>11.57</v>
      </c>
      <c r="AD35" s="124">
        <v>2</v>
      </c>
      <c r="AE35" s="71">
        <f t="shared" si="12"/>
        <v>13.57</v>
      </c>
      <c r="AF35" s="76"/>
      <c r="AG35" s="54"/>
      <c r="AH35" s="77">
        <f t="shared" si="13"/>
        <v>28.57</v>
      </c>
      <c r="AI35" s="56">
        <v>10</v>
      </c>
      <c r="AJ35" s="56">
        <v>10</v>
      </c>
      <c r="AK35" s="56">
        <v>45</v>
      </c>
      <c r="AL35" s="57">
        <f t="shared" si="14"/>
        <v>93.57</v>
      </c>
      <c r="AM35" s="55">
        <f t="shared" si="15"/>
        <v>93.57</v>
      </c>
      <c r="AN35" s="78">
        <f t="shared" si="16"/>
        <v>0.96215000000000006</v>
      </c>
      <c r="AO35" s="79"/>
      <c r="AP35" s="80">
        <f t="shared" si="6"/>
        <v>1</v>
      </c>
      <c r="AQ35" s="80">
        <f t="shared" si="6"/>
        <v>2</v>
      </c>
      <c r="AR35" s="61"/>
      <c r="AS35" s="62"/>
      <c r="AT35" s="81"/>
      <c r="AU35" s="81"/>
      <c r="AV35" s="81"/>
      <c r="AW35" s="81"/>
      <c r="AX35" s="82"/>
      <c r="AY35" s="83">
        <f t="shared" si="17"/>
        <v>0</v>
      </c>
      <c r="AZ35" s="83">
        <f t="shared" si="5"/>
        <v>0</v>
      </c>
    </row>
    <row r="36" spans="1:52" s="66" customFormat="1" ht="39.75" customHeight="1" thickBot="1" x14ac:dyDescent="0.2">
      <c r="A36" s="96"/>
      <c r="B36" s="91"/>
      <c r="C36" s="131"/>
      <c r="D36" s="131" t="s">
        <v>101</v>
      </c>
      <c r="E36" s="105"/>
      <c r="F36" s="105"/>
      <c r="G36" s="170"/>
      <c r="H36" s="158" t="s">
        <v>288</v>
      </c>
      <c r="I36" s="92">
        <v>0.51</v>
      </c>
      <c r="J36" s="41">
        <v>0.49</v>
      </c>
      <c r="K36" s="41"/>
      <c r="L36" s="42"/>
      <c r="M36" s="147"/>
      <c r="N36" s="94">
        <f t="shared" si="7"/>
        <v>1</v>
      </c>
      <c r="O36" s="125">
        <v>1</v>
      </c>
      <c r="P36" s="126">
        <v>15</v>
      </c>
      <c r="Q36" s="89">
        <v>15</v>
      </c>
      <c r="R36" s="89"/>
      <c r="S36" s="114"/>
      <c r="T36" s="70"/>
      <c r="U36" s="71">
        <f t="shared" si="8"/>
        <v>15</v>
      </c>
      <c r="V36" s="72">
        <f t="shared" si="9"/>
        <v>15</v>
      </c>
      <c r="W36" s="136"/>
      <c r="X36" s="136">
        <v>41028772000</v>
      </c>
      <c r="Y36" s="105"/>
      <c r="Z36" s="117"/>
      <c r="AA36" s="74"/>
      <c r="AB36" s="75">
        <f t="shared" si="10"/>
        <v>13.26</v>
      </c>
      <c r="AC36" s="72">
        <f t="shared" si="11"/>
        <v>13</v>
      </c>
      <c r="AD36" s="124">
        <v>2</v>
      </c>
      <c r="AE36" s="71">
        <f t="shared" si="12"/>
        <v>15</v>
      </c>
      <c r="AF36" s="76"/>
      <c r="AG36" s="54"/>
      <c r="AH36" s="77">
        <f t="shared" si="13"/>
        <v>30</v>
      </c>
      <c r="AI36" s="56">
        <v>10</v>
      </c>
      <c r="AJ36" s="56">
        <v>10</v>
      </c>
      <c r="AK36" s="56">
        <v>45</v>
      </c>
      <c r="AL36" s="57">
        <f t="shared" si="14"/>
        <v>95</v>
      </c>
      <c r="AM36" s="55">
        <f t="shared" si="15"/>
        <v>95</v>
      </c>
      <c r="AN36" s="78">
        <f t="shared" si="16"/>
        <v>0.95499999999999996</v>
      </c>
      <c r="AO36" s="79"/>
      <c r="AP36" s="80">
        <f t="shared" si="6"/>
        <v>1</v>
      </c>
      <c r="AQ36" s="80">
        <f t="shared" si="6"/>
        <v>2</v>
      </c>
      <c r="AR36" s="61"/>
      <c r="AS36" s="62"/>
      <c r="AT36" s="81"/>
      <c r="AU36" s="81"/>
      <c r="AV36" s="81"/>
      <c r="AW36" s="81"/>
      <c r="AX36" s="82"/>
      <c r="AY36" s="83">
        <f t="shared" si="17"/>
        <v>0</v>
      </c>
      <c r="AZ36" s="83">
        <f t="shared" si="5"/>
        <v>0</v>
      </c>
    </row>
    <row r="37" spans="1:52" s="66" customFormat="1" ht="39.75" customHeight="1" thickBot="1" x14ac:dyDescent="0.2">
      <c r="A37" s="96"/>
      <c r="B37" s="91"/>
      <c r="C37" s="131"/>
      <c r="D37" s="122" t="s">
        <v>100</v>
      </c>
      <c r="E37" s="131"/>
      <c r="F37" s="110"/>
      <c r="G37" s="170"/>
      <c r="H37" s="158" t="s">
        <v>288</v>
      </c>
      <c r="I37" s="92">
        <v>0.51</v>
      </c>
      <c r="J37" s="41">
        <v>0.49</v>
      </c>
      <c r="K37" s="41"/>
      <c r="L37" s="42"/>
      <c r="M37" s="147"/>
      <c r="N37" s="94">
        <f t="shared" si="7"/>
        <v>1</v>
      </c>
      <c r="O37" s="125">
        <v>1</v>
      </c>
      <c r="P37" s="112">
        <v>15</v>
      </c>
      <c r="Q37" s="113">
        <v>15</v>
      </c>
      <c r="R37" s="114"/>
      <c r="S37" s="120"/>
      <c r="T37" s="70"/>
      <c r="U37" s="71">
        <f t="shared" si="8"/>
        <v>15</v>
      </c>
      <c r="V37" s="72">
        <f t="shared" si="9"/>
        <v>15</v>
      </c>
      <c r="W37" s="137"/>
      <c r="X37" s="139">
        <v>39814172000</v>
      </c>
      <c r="Y37" s="117"/>
      <c r="Z37" s="117"/>
      <c r="AA37" s="74"/>
      <c r="AB37" s="75">
        <f t="shared" si="10"/>
        <v>12.87</v>
      </c>
      <c r="AC37" s="72">
        <f t="shared" si="11"/>
        <v>12.87</v>
      </c>
      <c r="AD37" s="124">
        <v>2</v>
      </c>
      <c r="AE37" s="71">
        <f t="shared" si="12"/>
        <v>14.87</v>
      </c>
      <c r="AF37" s="76"/>
      <c r="AG37" s="54"/>
      <c r="AH37" s="77">
        <f t="shared" si="13"/>
        <v>29.869999999999997</v>
      </c>
      <c r="AI37" s="56">
        <v>10</v>
      </c>
      <c r="AJ37" s="56">
        <v>10</v>
      </c>
      <c r="AK37" s="56">
        <v>45</v>
      </c>
      <c r="AL37" s="57">
        <f t="shared" si="14"/>
        <v>94.87</v>
      </c>
      <c r="AM37" s="55">
        <f t="shared" si="15"/>
        <v>94.87</v>
      </c>
      <c r="AN37" s="78">
        <f t="shared" si="16"/>
        <v>0.95565</v>
      </c>
      <c r="AO37" s="79"/>
      <c r="AP37" s="80">
        <f t="shared" si="6"/>
        <v>1</v>
      </c>
      <c r="AQ37" s="80">
        <f t="shared" si="6"/>
        <v>2</v>
      </c>
      <c r="AR37" s="61"/>
      <c r="AS37" s="62"/>
      <c r="AT37" s="81"/>
      <c r="AU37" s="81"/>
      <c r="AV37" s="81"/>
      <c r="AW37" s="81"/>
      <c r="AX37" s="82"/>
      <c r="AY37" s="83">
        <f t="shared" si="17"/>
        <v>0</v>
      </c>
      <c r="AZ37" s="83">
        <f t="shared" si="5"/>
        <v>0</v>
      </c>
    </row>
    <row r="38" spans="1:52" s="66" customFormat="1" ht="39.75" customHeight="1" thickBot="1" x14ac:dyDescent="0.2">
      <c r="A38" s="96"/>
      <c r="B38" s="91"/>
      <c r="C38" s="131"/>
      <c r="D38" s="131" t="s">
        <v>164</v>
      </c>
      <c r="E38" s="131"/>
      <c r="F38" s="131"/>
      <c r="G38" s="170"/>
      <c r="H38" s="158" t="s">
        <v>288</v>
      </c>
      <c r="I38" s="92">
        <v>0.51</v>
      </c>
      <c r="J38" s="41">
        <v>0.49</v>
      </c>
      <c r="K38" s="41"/>
      <c r="L38" s="42"/>
      <c r="M38" s="147"/>
      <c r="N38" s="94">
        <f t="shared" si="7"/>
        <v>1</v>
      </c>
      <c r="O38" s="125">
        <v>1</v>
      </c>
      <c r="P38" s="112">
        <v>15</v>
      </c>
      <c r="Q38" s="113">
        <v>15</v>
      </c>
      <c r="R38" s="114"/>
      <c r="S38" s="120"/>
      <c r="T38" s="70"/>
      <c r="U38" s="71">
        <f t="shared" si="8"/>
        <v>15</v>
      </c>
      <c r="V38" s="72">
        <f t="shared" si="9"/>
        <v>15</v>
      </c>
      <c r="W38" s="136"/>
      <c r="X38" s="261">
        <v>172249167000</v>
      </c>
      <c r="Y38" s="136"/>
      <c r="Z38" s="117"/>
      <c r="AA38" s="74"/>
      <c r="AB38" s="75">
        <f t="shared" si="10"/>
        <v>55.379999999999995</v>
      </c>
      <c r="AC38" s="72">
        <f t="shared" si="11"/>
        <v>13</v>
      </c>
      <c r="AD38" s="124">
        <v>2</v>
      </c>
      <c r="AE38" s="71">
        <f t="shared" si="12"/>
        <v>15</v>
      </c>
      <c r="AF38" s="76"/>
      <c r="AG38" s="54"/>
      <c r="AH38" s="77">
        <f t="shared" si="13"/>
        <v>30</v>
      </c>
      <c r="AI38" s="56">
        <v>10</v>
      </c>
      <c r="AJ38" s="56">
        <v>10</v>
      </c>
      <c r="AK38" s="56">
        <v>45</v>
      </c>
      <c r="AL38" s="57">
        <f t="shared" si="14"/>
        <v>95</v>
      </c>
      <c r="AM38" s="55">
        <f t="shared" si="15"/>
        <v>95</v>
      </c>
      <c r="AN38" s="78">
        <f t="shared" si="16"/>
        <v>0.95499999999999996</v>
      </c>
      <c r="AO38" s="79"/>
      <c r="AP38" s="80">
        <f t="shared" si="6"/>
        <v>1</v>
      </c>
      <c r="AQ38" s="80">
        <f t="shared" si="6"/>
        <v>2</v>
      </c>
      <c r="AR38" s="61"/>
      <c r="AS38" s="62"/>
      <c r="AT38" s="81"/>
      <c r="AU38" s="81"/>
      <c r="AV38" s="81"/>
      <c r="AW38" s="81"/>
      <c r="AX38" s="82"/>
      <c r="AY38" s="83">
        <f t="shared" si="17"/>
        <v>0</v>
      </c>
      <c r="AZ38" s="83">
        <f t="shared" si="5"/>
        <v>0</v>
      </c>
    </row>
    <row r="39" spans="1:52" s="66" customFormat="1" ht="39.75" customHeight="1" thickBot="1" x14ac:dyDescent="0.2">
      <c r="A39" s="96"/>
      <c r="B39" s="91"/>
      <c r="C39" s="131"/>
      <c r="D39" s="131" t="s">
        <v>102</v>
      </c>
      <c r="E39" s="131"/>
      <c r="F39" s="131"/>
      <c r="G39" s="170"/>
      <c r="H39" s="158" t="s">
        <v>288</v>
      </c>
      <c r="I39" s="92">
        <v>0.7</v>
      </c>
      <c r="J39" s="41">
        <v>0.3</v>
      </c>
      <c r="K39" s="41"/>
      <c r="L39" s="42"/>
      <c r="M39" s="147"/>
      <c r="N39" s="94">
        <f t="shared" si="7"/>
        <v>1</v>
      </c>
      <c r="O39" s="125">
        <v>1</v>
      </c>
      <c r="P39" s="112">
        <v>15</v>
      </c>
      <c r="Q39" s="113">
        <v>15</v>
      </c>
      <c r="R39" s="114"/>
      <c r="S39" s="120"/>
      <c r="T39" s="70"/>
      <c r="U39" s="71">
        <f t="shared" si="8"/>
        <v>15</v>
      </c>
      <c r="V39" s="72">
        <f t="shared" si="9"/>
        <v>15</v>
      </c>
      <c r="W39" s="136"/>
      <c r="X39" s="136">
        <v>101360213000</v>
      </c>
      <c r="Y39" s="136"/>
      <c r="Z39" s="85"/>
      <c r="AA39" s="74"/>
      <c r="AB39" s="75">
        <f t="shared" si="10"/>
        <v>20.02</v>
      </c>
      <c r="AC39" s="72">
        <f t="shared" si="11"/>
        <v>13</v>
      </c>
      <c r="AD39" s="124">
        <v>2</v>
      </c>
      <c r="AE39" s="71">
        <f t="shared" si="12"/>
        <v>15</v>
      </c>
      <c r="AF39" s="76"/>
      <c r="AG39" s="54"/>
      <c r="AH39" s="77">
        <f t="shared" si="13"/>
        <v>30</v>
      </c>
      <c r="AI39" s="56">
        <v>10</v>
      </c>
      <c r="AJ39" s="56">
        <v>10</v>
      </c>
      <c r="AK39" s="56">
        <v>45</v>
      </c>
      <c r="AL39" s="57">
        <f t="shared" si="14"/>
        <v>95</v>
      </c>
      <c r="AM39" s="55">
        <f t="shared" si="15"/>
        <v>95</v>
      </c>
      <c r="AN39" s="78">
        <f t="shared" si="16"/>
        <v>0.95499999999999996</v>
      </c>
      <c r="AO39" s="79"/>
      <c r="AP39" s="80">
        <f t="shared" ref="AP39:AQ54" si="18">100%+AO39</f>
        <v>1</v>
      </c>
      <c r="AQ39" s="80">
        <f t="shared" si="18"/>
        <v>2</v>
      </c>
      <c r="AR39" s="61"/>
      <c r="AS39" s="62"/>
      <c r="AT39" s="81"/>
      <c r="AU39" s="81"/>
      <c r="AV39" s="81"/>
      <c r="AW39" s="81"/>
      <c r="AX39" s="82"/>
      <c r="AY39" s="83">
        <f t="shared" si="17"/>
        <v>0</v>
      </c>
      <c r="AZ39" s="83">
        <f t="shared" si="5"/>
        <v>0</v>
      </c>
    </row>
    <row r="40" spans="1:52" s="66" customFormat="1" ht="39.75" customHeight="1" thickBot="1" x14ac:dyDescent="0.2">
      <c r="A40" s="96"/>
      <c r="B40" s="91"/>
      <c r="C40" s="131"/>
      <c r="D40" s="131" t="s">
        <v>116</v>
      </c>
      <c r="E40" s="131"/>
      <c r="F40" s="131"/>
      <c r="G40" s="170"/>
      <c r="H40" s="158" t="s">
        <v>288</v>
      </c>
      <c r="I40" s="92">
        <v>0.7</v>
      </c>
      <c r="J40" s="41">
        <v>0.3</v>
      </c>
      <c r="K40" s="41"/>
      <c r="L40" s="42"/>
      <c r="M40" s="147"/>
      <c r="N40" s="94">
        <f t="shared" si="7"/>
        <v>1</v>
      </c>
      <c r="O40" s="125">
        <v>1</v>
      </c>
      <c r="P40" s="126">
        <v>15</v>
      </c>
      <c r="Q40" s="89">
        <v>15</v>
      </c>
      <c r="R40" s="89"/>
      <c r="S40" s="114"/>
      <c r="T40" s="70"/>
      <c r="U40" s="71">
        <f t="shared" si="8"/>
        <v>15</v>
      </c>
      <c r="V40" s="72">
        <f t="shared" si="9"/>
        <v>15</v>
      </c>
      <c r="W40" s="136"/>
      <c r="X40" s="262">
        <v>233566701000</v>
      </c>
      <c r="Y40" s="148"/>
      <c r="Z40" s="138"/>
      <c r="AA40" s="74"/>
      <c r="AB40" s="75">
        <f t="shared" si="10"/>
        <v>46.02</v>
      </c>
      <c r="AC40" s="72">
        <f t="shared" si="11"/>
        <v>13</v>
      </c>
      <c r="AD40" s="124">
        <v>2</v>
      </c>
      <c r="AE40" s="71">
        <f t="shared" si="12"/>
        <v>15</v>
      </c>
      <c r="AF40" s="76"/>
      <c r="AG40" s="54"/>
      <c r="AH40" s="77">
        <f t="shared" si="13"/>
        <v>30</v>
      </c>
      <c r="AI40" s="56">
        <v>10</v>
      </c>
      <c r="AJ40" s="56">
        <v>10</v>
      </c>
      <c r="AK40" s="56">
        <v>45</v>
      </c>
      <c r="AL40" s="57">
        <f t="shared" si="14"/>
        <v>95</v>
      </c>
      <c r="AM40" s="55">
        <f t="shared" si="15"/>
        <v>95</v>
      </c>
      <c r="AN40" s="78">
        <f t="shared" si="16"/>
        <v>0.95499999999999996</v>
      </c>
      <c r="AO40" s="79"/>
      <c r="AP40" s="80">
        <f t="shared" si="18"/>
        <v>1</v>
      </c>
      <c r="AQ40" s="80">
        <f t="shared" si="18"/>
        <v>2</v>
      </c>
      <c r="AR40" s="61"/>
      <c r="AS40" s="62"/>
      <c r="AT40" s="81"/>
      <c r="AU40" s="81"/>
      <c r="AV40" s="81"/>
      <c r="AW40" s="81"/>
      <c r="AX40" s="82"/>
      <c r="AY40" s="83">
        <f t="shared" si="17"/>
        <v>0</v>
      </c>
      <c r="AZ40" s="83">
        <f t="shared" si="5"/>
        <v>0</v>
      </c>
    </row>
    <row r="41" spans="1:52" s="66" customFormat="1" ht="39.75" customHeight="1" thickBot="1" x14ac:dyDescent="0.2">
      <c r="A41" s="96"/>
      <c r="B41" s="91"/>
      <c r="C41" s="131"/>
      <c r="D41" s="131" t="s">
        <v>287</v>
      </c>
      <c r="E41" s="131"/>
      <c r="F41" s="131"/>
      <c r="G41" s="97"/>
      <c r="H41" s="158" t="s">
        <v>288</v>
      </c>
      <c r="I41" s="92">
        <v>0.7</v>
      </c>
      <c r="J41" s="41">
        <v>0.3</v>
      </c>
      <c r="K41" s="41"/>
      <c r="L41" s="42"/>
      <c r="M41" s="68"/>
      <c r="N41" s="69">
        <f t="shared" si="7"/>
        <v>1</v>
      </c>
      <c r="O41" s="125">
        <v>1</v>
      </c>
      <c r="P41" s="112">
        <v>15</v>
      </c>
      <c r="Q41" s="113">
        <v>15</v>
      </c>
      <c r="R41" s="113"/>
      <c r="S41" s="120"/>
      <c r="T41" s="70"/>
      <c r="U41" s="71">
        <f t="shared" si="8"/>
        <v>15</v>
      </c>
      <c r="V41" s="72">
        <f t="shared" si="9"/>
        <v>15</v>
      </c>
      <c r="W41" s="144"/>
      <c r="X41" s="136">
        <v>52502259000</v>
      </c>
      <c r="Y41" s="136"/>
      <c r="Z41" s="136"/>
      <c r="AA41" s="74"/>
      <c r="AB41" s="75">
        <f t="shared" si="10"/>
        <v>10.4</v>
      </c>
      <c r="AC41" s="72">
        <f t="shared" si="11"/>
        <v>10.4</v>
      </c>
      <c r="AD41" s="124">
        <v>2</v>
      </c>
      <c r="AE41" s="71">
        <f t="shared" si="12"/>
        <v>12.4</v>
      </c>
      <c r="AF41" s="76"/>
      <c r="AG41" s="54"/>
      <c r="AH41" s="77">
        <f t="shared" si="13"/>
        <v>27.4</v>
      </c>
      <c r="AI41" s="56">
        <v>10</v>
      </c>
      <c r="AJ41" s="56">
        <v>10</v>
      </c>
      <c r="AK41" s="56">
        <v>45</v>
      </c>
      <c r="AL41" s="57">
        <f t="shared" si="14"/>
        <v>92.4</v>
      </c>
      <c r="AM41" s="55">
        <f t="shared" si="15"/>
        <v>92.4</v>
      </c>
      <c r="AN41" s="78">
        <f t="shared" si="16"/>
        <v>0.96799999999999997</v>
      </c>
      <c r="AO41" s="79"/>
      <c r="AP41" s="80">
        <f t="shared" si="18"/>
        <v>1</v>
      </c>
      <c r="AQ41" s="80">
        <f t="shared" si="18"/>
        <v>2</v>
      </c>
      <c r="AR41" s="61"/>
      <c r="AS41" s="62"/>
      <c r="AT41" s="81"/>
      <c r="AU41" s="81"/>
      <c r="AV41" s="81"/>
      <c r="AW41" s="81"/>
      <c r="AX41" s="82"/>
      <c r="AY41" s="83">
        <f t="shared" si="17"/>
        <v>0</v>
      </c>
      <c r="AZ41" s="83">
        <f t="shared" si="5"/>
        <v>0</v>
      </c>
    </row>
    <row r="42" spans="1:52" s="66" customFormat="1" ht="39.75" customHeight="1" thickBot="1" x14ac:dyDescent="0.2">
      <c r="A42" s="96"/>
      <c r="B42" s="91"/>
      <c r="C42" s="110"/>
      <c r="D42" s="131"/>
      <c r="E42" s="131"/>
      <c r="F42" s="131"/>
      <c r="G42" s="170"/>
      <c r="H42" s="158"/>
      <c r="I42" s="92">
        <v>0.7</v>
      </c>
      <c r="J42" s="41">
        <v>0.3</v>
      </c>
      <c r="K42" s="41"/>
      <c r="L42" s="42"/>
      <c r="M42" s="147"/>
      <c r="N42" s="94">
        <f t="shared" si="7"/>
        <v>1</v>
      </c>
      <c r="O42" s="125">
        <v>1</v>
      </c>
      <c r="P42" s="112">
        <v>15</v>
      </c>
      <c r="Q42" s="113">
        <v>15</v>
      </c>
      <c r="R42" s="113"/>
      <c r="S42" s="120"/>
      <c r="T42" s="70"/>
      <c r="U42" s="71">
        <f t="shared" si="8"/>
        <v>15</v>
      </c>
      <c r="V42" s="72">
        <f t="shared" si="9"/>
        <v>15</v>
      </c>
      <c r="W42" s="139"/>
      <c r="X42" s="85"/>
      <c r="Y42" s="136"/>
      <c r="Z42" s="136"/>
      <c r="AA42" s="74"/>
      <c r="AB42" s="75">
        <f t="shared" si="10"/>
        <v>0</v>
      </c>
      <c r="AC42" s="72">
        <f t="shared" si="11"/>
        <v>0</v>
      </c>
      <c r="AD42" s="124">
        <v>2</v>
      </c>
      <c r="AE42" s="71">
        <f t="shared" si="12"/>
        <v>2</v>
      </c>
      <c r="AF42" s="76"/>
      <c r="AG42" s="54"/>
      <c r="AH42" s="77">
        <f t="shared" si="13"/>
        <v>17</v>
      </c>
      <c r="AI42" s="56">
        <v>10</v>
      </c>
      <c r="AJ42" s="56">
        <v>10</v>
      </c>
      <c r="AK42" s="56">
        <v>45</v>
      </c>
      <c r="AL42" s="57">
        <f t="shared" si="14"/>
        <v>82</v>
      </c>
      <c r="AM42" s="55">
        <f t="shared" si="15"/>
        <v>82</v>
      </c>
      <c r="AN42" s="78">
        <f t="shared" si="16"/>
        <v>1.02</v>
      </c>
      <c r="AO42" s="79"/>
      <c r="AP42" s="80">
        <f t="shared" si="18"/>
        <v>1</v>
      </c>
      <c r="AQ42" s="80">
        <f t="shared" si="18"/>
        <v>2</v>
      </c>
      <c r="AR42" s="61"/>
      <c r="AS42" s="62"/>
      <c r="AT42" s="81"/>
      <c r="AU42" s="81"/>
      <c r="AV42" s="81"/>
      <c r="AW42" s="81"/>
      <c r="AX42" s="82"/>
      <c r="AY42" s="83">
        <f t="shared" si="17"/>
        <v>0</v>
      </c>
      <c r="AZ42" s="83">
        <f t="shared" si="5"/>
        <v>0</v>
      </c>
    </row>
    <row r="43" spans="1:52" s="66" customFormat="1" ht="39.75" customHeight="1" thickBot="1" x14ac:dyDescent="0.2">
      <c r="A43" s="96"/>
      <c r="B43" s="105"/>
      <c r="C43" s="110"/>
      <c r="D43" s="110"/>
      <c r="E43" s="105"/>
      <c r="F43" s="123"/>
      <c r="G43" s="170"/>
      <c r="H43" s="158"/>
      <c r="I43" s="92">
        <v>0.7</v>
      </c>
      <c r="J43" s="41">
        <v>0.3</v>
      </c>
      <c r="K43" s="41"/>
      <c r="L43" s="42"/>
      <c r="M43" s="68"/>
      <c r="N43" s="94">
        <f t="shared" si="7"/>
        <v>1</v>
      </c>
      <c r="O43" s="125">
        <v>1</v>
      </c>
      <c r="P43" s="126">
        <v>15</v>
      </c>
      <c r="Q43" s="89">
        <v>15</v>
      </c>
      <c r="R43" s="89"/>
      <c r="S43" s="114"/>
      <c r="T43" s="70"/>
      <c r="U43" s="71">
        <f t="shared" si="8"/>
        <v>15</v>
      </c>
      <c r="V43" s="72">
        <f t="shared" si="9"/>
        <v>15</v>
      </c>
      <c r="W43" s="139"/>
      <c r="X43" s="85"/>
      <c r="Y43" s="105"/>
      <c r="Z43" s="109"/>
      <c r="AA43" s="74"/>
      <c r="AB43" s="75">
        <f t="shared" si="10"/>
        <v>0</v>
      </c>
      <c r="AC43" s="72">
        <f t="shared" si="11"/>
        <v>0</v>
      </c>
      <c r="AD43" s="124">
        <v>2</v>
      </c>
      <c r="AE43" s="71">
        <f t="shared" si="12"/>
        <v>2</v>
      </c>
      <c r="AF43" s="76"/>
      <c r="AG43" s="54"/>
      <c r="AH43" s="77">
        <f t="shared" si="13"/>
        <v>17</v>
      </c>
      <c r="AI43" s="56">
        <v>10</v>
      </c>
      <c r="AJ43" s="56">
        <v>10</v>
      </c>
      <c r="AK43" s="56">
        <v>45</v>
      </c>
      <c r="AL43" s="57">
        <f t="shared" si="14"/>
        <v>82</v>
      </c>
      <c r="AM43" s="55">
        <f t="shared" si="15"/>
        <v>82</v>
      </c>
      <c r="AN43" s="78">
        <f t="shared" si="16"/>
        <v>1.02</v>
      </c>
      <c r="AO43" s="79"/>
      <c r="AP43" s="80">
        <f t="shared" si="18"/>
        <v>1</v>
      </c>
      <c r="AQ43" s="80">
        <f t="shared" si="18"/>
        <v>2</v>
      </c>
      <c r="AR43" s="61"/>
      <c r="AS43" s="62"/>
      <c r="AT43" s="81"/>
      <c r="AU43" s="81"/>
      <c r="AV43" s="81"/>
      <c r="AW43" s="81"/>
      <c r="AX43" s="82"/>
      <c r="AY43" s="83">
        <f t="shared" si="17"/>
        <v>0</v>
      </c>
      <c r="AZ43" s="83">
        <f t="shared" si="5"/>
        <v>0</v>
      </c>
    </row>
    <row r="44" spans="1:52" s="66" customFormat="1" ht="39.75" customHeight="1" thickBot="1" x14ac:dyDescent="0.2">
      <c r="A44" s="96"/>
      <c r="B44" s="91"/>
      <c r="C44" s="131"/>
      <c r="D44" s="110"/>
      <c r="E44" s="108"/>
      <c r="F44" s="108"/>
      <c r="G44" s="170"/>
      <c r="H44" s="158"/>
      <c r="I44" s="92">
        <v>0.7</v>
      </c>
      <c r="J44" s="41">
        <v>0.3</v>
      </c>
      <c r="K44" s="41"/>
      <c r="L44" s="42"/>
      <c r="M44" s="147"/>
      <c r="N44" s="94">
        <f t="shared" si="7"/>
        <v>1</v>
      </c>
      <c r="O44" s="125">
        <v>1</v>
      </c>
      <c r="P44" s="112">
        <v>15</v>
      </c>
      <c r="Q44" s="113">
        <v>15</v>
      </c>
      <c r="R44" s="114"/>
      <c r="S44" s="120"/>
      <c r="T44" s="70"/>
      <c r="U44" s="71">
        <f t="shared" si="8"/>
        <v>15</v>
      </c>
      <c r="V44" s="72">
        <f t="shared" si="9"/>
        <v>15</v>
      </c>
      <c r="W44" s="136"/>
      <c r="X44" s="85"/>
      <c r="Y44" s="136"/>
      <c r="Z44" s="117"/>
      <c r="AA44" s="74"/>
      <c r="AB44" s="75">
        <f t="shared" si="10"/>
        <v>0</v>
      </c>
      <c r="AC44" s="72">
        <f t="shared" si="11"/>
        <v>0</v>
      </c>
      <c r="AD44" s="124">
        <v>2</v>
      </c>
      <c r="AE44" s="71">
        <f t="shared" si="12"/>
        <v>2</v>
      </c>
      <c r="AF44" s="76"/>
      <c r="AG44" s="54"/>
      <c r="AH44" s="77">
        <f t="shared" si="13"/>
        <v>17</v>
      </c>
      <c r="AI44" s="56">
        <v>10</v>
      </c>
      <c r="AJ44" s="56">
        <v>10</v>
      </c>
      <c r="AK44" s="56">
        <v>45</v>
      </c>
      <c r="AL44" s="57">
        <f t="shared" si="14"/>
        <v>82</v>
      </c>
      <c r="AM44" s="55">
        <f t="shared" si="15"/>
        <v>82</v>
      </c>
      <c r="AN44" s="78">
        <f t="shared" si="16"/>
        <v>1.02</v>
      </c>
      <c r="AO44" s="79"/>
      <c r="AP44" s="80">
        <f t="shared" si="18"/>
        <v>1</v>
      </c>
      <c r="AQ44" s="80">
        <f t="shared" si="18"/>
        <v>2</v>
      </c>
      <c r="AR44" s="61"/>
      <c r="AS44" s="62"/>
      <c r="AT44" s="81"/>
      <c r="AU44" s="81"/>
      <c r="AV44" s="81"/>
      <c r="AW44" s="81"/>
      <c r="AX44" s="82"/>
      <c r="AY44" s="83">
        <f t="shared" si="17"/>
        <v>0</v>
      </c>
      <c r="AZ44" s="83">
        <f t="shared" si="5"/>
        <v>0</v>
      </c>
    </row>
    <row r="45" spans="1:52" s="66" customFormat="1" ht="39.75" customHeight="1" thickBot="1" x14ac:dyDescent="0.2">
      <c r="A45" s="96"/>
      <c r="B45" s="91"/>
      <c r="C45" s="110"/>
      <c r="D45" s="187" t="s">
        <v>110</v>
      </c>
      <c r="E45" s="105"/>
      <c r="F45" s="110" t="s">
        <v>253</v>
      </c>
      <c r="G45" s="170"/>
      <c r="H45" s="158"/>
      <c r="I45" s="92">
        <v>0.7</v>
      </c>
      <c r="J45" s="41">
        <v>0.3</v>
      </c>
      <c r="K45" s="41"/>
      <c r="L45" s="42"/>
      <c r="M45" s="147"/>
      <c r="N45" s="94">
        <f t="shared" si="7"/>
        <v>1</v>
      </c>
      <c r="O45" s="125">
        <v>1</v>
      </c>
      <c r="P45" s="126">
        <v>15</v>
      </c>
      <c r="Q45" s="89">
        <v>15</v>
      </c>
      <c r="R45" s="89"/>
      <c r="S45" s="114"/>
      <c r="T45" s="70"/>
      <c r="U45" s="71">
        <f t="shared" si="8"/>
        <v>15</v>
      </c>
      <c r="V45" s="72">
        <f t="shared" si="9"/>
        <v>15</v>
      </c>
      <c r="W45" s="117"/>
      <c r="X45" s="136"/>
      <c r="Y45" s="136"/>
      <c r="Z45" s="136"/>
      <c r="AA45" s="74"/>
      <c r="AB45" s="75">
        <f t="shared" si="10"/>
        <v>0</v>
      </c>
      <c r="AC45" s="72">
        <f t="shared" si="11"/>
        <v>0</v>
      </c>
      <c r="AD45" s="124">
        <v>2</v>
      </c>
      <c r="AE45" s="71">
        <f t="shared" si="12"/>
        <v>2</v>
      </c>
      <c r="AF45" s="76"/>
      <c r="AG45" s="54"/>
      <c r="AH45" s="77">
        <f t="shared" si="13"/>
        <v>17</v>
      </c>
      <c r="AI45" s="56">
        <v>10</v>
      </c>
      <c r="AJ45" s="56">
        <v>10</v>
      </c>
      <c r="AK45" s="56">
        <v>45</v>
      </c>
      <c r="AL45" s="57">
        <f t="shared" si="14"/>
        <v>82</v>
      </c>
      <c r="AM45" s="55">
        <f t="shared" si="15"/>
        <v>82</v>
      </c>
      <c r="AN45" s="78">
        <f t="shared" si="16"/>
        <v>1.02</v>
      </c>
      <c r="AO45" s="79"/>
      <c r="AP45" s="80">
        <f t="shared" si="18"/>
        <v>1</v>
      </c>
      <c r="AQ45" s="80">
        <f t="shared" si="18"/>
        <v>2</v>
      </c>
      <c r="AR45" s="61"/>
      <c r="AS45" s="62"/>
      <c r="AT45" s="81"/>
      <c r="AU45" s="81"/>
      <c r="AV45" s="81"/>
      <c r="AW45" s="81"/>
      <c r="AX45" s="82"/>
      <c r="AY45" s="83">
        <f t="shared" si="17"/>
        <v>0</v>
      </c>
      <c r="AZ45" s="83">
        <f t="shared" si="5"/>
        <v>0</v>
      </c>
    </row>
    <row r="46" spans="1:52" s="66" customFormat="1" ht="39.75" customHeight="1" thickBot="1" x14ac:dyDescent="0.2">
      <c r="A46" s="107"/>
      <c r="B46" s="91"/>
      <c r="C46" s="131"/>
      <c r="D46" s="142" t="s">
        <v>108</v>
      </c>
      <c r="E46" s="132" t="s">
        <v>106</v>
      </c>
      <c r="F46" s="185" t="s">
        <v>114</v>
      </c>
      <c r="G46" s="170"/>
      <c r="H46" s="158"/>
      <c r="I46" s="92">
        <v>0.7</v>
      </c>
      <c r="J46" s="41">
        <v>0.3</v>
      </c>
      <c r="K46" s="41"/>
      <c r="L46" s="42"/>
      <c r="M46" s="68"/>
      <c r="N46" s="94">
        <f t="shared" si="7"/>
        <v>1</v>
      </c>
      <c r="O46" s="125">
        <v>1</v>
      </c>
      <c r="P46" s="112">
        <v>15</v>
      </c>
      <c r="Q46" s="113">
        <v>15</v>
      </c>
      <c r="R46" s="113"/>
      <c r="S46" s="114"/>
      <c r="T46" s="70"/>
      <c r="U46" s="71">
        <f t="shared" si="8"/>
        <v>15</v>
      </c>
      <c r="V46" s="72">
        <f t="shared" si="9"/>
        <v>15</v>
      </c>
      <c r="W46" s="136"/>
      <c r="X46" s="148"/>
      <c r="Y46" s="148"/>
      <c r="Z46" s="119"/>
      <c r="AA46" s="74"/>
      <c r="AB46" s="75">
        <f t="shared" si="10"/>
        <v>0</v>
      </c>
      <c r="AC46" s="72">
        <f t="shared" si="11"/>
        <v>0</v>
      </c>
      <c r="AD46" s="124">
        <v>2</v>
      </c>
      <c r="AE46" s="71">
        <f t="shared" si="12"/>
        <v>2</v>
      </c>
      <c r="AF46" s="76"/>
      <c r="AG46" s="54"/>
      <c r="AH46" s="77">
        <f t="shared" si="13"/>
        <v>17</v>
      </c>
      <c r="AI46" s="56">
        <v>10</v>
      </c>
      <c r="AJ46" s="56">
        <v>10</v>
      </c>
      <c r="AK46" s="56">
        <v>45</v>
      </c>
      <c r="AL46" s="57">
        <f t="shared" si="14"/>
        <v>82</v>
      </c>
      <c r="AM46" s="55">
        <f t="shared" si="15"/>
        <v>82</v>
      </c>
      <c r="AN46" s="78">
        <f t="shared" si="16"/>
        <v>1.02</v>
      </c>
      <c r="AO46" s="79"/>
      <c r="AP46" s="80">
        <f t="shared" si="18"/>
        <v>1</v>
      </c>
      <c r="AQ46" s="80">
        <f t="shared" si="18"/>
        <v>2</v>
      </c>
      <c r="AR46" s="61"/>
      <c r="AS46" s="62"/>
      <c r="AT46" s="81"/>
      <c r="AU46" s="81"/>
      <c r="AV46" s="81"/>
      <c r="AW46" s="81"/>
      <c r="AX46" s="82"/>
      <c r="AY46" s="83">
        <f t="shared" si="17"/>
        <v>0</v>
      </c>
      <c r="AZ46" s="83">
        <f t="shared" si="5"/>
        <v>0</v>
      </c>
    </row>
    <row r="47" spans="1:52" s="66" customFormat="1" ht="39.75" customHeight="1" thickBot="1" x14ac:dyDescent="0.2">
      <c r="A47" s="96"/>
      <c r="B47" s="91"/>
      <c r="C47" s="131"/>
      <c r="D47" s="131"/>
      <c r="E47" s="131"/>
      <c r="F47" s="131"/>
      <c r="G47" s="170"/>
      <c r="H47" s="158"/>
      <c r="I47" s="92">
        <v>0.7</v>
      </c>
      <c r="J47" s="41">
        <v>0.3</v>
      </c>
      <c r="K47" s="41"/>
      <c r="L47" s="42"/>
      <c r="M47" s="147"/>
      <c r="N47" s="94">
        <f t="shared" si="7"/>
        <v>1</v>
      </c>
      <c r="O47" s="125">
        <v>1</v>
      </c>
      <c r="P47" s="112">
        <v>15</v>
      </c>
      <c r="Q47" s="113">
        <v>15</v>
      </c>
      <c r="R47" s="114"/>
      <c r="S47" s="120"/>
      <c r="T47" s="70"/>
      <c r="U47" s="71">
        <f t="shared" si="8"/>
        <v>15</v>
      </c>
      <c r="V47" s="72">
        <f t="shared" si="9"/>
        <v>15</v>
      </c>
      <c r="W47" s="137"/>
      <c r="X47" s="136"/>
      <c r="Y47" s="119"/>
      <c r="Z47" s="148"/>
      <c r="AA47" s="74"/>
      <c r="AB47" s="75">
        <f t="shared" si="10"/>
        <v>0</v>
      </c>
      <c r="AC47" s="72">
        <f t="shared" si="11"/>
        <v>0</v>
      </c>
      <c r="AD47" s="124">
        <v>2</v>
      </c>
      <c r="AE47" s="71">
        <f t="shared" si="12"/>
        <v>2</v>
      </c>
      <c r="AF47" s="76"/>
      <c r="AG47" s="54"/>
      <c r="AH47" s="77">
        <f t="shared" si="13"/>
        <v>17</v>
      </c>
      <c r="AI47" s="56">
        <v>10</v>
      </c>
      <c r="AJ47" s="56">
        <v>10</v>
      </c>
      <c r="AK47" s="56">
        <v>45</v>
      </c>
      <c r="AL47" s="57">
        <f t="shared" si="14"/>
        <v>82</v>
      </c>
      <c r="AM47" s="55">
        <f t="shared" si="15"/>
        <v>82</v>
      </c>
      <c r="AN47" s="78">
        <f t="shared" si="16"/>
        <v>1.02</v>
      </c>
      <c r="AO47" s="79"/>
      <c r="AP47" s="80">
        <f t="shared" si="18"/>
        <v>1</v>
      </c>
      <c r="AQ47" s="80">
        <f t="shared" si="18"/>
        <v>2</v>
      </c>
      <c r="AR47" s="61"/>
      <c r="AS47" s="62"/>
      <c r="AT47" s="81"/>
      <c r="AU47" s="81"/>
      <c r="AV47" s="81"/>
      <c r="AW47" s="81"/>
      <c r="AX47" s="82"/>
      <c r="AY47" s="83">
        <f t="shared" si="17"/>
        <v>0</v>
      </c>
      <c r="AZ47" s="83">
        <f t="shared" si="5"/>
        <v>0</v>
      </c>
    </row>
    <row r="48" spans="1:52" s="66" customFormat="1" ht="39.75" customHeight="1" thickBot="1" x14ac:dyDescent="0.2">
      <c r="A48" s="96"/>
      <c r="B48" s="91"/>
      <c r="C48" s="131"/>
      <c r="D48" s="131"/>
      <c r="E48" s="131"/>
      <c r="F48" s="131"/>
      <c r="G48" s="97"/>
      <c r="H48" s="158"/>
      <c r="I48" s="92">
        <v>0.7</v>
      </c>
      <c r="J48" s="41">
        <v>0.3</v>
      </c>
      <c r="K48" s="41"/>
      <c r="L48" s="42"/>
      <c r="M48" s="147"/>
      <c r="N48" s="69">
        <f t="shared" si="7"/>
        <v>1</v>
      </c>
      <c r="O48" s="125">
        <v>1</v>
      </c>
      <c r="P48" s="112">
        <v>15</v>
      </c>
      <c r="Q48" s="113">
        <v>15</v>
      </c>
      <c r="R48" s="113"/>
      <c r="S48" s="114"/>
      <c r="T48" s="70"/>
      <c r="U48" s="71">
        <f t="shared" si="8"/>
        <v>15</v>
      </c>
      <c r="V48" s="72">
        <f t="shared" si="9"/>
        <v>15</v>
      </c>
      <c r="W48" s="136"/>
      <c r="X48" s="148"/>
      <c r="Y48" s="136"/>
      <c r="Z48" s="119"/>
      <c r="AA48" s="74"/>
      <c r="AB48" s="75">
        <f t="shared" si="10"/>
        <v>0</v>
      </c>
      <c r="AC48" s="72">
        <f t="shared" si="11"/>
        <v>0</v>
      </c>
      <c r="AD48" s="124">
        <v>2</v>
      </c>
      <c r="AE48" s="71">
        <f t="shared" si="12"/>
        <v>2</v>
      </c>
      <c r="AF48" s="76"/>
      <c r="AG48" s="54"/>
      <c r="AH48" s="77">
        <f t="shared" si="13"/>
        <v>17</v>
      </c>
      <c r="AI48" s="56">
        <v>10</v>
      </c>
      <c r="AJ48" s="56">
        <v>10</v>
      </c>
      <c r="AK48" s="56">
        <v>45</v>
      </c>
      <c r="AL48" s="57">
        <f t="shared" si="14"/>
        <v>82</v>
      </c>
      <c r="AM48" s="55">
        <f t="shared" si="15"/>
        <v>82</v>
      </c>
      <c r="AN48" s="78">
        <f t="shared" si="16"/>
        <v>1.02</v>
      </c>
      <c r="AO48" s="79"/>
      <c r="AP48" s="80">
        <f t="shared" si="18"/>
        <v>1</v>
      </c>
      <c r="AQ48" s="80">
        <f t="shared" si="18"/>
        <v>2</v>
      </c>
      <c r="AR48" s="61"/>
      <c r="AS48" s="62"/>
      <c r="AT48" s="81"/>
      <c r="AU48" s="81"/>
      <c r="AV48" s="81"/>
      <c r="AW48" s="81"/>
      <c r="AX48" s="82"/>
      <c r="AY48" s="83">
        <f t="shared" si="17"/>
        <v>0</v>
      </c>
      <c r="AZ48" s="83">
        <f t="shared" si="5"/>
        <v>0</v>
      </c>
    </row>
    <row r="49" spans="1:52" s="66" customFormat="1" ht="39.75" customHeight="1" thickBot="1" x14ac:dyDescent="0.2">
      <c r="A49" s="96"/>
      <c r="B49" s="91"/>
      <c r="C49" s="131"/>
      <c r="D49" s="131"/>
      <c r="E49" s="131"/>
      <c r="F49" s="131"/>
      <c r="G49" s="97"/>
      <c r="H49" s="158"/>
      <c r="I49" s="92">
        <v>0.7</v>
      </c>
      <c r="J49" s="41">
        <v>0.3</v>
      </c>
      <c r="K49" s="41"/>
      <c r="L49" s="42"/>
      <c r="M49" s="68"/>
      <c r="N49" s="69">
        <f t="shared" si="7"/>
        <v>1</v>
      </c>
      <c r="O49" s="125">
        <v>1</v>
      </c>
      <c r="P49" s="112">
        <v>15</v>
      </c>
      <c r="Q49" s="113">
        <v>15</v>
      </c>
      <c r="R49" s="113"/>
      <c r="S49" s="114"/>
      <c r="T49" s="70"/>
      <c r="U49" s="71">
        <f t="shared" si="8"/>
        <v>15</v>
      </c>
      <c r="V49" s="72">
        <f t="shared" si="9"/>
        <v>15</v>
      </c>
      <c r="W49" s="136"/>
      <c r="X49" s="136"/>
      <c r="Y49" s="117"/>
      <c r="Z49" s="116"/>
      <c r="AA49" s="74"/>
      <c r="AB49" s="75">
        <f t="shared" si="10"/>
        <v>0</v>
      </c>
      <c r="AC49" s="72">
        <f t="shared" si="11"/>
        <v>0</v>
      </c>
      <c r="AD49" s="124">
        <v>2</v>
      </c>
      <c r="AE49" s="71">
        <f t="shared" si="12"/>
        <v>2</v>
      </c>
      <c r="AF49" s="76"/>
      <c r="AG49" s="54"/>
      <c r="AH49" s="77">
        <f t="shared" si="13"/>
        <v>17</v>
      </c>
      <c r="AI49" s="56">
        <v>10</v>
      </c>
      <c r="AJ49" s="56">
        <v>10</v>
      </c>
      <c r="AK49" s="56">
        <v>45</v>
      </c>
      <c r="AL49" s="57">
        <f t="shared" si="14"/>
        <v>82</v>
      </c>
      <c r="AM49" s="55">
        <f t="shared" si="15"/>
        <v>82</v>
      </c>
      <c r="AN49" s="78">
        <f t="shared" si="16"/>
        <v>1.02</v>
      </c>
      <c r="AO49" s="79"/>
      <c r="AP49" s="80">
        <f t="shared" si="18"/>
        <v>1</v>
      </c>
      <c r="AQ49" s="80">
        <f t="shared" si="18"/>
        <v>2</v>
      </c>
      <c r="AR49" s="61"/>
      <c r="AS49" s="62"/>
      <c r="AT49" s="81"/>
      <c r="AU49" s="81"/>
      <c r="AV49" s="81"/>
      <c r="AW49" s="81"/>
      <c r="AX49" s="82"/>
      <c r="AY49" s="83">
        <f t="shared" si="17"/>
        <v>0</v>
      </c>
      <c r="AZ49" s="83">
        <f t="shared" si="5"/>
        <v>0</v>
      </c>
    </row>
    <row r="50" spans="1:52" s="66" customFormat="1" ht="39.75" customHeight="1" thickBot="1" x14ac:dyDescent="0.2">
      <c r="A50" s="96"/>
      <c r="B50" s="91"/>
      <c r="C50" s="131"/>
      <c r="D50" s="131"/>
      <c r="E50" s="110"/>
      <c r="F50" s="110"/>
      <c r="G50" s="170"/>
      <c r="H50" s="157"/>
      <c r="I50" s="92">
        <v>0.7</v>
      </c>
      <c r="J50" s="41">
        <v>0.3</v>
      </c>
      <c r="K50" s="41"/>
      <c r="L50" s="42"/>
      <c r="M50" s="128"/>
      <c r="N50" s="43">
        <f t="shared" si="7"/>
        <v>1</v>
      </c>
      <c r="O50" s="125">
        <v>1</v>
      </c>
      <c r="P50" s="112">
        <v>15</v>
      </c>
      <c r="Q50" s="89">
        <v>15</v>
      </c>
      <c r="R50" s="113"/>
      <c r="S50" s="120"/>
      <c r="T50" s="156"/>
      <c r="U50" s="48">
        <f t="shared" si="8"/>
        <v>15</v>
      </c>
      <c r="V50" s="49">
        <f t="shared" si="9"/>
        <v>15</v>
      </c>
      <c r="W50" s="136"/>
      <c r="X50" s="146"/>
      <c r="Y50" s="148"/>
      <c r="Z50" s="117"/>
      <c r="AA50" s="74"/>
      <c r="AB50" s="75">
        <f t="shared" si="10"/>
        <v>0</v>
      </c>
      <c r="AC50" s="72">
        <f t="shared" si="11"/>
        <v>0</v>
      </c>
      <c r="AD50" s="124">
        <v>2</v>
      </c>
      <c r="AE50" s="71">
        <f t="shared" si="12"/>
        <v>2</v>
      </c>
      <c r="AF50" s="76"/>
      <c r="AG50" s="54"/>
      <c r="AH50" s="77">
        <f t="shared" si="13"/>
        <v>17</v>
      </c>
      <c r="AI50" s="56">
        <v>10</v>
      </c>
      <c r="AJ50" s="56">
        <v>10</v>
      </c>
      <c r="AK50" s="56">
        <v>45</v>
      </c>
      <c r="AL50" s="57">
        <f t="shared" si="14"/>
        <v>82</v>
      </c>
      <c r="AM50" s="55">
        <f t="shared" si="15"/>
        <v>82</v>
      </c>
      <c r="AN50" s="78">
        <f t="shared" si="16"/>
        <v>1.02</v>
      </c>
      <c r="AO50" s="79"/>
      <c r="AP50" s="80">
        <f t="shared" si="18"/>
        <v>1</v>
      </c>
      <c r="AQ50" s="80">
        <f t="shared" si="18"/>
        <v>2</v>
      </c>
      <c r="AR50" s="61"/>
      <c r="AS50" s="62"/>
      <c r="AT50" s="81"/>
      <c r="AU50" s="81"/>
      <c r="AV50" s="81"/>
      <c r="AW50" s="81"/>
      <c r="AX50" s="82"/>
      <c r="AY50" s="83">
        <f t="shared" si="17"/>
        <v>0</v>
      </c>
      <c r="AZ50" s="83">
        <f t="shared" si="5"/>
        <v>0</v>
      </c>
    </row>
    <row r="51" spans="1:52" s="66" customFormat="1" ht="39.75" customHeight="1" thickBot="1" x14ac:dyDescent="0.2">
      <c r="A51" s="160"/>
      <c r="B51" s="91"/>
      <c r="C51" s="131"/>
      <c r="D51" s="105"/>
      <c r="E51" s="110"/>
      <c r="F51" s="131"/>
      <c r="G51" s="170"/>
      <c r="H51" s="158"/>
      <c r="I51" s="92">
        <v>0.7</v>
      </c>
      <c r="J51" s="41">
        <v>0.3</v>
      </c>
      <c r="K51" s="41"/>
      <c r="L51" s="42"/>
      <c r="M51" s="68"/>
      <c r="N51" s="94">
        <f t="shared" si="7"/>
        <v>1</v>
      </c>
      <c r="O51" s="125">
        <v>1</v>
      </c>
      <c r="P51" s="126">
        <v>15</v>
      </c>
      <c r="Q51" s="89">
        <v>15</v>
      </c>
      <c r="R51" s="89"/>
      <c r="S51" s="114"/>
      <c r="T51" s="70"/>
      <c r="U51" s="71">
        <f t="shared" si="8"/>
        <v>15</v>
      </c>
      <c r="V51" s="72">
        <f t="shared" si="9"/>
        <v>15</v>
      </c>
      <c r="W51" s="139"/>
      <c r="X51" s="136"/>
      <c r="Y51" s="148"/>
      <c r="Z51" s="146"/>
      <c r="AA51" s="74"/>
      <c r="AB51" s="75">
        <f t="shared" si="10"/>
        <v>0</v>
      </c>
      <c r="AC51" s="72">
        <f t="shared" si="11"/>
        <v>0</v>
      </c>
      <c r="AD51" s="124">
        <v>2</v>
      </c>
      <c r="AE51" s="71">
        <f t="shared" si="12"/>
        <v>2</v>
      </c>
      <c r="AF51" s="76"/>
      <c r="AG51" s="54"/>
      <c r="AH51" s="77">
        <f t="shared" si="13"/>
        <v>17</v>
      </c>
      <c r="AI51" s="56">
        <v>10</v>
      </c>
      <c r="AJ51" s="56">
        <v>10</v>
      </c>
      <c r="AK51" s="56">
        <v>45</v>
      </c>
      <c r="AL51" s="57">
        <f t="shared" si="14"/>
        <v>82</v>
      </c>
      <c r="AM51" s="55">
        <f t="shared" si="15"/>
        <v>82</v>
      </c>
      <c r="AN51" s="78">
        <f t="shared" si="16"/>
        <v>1.02</v>
      </c>
      <c r="AO51" s="79"/>
      <c r="AP51" s="80">
        <f t="shared" si="18"/>
        <v>1</v>
      </c>
      <c r="AQ51" s="80">
        <f t="shared" si="18"/>
        <v>2</v>
      </c>
      <c r="AR51" s="61"/>
      <c r="AS51" s="62"/>
      <c r="AT51" s="81"/>
      <c r="AU51" s="81"/>
      <c r="AV51" s="81"/>
      <c r="AW51" s="81"/>
      <c r="AX51" s="82"/>
      <c r="AY51" s="83">
        <f t="shared" si="17"/>
        <v>0</v>
      </c>
      <c r="AZ51" s="83">
        <f t="shared" si="5"/>
        <v>0</v>
      </c>
    </row>
    <row r="52" spans="1:52" s="66" customFormat="1" ht="39.75" customHeight="1" thickBot="1" x14ac:dyDescent="0.2">
      <c r="A52" s="96"/>
      <c r="B52" s="91"/>
      <c r="C52" s="131"/>
      <c r="D52" s="131"/>
      <c r="E52" s="105"/>
      <c r="F52" s="131"/>
      <c r="G52" s="170"/>
      <c r="H52" s="158"/>
      <c r="I52" s="92">
        <v>0.7</v>
      </c>
      <c r="J52" s="41">
        <v>0.3</v>
      </c>
      <c r="K52" s="41"/>
      <c r="L52" s="42"/>
      <c r="M52" s="68"/>
      <c r="N52" s="94">
        <f t="shared" si="7"/>
        <v>1</v>
      </c>
      <c r="O52" s="125">
        <v>1</v>
      </c>
      <c r="P52" s="112">
        <v>15</v>
      </c>
      <c r="Q52" s="113">
        <v>15</v>
      </c>
      <c r="R52" s="113"/>
      <c r="S52" s="114"/>
      <c r="T52" s="70"/>
      <c r="U52" s="71">
        <f t="shared" si="8"/>
        <v>15</v>
      </c>
      <c r="V52" s="72">
        <f t="shared" si="9"/>
        <v>15</v>
      </c>
      <c r="W52" s="136"/>
      <c r="X52" s="136"/>
      <c r="Y52" s="148"/>
      <c r="Z52" s="146"/>
      <c r="AA52" s="146"/>
      <c r="AB52" s="71">
        <f t="shared" si="10"/>
        <v>0</v>
      </c>
      <c r="AC52" s="72">
        <f t="shared" si="11"/>
        <v>0</v>
      </c>
      <c r="AD52" s="124">
        <v>2</v>
      </c>
      <c r="AE52" s="71">
        <f t="shared" si="12"/>
        <v>2</v>
      </c>
      <c r="AF52" s="76"/>
      <c r="AG52" s="54"/>
      <c r="AH52" s="77">
        <f t="shared" si="13"/>
        <v>17</v>
      </c>
      <c r="AI52" s="56">
        <v>10</v>
      </c>
      <c r="AJ52" s="56">
        <v>10</v>
      </c>
      <c r="AK52" s="56">
        <v>45</v>
      </c>
      <c r="AL52" s="57">
        <f t="shared" si="14"/>
        <v>82</v>
      </c>
      <c r="AM52" s="55">
        <f t="shared" si="15"/>
        <v>82</v>
      </c>
      <c r="AN52" s="78">
        <f t="shared" si="16"/>
        <v>1.02</v>
      </c>
      <c r="AO52" s="79"/>
      <c r="AP52" s="80">
        <f t="shared" si="18"/>
        <v>1</v>
      </c>
      <c r="AQ52" s="80">
        <f t="shared" si="18"/>
        <v>2</v>
      </c>
      <c r="AR52" s="61"/>
      <c r="AS52" s="62"/>
      <c r="AT52" s="81"/>
      <c r="AU52" s="81"/>
      <c r="AV52" s="81"/>
      <c r="AW52" s="81"/>
      <c r="AX52" s="82"/>
      <c r="AY52" s="83">
        <f t="shared" si="17"/>
        <v>0</v>
      </c>
      <c r="AZ52" s="83">
        <f t="shared" si="5"/>
        <v>0</v>
      </c>
    </row>
    <row r="53" spans="1:52" s="66" customFormat="1" ht="39.75" customHeight="1" thickBot="1" x14ac:dyDescent="0.2">
      <c r="A53" s="160"/>
      <c r="B53" s="91"/>
      <c r="C53" s="105"/>
      <c r="D53" s="171"/>
      <c r="E53" s="110"/>
      <c r="F53" s="109"/>
      <c r="G53" s="170"/>
      <c r="H53" s="158"/>
      <c r="I53" s="92">
        <v>0.7</v>
      </c>
      <c r="J53" s="41">
        <v>0.3</v>
      </c>
      <c r="K53" s="41"/>
      <c r="L53" s="42"/>
      <c r="M53" s="68"/>
      <c r="N53" s="94">
        <f t="shared" si="7"/>
        <v>1</v>
      </c>
      <c r="O53" s="125">
        <v>1</v>
      </c>
      <c r="P53" s="126">
        <v>15</v>
      </c>
      <c r="Q53" s="89">
        <v>15</v>
      </c>
      <c r="R53" s="89"/>
      <c r="S53" s="114"/>
      <c r="T53" s="70"/>
      <c r="U53" s="71">
        <f t="shared" si="8"/>
        <v>15</v>
      </c>
      <c r="V53" s="72">
        <f t="shared" si="9"/>
        <v>15</v>
      </c>
      <c r="W53" s="119"/>
      <c r="X53" s="136"/>
      <c r="Y53" s="148"/>
      <c r="Z53" s="109"/>
      <c r="AA53" s="74"/>
      <c r="AB53" s="75">
        <f t="shared" si="10"/>
        <v>0</v>
      </c>
      <c r="AC53" s="72">
        <f t="shared" si="11"/>
        <v>0</v>
      </c>
      <c r="AD53" s="124">
        <v>2</v>
      </c>
      <c r="AE53" s="71">
        <f t="shared" si="12"/>
        <v>2</v>
      </c>
      <c r="AF53" s="76"/>
      <c r="AG53" s="54"/>
      <c r="AH53" s="77">
        <f t="shared" si="13"/>
        <v>17</v>
      </c>
      <c r="AI53" s="56">
        <v>10</v>
      </c>
      <c r="AJ53" s="56">
        <v>10</v>
      </c>
      <c r="AK53" s="56">
        <v>45</v>
      </c>
      <c r="AL53" s="57">
        <f t="shared" si="14"/>
        <v>82</v>
      </c>
      <c r="AM53" s="55">
        <f t="shared" si="15"/>
        <v>82</v>
      </c>
      <c r="AN53" s="78">
        <f t="shared" si="16"/>
        <v>1.02</v>
      </c>
      <c r="AO53" s="79"/>
      <c r="AP53" s="80">
        <f t="shared" si="18"/>
        <v>1</v>
      </c>
      <c r="AQ53" s="80">
        <f t="shared" si="18"/>
        <v>2</v>
      </c>
      <c r="AR53" s="61"/>
      <c r="AS53" s="62"/>
      <c r="AT53" s="81"/>
      <c r="AU53" s="81"/>
      <c r="AV53" s="81"/>
      <c r="AW53" s="81"/>
      <c r="AX53" s="82"/>
      <c r="AY53" s="83">
        <f t="shared" si="17"/>
        <v>0</v>
      </c>
      <c r="AZ53" s="83">
        <f t="shared" si="5"/>
        <v>0</v>
      </c>
    </row>
    <row r="54" spans="1:52" s="66" customFormat="1" ht="39.75" customHeight="1" thickBot="1" x14ac:dyDescent="0.2">
      <c r="A54" s="131"/>
      <c r="B54" s="131"/>
      <c r="C54" s="131"/>
      <c r="D54" s="131"/>
      <c r="E54" s="131"/>
      <c r="F54" s="109"/>
      <c r="G54" s="170"/>
      <c r="H54" s="158"/>
      <c r="I54" s="92">
        <v>0.7</v>
      </c>
      <c r="J54" s="41">
        <v>0.3</v>
      </c>
      <c r="K54" s="41"/>
      <c r="L54" s="42"/>
      <c r="M54" s="147"/>
      <c r="N54" s="94">
        <f t="shared" si="7"/>
        <v>1</v>
      </c>
      <c r="O54" s="125">
        <v>1</v>
      </c>
      <c r="P54" s="112">
        <v>15</v>
      </c>
      <c r="Q54" s="113">
        <v>15</v>
      </c>
      <c r="R54" s="113"/>
      <c r="S54" s="120"/>
      <c r="T54" s="70"/>
      <c r="U54" s="71">
        <f t="shared" si="8"/>
        <v>15</v>
      </c>
      <c r="V54" s="72">
        <f t="shared" si="9"/>
        <v>15</v>
      </c>
      <c r="W54" s="119"/>
      <c r="X54" s="148"/>
      <c r="Y54" s="136"/>
      <c r="Z54" s="139"/>
      <c r="AA54" s="74"/>
      <c r="AB54" s="75">
        <f t="shared" si="10"/>
        <v>0</v>
      </c>
      <c r="AC54" s="72">
        <f t="shared" si="11"/>
        <v>0</v>
      </c>
      <c r="AD54" s="124">
        <v>2</v>
      </c>
      <c r="AE54" s="71">
        <f t="shared" si="12"/>
        <v>2</v>
      </c>
      <c r="AF54" s="76"/>
      <c r="AG54" s="54"/>
      <c r="AH54" s="77">
        <f t="shared" si="13"/>
        <v>17</v>
      </c>
      <c r="AI54" s="56">
        <v>10</v>
      </c>
      <c r="AJ54" s="56">
        <v>10</v>
      </c>
      <c r="AK54" s="56">
        <v>45</v>
      </c>
      <c r="AL54" s="57">
        <f t="shared" si="14"/>
        <v>82</v>
      </c>
      <c r="AM54" s="55">
        <f t="shared" si="15"/>
        <v>82</v>
      </c>
      <c r="AN54" s="78">
        <f t="shared" si="16"/>
        <v>1.02</v>
      </c>
      <c r="AO54" s="79"/>
      <c r="AP54" s="80">
        <f t="shared" si="18"/>
        <v>1</v>
      </c>
      <c r="AQ54" s="80">
        <f t="shared" si="18"/>
        <v>2</v>
      </c>
      <c r="AR54" s="61"/>
      <c r="AS54" s="62"/>
      <c r="AT54" s="81"/>
      <c r="AU54" s="81"/>
      <c r="AV54" s="81"/>
      <c r="AW54" s="81"/>
      <c r="AX54" s="82"/>
      <c r="AY54" s="83">
        <f t="shared" si="17"/>
        <v>0</v>
      </c>
      <c r="AZ54" s="83">
        <f t="shared" si="5"/>
        <v>0</v>
      </c>
    </row>
    <row r="55" spans="1:52" s="66" customFormat="1" ht="39.75" customHeight="1" thickBot="1" x14ac:dyDescent="0.2">
      <c r="A55" s="105"/>
      <c r="B55" s="105"/>
      <c r="C55" s="105"/>
      <c r="D55" s="105"/>
      <c r="E55" s="131"/>
      <c r="F55" s="105"/>
      <c r="G55" s="170"/>
      <c r="H55" s="158"/>
      <c r="I55" s="92">
        <v>0.7</v>
      </c>
      <c r="J55" s="41">
        <v>0.3</v>
      </c>
      <c r="K55" s="41"/>
      <c r="L55" s="42"/>
      <c r="M55" s="68"/>
      <c r="N55" s="94">
        <f t="shared" ref="N55:N118" si="19">SUM(I55:M55)</f>
        <v>1</v>
      </c>
      <c r="O55" s="125">
        <v>1</v>
      </c>
      <c r="P55" s="126">
        <v>15</v>
      </c>
      <c r="Q55" s="89">
        <v>15</v>
      </c>
      <c r="R55" s="89"/>
      <c r="S55" s="114"/>
      <c r="T55" s="70"/>
      <c r="U55" s="71">
        <f t="shared" si="8"/>
        <v>15</v>
      </c>
      <c r="V55" s="72">
        <f t="shared" si="9"/>
        <v>15</v>
      </c>
      <c r="W55" s="136"/>
      <c r="X55" s="136"/>
      <c r="Y55" s="85"/>
      <c r="Z55" s="139"/>
      <c r="AA55" s="74"/>
      <c r="AB55" s="71">
        <f t="shared" si="10"/>
        <v>0</v>
      </c>
      <c r="AC55" s="72">
        <f t="shared" si="11"/>
        <v>0</v>
      </c>
      <c r="AD55" s="124">
        <v>2</v>
      </c>
      <c r="AE55" s="71">
        <f t="shared" si="12"/>
        <v>2</v>
      </c>
      <c r="AF55" s="76"/>
      <c r="AG55" s="54"/>
      <c r="AH55" s="77">
        <f t="shared" si="13"/>
        <v>17</v>
      </c>
      <c r="AI55" s="56">
        <v>10</v>
      </c>
      <c r="AJ55" s="56">
        <v>10</v>
      </c>
      <c r="AK55" s="56">
        <v>45</v>
      </c>
      <c r="AL55" s="57">
        <f t="shared" si="14"/>
        <v>82</v>
      </c>
      <c r="AM55" s="55">
        <f t="shared" si="15"/>
        <v>82</v>
      </c>
      <c r="AN55" s="78">
        <f t="shared" si="16"/>
        <v>1.02</v>
      </c>
      <c r="AO55" s="79"/>
      <c r="AP55" s="80">
        <f t="shared" ref="AP55:AQ74" si="20">100%+AO55</f>
        <v>1</v>
      </c>
      <c r="AQ55" s="80">
        <f t="shared" si="20"/>
        <v>2</v>
      </c>
      <c r="AR55" s="61"/>
      <c r="AS55" s="62"/>
      <c r="AT55" s="81"/>
      <c r="AU55" s="81"/>
      <c r="AV55" s="81"/>
      <c r="AW55" s="81"/>
      <c r="AX55" s="82"/>
      <c r="AY55" s="83">
        <f t="shared" si="17"/>
        <v>0</v>
      </c>
      <c r="AZ55" s="83">
        <f t="shared" si="5"/>
        <v>0</v>
      </c>
    </row>
    <row r="56" spans="1:52" s="66" customFormat="1" ht="39.75" customHeight="1" thickBot="1" x14ac:dyDescent="0.2">
      <c r="A56" s="96"/>
      <c r="B56" s="91"/>
      <c r="C56" s="131"/>
      <c r="D56" s="122"/>
      <c r="E56" s="110"/>
      <c r="F56" s="110"/>
      <c r="G56" s="97"/>
      <c r="H56" s="158"/>
      <c r="I56" s="92">
        <v>0.7</v>
      </c>
      <c r="J56" s="41">
        <v>0.3</v>
      </c>
      <c r="K56" s="41"/>
      <c r="L56" s="42"/>
      <c r="M56" s="68"/>
      <c r="N56" s="69">
        <f t="shared" si="19"/>
        <v>1</v>
      </c>
      <c r="O56" s="125">
        <v>1</v>
      </c>
      <c r="P56" s="112">
        <v>15</v>
      </c>
      <c r="Q56" s="113">
        <v>15</v>
      </c>
      <c r="R56" s="133"/>
      <c r="S56" s="120"/>
      <c r="T56" s="70"/>
      <c r="U56" s="71">
        <f t="shared" si="8"/>
        <v>15</v>
      </c>
      <c r="V56" s="72">
        <f t="shared" si="9"/>
        <v>15</v>
      </c>
      <c r="W56" s="136"/>
      <c r="X56" s="136"/>
      <c r="Y56" s="136"/>
      <c r="Z56" s="146"/>
      <c r="AA56" s="74"/>
      <c r="AB56" s="75">
        <f t="shared" si="10"/>
        <v>0</v>
      </c>
      <c r="AC56" s="72">
        <f t="shared" si="11"/>
        <v>0</v>
      </c>
      <c r="AD56" s="124">
        <v>2</v>
      </c>
      <c r="AE56" s="71">
        <f t="shared" si="12"/>
        <v>2</v>
      </c>
      <c r="AF56" s="76"/>
      <c r="AG56" s="54"/>
      <c r="AH56" s="77">
        <f t="shared" si="13"/>
        <v>17</v>
      </c>
      <c r="AI56" s="56">
        <v>10</v>
      </c>
      <c r="AJ56" s="56">
        <v>10</v>
      </c>
      <c r="AK56" s="56">
        <v>45</v>
      </c>
      <c r="AL56" s="57">
        <f t="shared" si="14"/>
        <v>82</v>
      </c>
      <c r="AM56" s="55">
        <f t="shared" si="15"/>
        <v>82</v>
      </c>
      <c r="AN56" s="78">
        <f t="shared" si="16"/>
        <v>1.02</v>
      </c>
      <c r="AO56" s="79"/>
      <c r="AP56" s="80">
        <f t="shared" si="20"/>
        <v>1</v>
      </c>
      <c r="AQ56" s="80">
        <f t="shared" si="20"/>
        <v>2</v>
      </c>
      <c r="AR56" s="61"/>
      <c r="AS56" s="62"/>
      <c r="AT56" s="81"/>
      <c r="AU56" s="81"/>
      <c r="AV56" s="81"/>
      <c r="AW56" s="81"/>
      <c r="AX56" s="82"/>
      <c r="AY56" s="83">
        <f t="shared" si="17"/>
        <v>0</v>
      </c>
      <c r="AZ56" s="83">
        <f t="shared" si="5"/>
        <v>0</v>
      </c>
    </row>
    <row r="57" spans="1:52" s="66" customFormat="1" ht="39.75" customHeight="1" thickBot="1" x14ac:dyDescent="0.2">
      <c r="A57" s="96"/>
      <c r="B57" s="91"/>
      <c r="C57" s="131"/>
      <c r="D57" s="131"/>
      <c r="E57" s="131"/>
      <c r="F57" s="131"/>
      <c r="G57" s="170"/>
      <c r="H57" s="158"/>
      <c r="I57" s="92">
        <v>0.7</v>
      </c>
      <c r="J57" s="41">
        <v>0.3</v>
      </c>
      <c r="K57" s="41"/>
      <c r="L57" s="42"/>
      <c r="M57" s="147"/>
      <c r="N57" s="94">
        <f t="shared" si="19"/>
        <v>1</v>
      </c>
      <c r="O57" s="125">
        <v>1</v>
      </c>
      <c r="P57" s="112">
        <v>15</v>
      </c>
      <c r="Q57" s="113">
        <v>15</v>
      </c>
      <c r="R57" s="114"/>
      <c r="S57" s="120"/>
      <c r="T57" s="70"/>
      <c r="U57" s="71">
        <f t="shared" si="8"/>
        <v>15</v>
      </c>
      <c r="V57" s="72">
        <f t="shared" si="9"/>
        <v>15</v>
      </c>
      <c r="W57" s="137"/>
      <c r="X57" s="136"/>
      <c r="Y57" s="85"/>
      <c r="Z57" s="117"/>
      <c r="AA57" s="74"/>
      <c r="AB57" s="75">
        <f t="shared" si="10"/>
        <v>0</v>
      </c>
      <c r="AC57" s="72">
        <f t="shared" si="11"/>
        <v>0</v>
      </c>
      <c r="AD57" s="124">
        <v>2</v>
      </c>
      <c r="AE57" s="71">
        <f t="shared" si="12"/>
        <v>2</v>
      </c>
      <c r="AF57" s="76"/>
      <c r="AG57" s="54"/>
      <c r="AH57" s="77">
        <f t="shared" si="13"/>
        <v>17</v>
      </c>
      <c r="AI57" s="56">
        <v>10</v>
      </c>
      <c r="AJ57" s="56">
        <v>10</v>
      </c>
      <c r="AK57" s="56">
        <v>45</v>
      </c>
      <c r="AL57" s="57">
        <f t="shared" si="14"/>
        <v>82</v>
      </c>
      <c r="AM57" s="55">
        <f t="shared" si="15"/>
        <v>82</v>
      </c>
      <c r="AN57" s="78">
        <f t="shared" si="16"/>
        <v>1.02</v>
      </c>
      <c r="AO57" s="79"/>
      <c r="AP57" s="80">
        <f t="shared" si="20"/>
        <v>1</v>
      </c>
      <c r="AQ57" s="80">
        <f t="shared" si="20"/>
        <v>2</v>
      </c>
      <c r="AR57" s="61"/>
      <c r="AS57" s="62"/>
      <c r="AT57" s="81"/>
      <c r="AU57" s="81"/>
      <c r="AV57" s="81"/>
      <c r="AW57" s="81"/>
      <c r="AX57" s="82"/>
      <c r="AY57" s="83">
        <f t="shared" si="17"/>
        <v>0</v>
      </c>
      <c r="AZ57" s="83">
        <f t="shared" si="5"/>
        <v>0</v>
      </c>
    </row>
    <row r="58" spans="1:52" s="66" customFormat="1" ht="39.75" customHeight="1" thickBot="1" x14ac:dyDescent="0.2">
      <c r="A58" s="96"/>
      <c r="B58" s="91"/>
      <c r="C58" s="131"/>
      <c r="D58" s="131"/>
      <c r="E58" s="131"/>
      <c r="F58" s="131"/>
      <c r="G58" s="170"/>
      <c r="H58" s="158"/>
      <c r="I58" s="92">
        <v>0.7</v>
      </c>
      <c r="J58" s="41">
        <v>0.3</v>
      </c>
      <c r="K58" s="41"/>
      <c r="L58" s="42"/>
      <c r="M58" s="68"/>
      <c r="N58" s="94">
        <f t="shared" si="19"/>
        <v>1</v>
      </c>
      <c r="O58" s="125">
        <v>1</v>
      </c>
      <c r="P58" s="112">
        <v>15</v>
      </c>
      <c r="Q58" s="113">
        <v>15</v>
      </c>
      <c r="R58" s="113"/>
      <c r="S58" s="114"/>
      <c r="T58" s="70"/>
      <c r="U58" s="71">
        <f t="shared" si="8"/>
        <v>15</v>
      </c>
      <c r="V58" s="72">
        <f t="shared" si="9"/>
        <v>15</v>
      </c>
      <c r="W58" s="136"/>
      <c r="X58" s="117"/>
      <c r="Y58" s="136"/>
      <c r="Z58" s="117"/>
      <c r="AA58" s="74"/>
      <c r="AB58" s="75">
        <f t="shared" si="10"/>
        <v>0</v>
      </c>
      <c r="AC58" s="72">
        <f t="shared" si="11"/>
        <v>0</v>
      </c>
      <c r="AD58" s="124">
        <v>2</v>
      </c>
      <c r="AE58" s="71">
        <f t="shared" si="12"/>
        <v>2</v>
      </c>
      <c r="AF58" s="76"/>
      <c r="AG58" s="54"/>
      <c r="AH58" s="77">
        <f t="shared" si="13"/>
        <v>17</v>
      </c>
      <c r="AI58" s="56">
        <v>10</v>
      </c>
      <c r="AJ58" s="56">
        <v>10</v>
      </c>
      <c r="AK58" s="56">
        <v>45</v>
      </c>
      <c r="AL58" s="57">
        <f t="shared" si="14"/>
        <v>82</v>
      </c>
      <c r="AM58" s="55">
        <f t="shared" si="15"/>
        <v>82</v>
      </c>
      <c r="AN58" s="78">
        <f t="shared" si="16"/>
        <v>1.02</v>
      </c>
      <c r="AO58" s="79"/>
      <c r="AP58" s="80">
        <f t="shared" si="20"/>
        <v>1</v>
      </c>
      <c r="AQ58" s="80">
        <f t="shared" si="20"/>
        <v>2</v>
      </c>
      <c r="AR58" s="61"/>
      <c r="AS58" s="62"/>
      <c r="AT58" s="81"/>
      <c r="AU58" s="81"/>
      <c r="AV58" s="81"/>
      <c r="AW58" s="81"/>
      <c r="AX58" s="82"/>
      <c r="AY58" s="83">
        <f t="shared" si="17"/>
        <v>0</v>
      </c>
      <c r="AZ58" s="83">
        <f t="shared" si="5"/>
        <v>0</v>
      </c>
    </row>
    <row r="59" spans="1:52" s="66" customFormat="1" ht="39.75" customHeight="1" thickBot="1" x14ac:dyDescent="0.2">
      <c r="A59" s="96"/>
      <c r="B59" s="91"/>
      <c r="C59" s="108"/>
      <c r="D59" s="122"/>
      <c r="E59" s="122"/>
      <c r="F59" s="131"/>
      <c r="G59" s="170"/>
      <c r="H59" s="158"/>
      <c r="I59" s="92">
        <v>0.7</v>
      </c>
      <c r="J59" s="41">
        <v>0.3</v>
      </c>
      <c r="K59" s="41"/>
      <c r="L59" s="42"/>
      <c r="M59" s="68"/>
      <c r="N59" s="69">
        <f t="shared" si="19"/>
        <v>1</v>
      </c>
      <c r="O59" s="125">
        <v>1</v>
      </c>
      <c r="P59" s="112">
        <v>15</v>
      </c>
      <c r="Q59" s="113">
        <v>15</v>
      </c>
      <c r="R59" s="113"/>
      <c r="S59" s="120"/>
      <c r="T59" s="70"/>
      <c r="U59" s="71">
        <f t="shared" si="8"/>
        <v>15</v>
      </c>
      <c r="V59" s="72">
        <f t="shared" si="9"/>
        <v>15</v>
      </c>
      <c r="W59" s="117"/>
      <c r="X59" s="136"/>
      <c r="Y59" s="136"/>
      <c r="Z59" s="148"/>
      <c r="AA59" s="74"/>
      <c r="AB59" s="75">
        <f t="shared" si="10"/>
        <v>0</v>
      </c>
      <c r="AC59" s="72">
        <f t="shared" si="11"/>
        <v>0</v>
      </c>
      <c r="AD59" s="124">
        <v>2</v>
      </c>
      <c r="AE59" s="71">
        <f t="shared" si="12"/>
        <v>2</v>
      </c>
      <c r="AF59" s="76"/>
      <c r="AG59" s="54"/>
      <c r="AH59" s="77">
        <f t="shared" si="13"/>
        <v>17</v>
      </c>
      <c r="AI59" s="56">
        <v>10</v>
      </c>
      <c r="AJ59" s="56">
        <v>10</v>
      </c>
      <c r="AK59" s="56">
        <v>45</v>
      </c>
      <c r="AL59" s="57">
        <f t="shared" si="14"/>
        <v>82</v>
      </c>
      <c r="AM59" s="55">
        <f t="shared" si="15"/>
        <v>82</v>
      </c>
      <c r="AN59" s="78">
        <f t="shared" si="16"/>
        <v>1.02</v>
      </c>
      <c r="AO59" s="79"/>
      <c r="AP59" s="80">
        <f t="shared" si="20"/>
        <v>1</v>
      </c>
      <c r="AQ59" s="80">
        <f t="shared" si="20"/>
        <v>2</v>
      </c>
      <c r="AR59" s="61"/>
      <c r="AS59" s="62"/>
      <c r="AT59" s="81"/>
      <c r="AU59" s="81"/>
      <c r="AV59" s="81"/>
      <c r="AW59" s="81"/>
      <c r="AX59" s="82"/>
      <c r="AY59" s="83">
        <f t="shared" si="17"/>
        <v>0</v>
      </c>
      <c r="AZ59" s="83">
        <f t="shared" si="5"/>
        <v>0</v>
      </c>
    </row>
    <row r="60" spans="1:52" s="66" customFormat="1" ht="39.75" customHeight="1" thickBot="1" x14ac:dyDescent="0.2">
      <c r="A60" s="108"/>
      <c r="B60" s="108"/>
      <c r="C60" s="131"/>
      <c r="D60" s="109"/>
      <c r="E60" s="110"/>
      <c r="F60" s="129"/>
      <c r="G60" s="170"/>
      <c r="H60" s="158"/>
      <c r="I60" s="92">
        <v>0.7</v>
      </c>
      <c r="J60" s="41">
        <v>0.3</v>
      </c>
      <c r="K60" s="41"/>
      <c r="L60" s="42"/>
      <c r="M60" s="68"/>
      <c r="N60" s="94">
        <f t="shared" si="19"/>
        <v>1</v>
      </c>
      <c r="O60" s="125">
        <v>1</v>
      </c>
      <c r="P60" s="112">
        <v>15</v>
      </c>
      <c r="Q60" s="113">
        <v>15</v>
      </c>
      <c r="R60" s="113"/>
      <c r="S60" s="114"/>
      <c r="T60" s="70"/>
      <c r="U60" s="71">
        <f t="shared" si="8"/>
        <v>15</v>
      </c>
      <c r="V60" s="72">
        <f t="shared" si="9"/>
        <v>15</v>
      </c>
      <c r="W60" s="136"/>
      <c r="X60" s="119"/>
      <c r="Y60" s="85"/>
      <c r="Z60" s="139"/>
      <c r="AA60" s="74"/>
      <c r="AB60" s="75">
        <f t="shared" si="10"/>
        <v>0</v>
      </c>
      <c r="AC60" s="72">
        <f t="shared" si="11"/>
        <v>0</v>
      </c>
      <c r="AD60" s="124">
        <v>2</v>
      </c>
      <c r="AE60" s="71">
        <f t="shared" si="12"/>
        <v>2</v>
      </c>
      <c r="AF60" s="76"/>
      <c r="AG60" s="54"/>
      <c r="AH60" s="77">
        <f t="shared" si="13"/>
        <v>17</v>
      </c>
      <c r="AI60" s="56">
        <v>10</v>
      </c>
      <c r="AJ60" s="56">
        <v>10</v>
      </c>
      <c r="AK60" s="56">
        <v>45</v>
      </c>
      <c r="AL60" s="57">
        <f t="shared" si="14"/>
        <v>82</v>
      </c>
      <c r="AM60" s="55">
        <f t="shared" si="15"/>
        <v>82</v>
      </c>
      <c r="AN60" s="78">
        <f t="shared" si="16"/>
        <v>1.02</v>
      </c>
      <c r="AO60" s="79"/>
      <c r="AP60" s="80">
        <f t="shared" si="20"/>
        <v>1</v>
      </c>
      <c r="AQ60" s="80">
        <f t="shared" si="20"/>
        <v>2</v>
      </c>
      <c r="AR60" s="61"/>
      <c r="AS60" s="62"/>
      <c r="AT60" s="81"/>
      <c r="AU60" s="81"/>
      <c r="AV60" s="81"/>
      <c r="AW60" s="81"/>
      <c r="AX60" s="82"/>
      <c r="AY60" s="83">
        <f t="shared" si="17"/>
        <v>0</v>
      </c>
      <c r="AZ60" s="83">
        <f t="shared" si="5"/>
        <v>0</v>
      </c>
    </row>
    <row r="61" spans="1:52" s="66" customFormat="1" ht="39.75" customHeight="1" thickBot="1" x14ac:dyDescent="0.2">
      <c r="A61" s="155"/>
      <c r="B61" s="91"/>
      <c r="C61" s="129"/>
      <c r="D61" s="131"/>
      <c r="E61" s="109"/>
      <c r="F61" s="110"/>
      <c r="G61" s="170"/>
      <c r="H61" s="158"/>
      <c r="I61" s="92">
        <v>0.7</v>
      </c>
      <c r="J61" s="41">
        <v>0.3</v>
      </c>
      <c r="K61" s="41"/>
      <c r="L61" s="42"/>
      <c r="M61" s="147"/>
      <c r="N61" s="94">
        <f t="shared" si="19"/>
        <v>1</v>
      </c>
      <c r="O61" s="125">
        <v>1</v>
      </c>
      <c r="P61" s="112">
        <v>15</v>
      </c>
      <c r="Q61" s="113">
        <v>15</v>
      </c>
      <c r="R61" s="113"/>
      <c r="S61" s="114"/>
      <c r="T61" s="70"/>
      <c r="U61" s="71">
        <f t="shared" si="8"/>
        <v>15</v>
      </c>
      <c r="V61" s="72">
        <f t="shared" si="9"/>
        <v>15</v>
      </c>
      <c r="W61" s="136"/>
      <c r="X61" s="136"/>
      <c r="Y61" s="117"/>
      <c r="Z61" s="119"/>
      <c r="AA61" s="74"/>
      <c r="AB61" s="71">
        <f t="shared" si="10"/>
        <v>0</v>
      </c>
      <c r="AC61" s="72">
        <f t="shared" si="11"/>
        <v>0</v>
      </c>
      <c r="AD61" s="124">
        <v>2</v>
      </c>
      <c r="AE61" s="71">
        <f t="shared" si="12"/>
        <v>2</v>
      </c>
      <c r="AF61" s="76"/>
      <c r="AG61" s="54"/>
      <c r="AH61" s="77">
        <f t="shared" si="13"/>
        <v>17</v>
      </c>
      <c r="AI61" s="56">
        <v>10</v>
      </c>
      <c r="AJ61" s="56">
        <v>10</v>
      </c>
      <c r="AK61" s="56">
        <v>45</v>
      </c>
      <c r="AL61" s="57">
        <f t="shared" si="14"/>
        <v>82</v>
      </c>
      <c r="AM61" s="55">
        <f t="shared" si="15"/>
        <v>82</v>
      </c>
      <c r="AN61" s="78">
        <f t="shared" si="16"/>
        <v>1.02</v>
      </c>
      <c r="AO61" s="79"/>
      <c r="AP61" s="80">
        <f t="shared" si="20"/>
        <v>1</v>
      </c>
      <c r="AQ61" s="80">
        <f t="shared" si="20"/>
        <v>2</v>
      </c>
      <c r="AR61" s="61"/>
      <c r="AS61" s="62"/>
      <c r="AT61" s="81"/>
      <c r="AU61" s="81"/>
      <c r="AV61" s="81"/>
      <c r="AW61" s="81"/>
      <c r="AX61" s="82"/>
      <c r="AY61" s="83">
        <f t="shared" si="17"/>
        <v>0</v>
      </c>
      <c r="AZ61" s="83">
        <f t="shared" si="5"/>
        <v>0</v>
      </c>
    </row>
    <row r="62" spans="1:52" s="66" customFormat="1" ht="39.75" customHeight="1" thickBot="1" x14ac:dyDescent="0.2">
      <c r="A62" s="96"/>
      <c r="B62" s="91"/>
      <c r="C62" s="105"/>
      <c r="D62" s="131"/>
      <c r="E62" s="131"/>
      <c r="F62" s="131"/>
      <c r="G62" s="131"/>
      <c r="H62" s="158"/>
      <c r="I62" s="92">
        <v>0.7</v>
      </c>
      <c r="J62" s="41">
        <v>0.3</v>
      </c>
      <c r="K62" s="41"/>
      <c r="L62" s="42"/>
      <c r="M62" s="68"/>
      <c r="N62" s="94">
        <f t="shared" si="19"/>
        <v>1</v>
      </c>
      <c r="O62" s="125">
        <v>1</v>
      </c>
      <c r="P62" s="112">
        <v>15</v>
      </c>
      <c r="Q62" s="89">
        <v>15</v>
      </c>
      <c r="R62" s="114"/>
      <c r="S62" s="120"/>
      <c r="T62" s="70"/>
      <c r="U62" s="71">
        <f t="shared" si="8"/>
        <v>15</v>
      </c>
      <c r="V62" s="72">
        <f t="shared" si="9"/>
        <v>15</v>
      </c>
      <c r="W62" s="137"/>
      <c r="X62" s="139"/>
      <c r="Y62" s="148"/>
      <c r="Z62" s="116"/>
      <c r="AA62" s="139"/>
      <c r="AB62" s="71">
        <f t="shared" si="10"/>
        <v>0</v>
      </c>
      <c r="AC62" s="72">
        <f t="shared" si="11"/>
        <v>0</v>
      </c>
      <c r="AD62" s="124">
        <v>2</v>
      </c>
      <c r="AE62" s="71">
        <f t="shared" si="12"/>
        <v>2</v>
      </c>
      <c r="AF62" s="76"/>
      <c r="AG62" s="54"/>
      <c r="AH62" s="77">
        <f t="shared" si="13"/>
        <v>17</v>
      </c>
      <c r="AI62" s="56">
        <v>10</v>
      </c>
      <c r="AJ62" s="56">
        <v>10</v>
      </c>
      <c r="AK62" s="56">
        <v>45</v>
      </c>
      <c r="AL62" s="57">
        <f t="shared" si="14"/>
        <v>82</v>
      </c>
      <c r="AM62" s="55">
        <f t="shared" si="15"/>
        <v>82</v>
      </c>
      <c r="AN62" s="78">
        <f t="shared" si="16"/>
        <v>1.02</v>
      </c>
      <c r="AO62" s="79"/>
      <c r="AP62" s="80">
        <f t="shared" si="20"/>
        <v>1</v>
      </c>
      <c r="AQ62" s="80">
        <f t="shared" si="20"/>
        <v>2</v>
      </c>
      <c r="AR62" s="61"/>
      <c r="AS62" s="62"/>
      <c r="AT62" s="81"/>
      <c r="AU62" s="81"/>
      <c r="AV62" s="81"/>
      <c r="AW62" s="81"/>
      <c r="AX62" s="82"/>
      <c r="AY62" s="83">
        <f t="shared" si="17"/>
        <v>0</v>
      </c>
      <c r="AZ62" s="83">
        <f t="shared" si="5"/>
        <v>0</v>
      </c>
    </row>
    <row r="63" spans="1:52" s="66" customFormat="1" ht="39.75" customHeight="1" thickBot="1" x14ac:dyDescent="0.2">
      <c r="A63" s="96"/>
      <c r="B63" s="91"/>
      <c r="C63" s="131"/>
      <c r="D63" s="105"/>
      <c r="E63" s="98"/>
      <c r="F63" s="110"/>
      <c r="G63" s="170"/>
      <c r="H63" s="158"/>
      <c r="I63" s="92">
        <v>0.7</v>
      </c>
      <c r="J63" s="41">
        <v>0.3</v>
      </c>
      <c r="K63" s="41"/>
      <c r="L63" s="42"/>
      <c r="M63" s="68"/>
      <c r="N63" s="69">
        <f t="shared" si="19"/>
        <v>1</v>
      </c>
      <c r="O63" s="125">
        <v>1</v>
      </c>
      <c r="P63" s="112">
        <v>15</v>
      </c>
      <c r="Q63" s="113">
        <v>15</v>
      </c>
      <c r="R63" s="113"/>
      <c r="S63" s="114"/>
      <c r="T63" s="70"/>
      <c r="U63" s="71">
        <f t="shared" si="8"/>
        <v>15</v>
      </c>
      <c r="V63" s="72">
        <f t="shared" si="9"/>
        <v>15</v>
      </c>
      <c r="W63" s="139"/>
      <c r="X63" s="136"/>
      <c r="Y63" s="116"/>
      <c r="Z63" s="85"/>
      <c r="AA63" s="74"/>
      <c r="AB63" s="75">
        <f t="shared" si="10"/>
        <v>0</v>
      </c>
      <c r="AC63" s="72">
        <f t="shared" si="11"/>
        <v>0</v>
      </c>
      <c r="AD63" s="124">
        <v>2</v>
      </c>
      <c r="AE63" s="71">
        <f t="shared" si="12"/>
        <v>2</v>
      </c>
      <c r="AF63" s="76"/>
      <c r="AG63" s="54"/>
      <c r="AH63" s="77">
        <f t="shared" si="13"/>
        <v>17</v>
      </c>
      <c r="AI63" s="56">
        <v>10</v>
      </c>
      <c r="AJ63" s="56">
        <v>10</v>
      </c>
      <c r="AK63" s="56">
        <v>45</v>
      </c>
      <c r="AL63" s="57">
        <f t="shared" si="14"/>
        <v>82</v>
      </c>
      <c r="AM63" s="55">
        <f t="shared" si="15"/>
        <v>82</v>
      </c>
      <c r="AN63" s="78">
        <f t="shared" si="16"/>
        <v>1.02</v>
      </c>
      <c r="AO63" s="79"/>
      <c r="AP63" s="80">
        <f t="shared" si="20"/>
        <v>1</v>
      </c>
      <c r="AQ63" s="80">
        <f t="shared" si="20"/>
        <v>2</v>
      </c>
      <c r="AR63" s="61"/>
      <c r="AS63" s="62"/>
      <c r="AT63" s="81"/>
      <c r="AU63" s="81"/>
      <c r="AV63" s="81"/>
      <c r="AW63" s="81"/>
      <c r="AX63" s="82"/>
      <c r="AY63" s="83">
        <f t="shared" si="17"/>
        <v>0</v>
      </c>
      <c r="AZ63" s="83">
        <f t="shared" si="5"/>
        <v>0</v>
      </c>
    </row>
    <row r="64" spans="1:52" s="66" customFormat="1" ht="39.75" customHeight="1" thickBot="1" x14ac:dyDescent="0.2">
      <c r="A64" s="105"/>
      <c r="B64" s="105"/>
      <c r="C64" s="105"/>
      <c r="D64" s="105"/>
      <c r="E64" s="109"/>
      <c r="F64" s="110"/>
      <c r="G64" s="170"/>
      <c r="H64" s="158"/>
      <c r="I64" s="92">
        <v>0.7</v>
      </c>
      <c r="J64" s="41">
        <v>0.3</v>
      </c>
      <c r="K64" s="41"/>
      <c r="L64" s="42"/>
      <c r="M64" s="68"/>
      <c r="N64" s="94">
        <f t="shared" si="19"/>
        <v>1</v>
      </c>
      <c r="O64" s="125">
        <v>1</v>
      </c>
      <c r="P64" s="126">
        <v>15</v>
      </c>
      <c r="Q64" s="127">
        <v>15</v>
      </c>
      <c r="R64" s="89"/>
      <c r="S64" s="114"/>
      <c r="T64" s="70"/>
      <c r="U64" s="71">
        <f t="shared" si="8"/>
        <v>15</v>
      </c>
      <c r="V64" s="72">
        <f t="shared" si="9"/>
        <v>15</v>
      </c>
      <c r="W64" s="118"/>
      <c r="X64" s="117"/>
      <c r="Y64" s="119"/>
      <c r="Z64" s="85"/>
      <c r="AA64" s="74"/>
      <c r="AB64" s="75">
        <f t="shared" si="10"/>
        <v>0</v>
      </c>
      <c r="AC64" s="72">
        <f t="shared" si="11"/>
        <v>0</v>
      </c>
      <c r="AD64" s="124">
        <v>2</v>
      </c>
      <c r="AE64" s="71">
        <f t="shared" si="12"/>
        <v>2</v>
      </c>
      <c r="AF64" s="76"/>
      <c r="AG64" s="54"/>
      <c r="AH64" s="77">
        <f t="shared" si="13"/>
        <v>17</v>
      </c>
      <c r="AI64" s="56">
        <v>10</v>
      </c>
      <c r="AJ64" s="56">
        <v>10</v>
      </c>
      <c r="AK64" s="56">
        <v>45</v>
      </c>
      <c r="AL64" s="57">
        <f t="shared" si="14"/>
        <v>82</v>
      </c>
      <c r="AM64" s="55">
        <f t="shared" si="15"/>
        <v>82</v>
      </c>
      <c r="AN64" s="78">
        <f t="shared" si="16"/>
        <v>1.02</v>
      </c>
      <c r="AO64" s="79"/>
      <c r="AP64" s="80">
        <f t="shared" si="20"/>
        <v>1</v>
      </c>
      <c r="AQ64" s="80">
        <f t="shared" si="20"/>
        <v>2</v>
      </c>
      <c r="AR64" s="61"/>
      <c r="AS64" s="62"/>
      <c r="AT64" s="81"/>
      <c r="AU64" s="81"/>
      <c r="AV64" s="81"/>
      <c r="AW64" s="81"/>
      <c r="AX64" s="82"/>
      <c r="AY64" s="83">
        <f t="shared" si="17"/>
        <v>0</v>
      </c>
      <c r="AZ64" s="83">
        <f t="shared" si="5"/>
        <v>0</v>
      </c>
    </row>
    <row r="65" spans="1:52" s="66" customFormat="1" ht="39.75" customHeight="1" thickBot="1" x14ac:dyDescent="0.2">
      <c r="A65" s="96"/>
      <c r="B65" s="91"/>
      <c r="C65" s="105"/>
      <c r="D65" s="108"/>
      <c r="E65" s="108"/>
      <c r="F65" s="109"/>
      <c r="G65" s="170"/>
      <c r="H65" s="158"/>
      <c r="I65" s="92">
        <v>0.7</v>
      </c>
      <c r="J65" s="41">
        <v>0.3</v>
      </c>
      <c r="K65" s="41"/>
      <c r="L65" s="42"/>
      <c r="M65" s="68"/>
      <c r="N65" s="94">
        <f t="shared" si="19"/>
        <v>1</v>
      </c>
      <c r="O65" s="125">
        <v>1</v>
      </c>
      <c r="P65" s="112">
        <v>15</v>
      </c>
      <c r="Q65" s="113">
        <v>15</v>
      </c>
      <c r="R65" s="113"/>
      <c r="S65" s="120"/>
      <c r="T65" s="70"/>
      <c r="U65" s="71">
        <f t="shared" si="8"/>
        <v>15</v>
      </c>
      <c r="V65" s="72">
        <f t="shared" si="9"/>
        <v>15</v>
      </c>
      <c r="W65" s="136"/>
      <c r="X65" s="136"/>
      <c r="Y65" s="136"/>
      <c r="Z65" s="119"/>
      <c r="AA65" s="74"/>
      <c r="AB65" s="75">
        <f t="shared" si="10"/>
        <v>0</v>
      </c>
      <c r="AC65" s="72">
        <f t="shared" si="11"/>
        <v>0</v>
      </c>
      <c r="AD65" s="124">
        <v>2</v>
      </c>
      <c r="AE65" s="71">
        <f t="shared" si="12"/>
        <v>2</v>
      </c>
      <c r="AF65" s="76"/>
      <c r="AG65" s="54"/>
      <c r="AH65" s="77">
        <f t="shared" si="13"/>
        <v>17</v>
      </c>
      <c r="AI65" s="56">
        <v>10</v>
      </c>
      <c r="AJ65" s="56">
        <v>10</v>
      </c>
      <c r="AK65" s="56">
        <v>45</v>
      </c>
      <c r="AL65" s="57">
        <f t="shared" si="14"/>
        <v>82</v>
      </c>
      <c r="AM65" s="55">
        <f t="shared" si="15"/>
        <v>82</v>
      </c>
      <c r="AN65" s="78">
        <f t="shared" si="16"/>
        <v>1.02</v>
      </c>
      <c r="AO65" s="79"/>
      <c r="AP65" s="80">
        <f t="shared" si="20"/>
        <v>1</v>
      </c>
      <c r="AQ65" s="80">
        <f t="shared" si="20"/>
        <v>2</v>
      </c>
      <c r="AR65" s="61"/>
      <c r="AS65" s="62"/>
      <c r="AT65" s="81"/>
      <c r="AU65" s="81"/>
      <c r="AV65" s="81"/>
      <c r="AW65" s="81"/>
      <c r="AX65" s="82"/>
      <c r="AY65" s="83">
        <f t="shared" si="17"/>
        <v>0</v>
      </c>
      <c r="AZ65" s="83">
        <f t="shared" si="5"/>
        <v>0</v>
      </c>
    </row>
    <row r="66" spans="1:52" s="66" customFormat="1" ht="39.75" customHeight="1" thickBot="1" x14ac:dyDescent="0.2">
      <c r="A66" s="108"/>
      <c r="B66" s="108"/>
      <c r="C66" s="108"/>
      <c r="D66" s="108"/>
      <c r="E66" s="108"/>
      <c r="F66" s="109"/>
      <c r="G66" s="170"/>
      <c r="H66" s="158"/>
      <c r="I66" s="92">
        <v>0.7</v>
      </c>
      <c r="J66" s="41">
        <v>0.3</v>
      </c>
      <c r="K66" s="41"/>
      <c r="L66" s="42"/>
      <c r="M66" s="68"/>
      <c r="N66" s="94">
        <f t="shared" si="19"/>
        <v>1</v>
      </c>
      <c r="O66" s="125">
        <v>1</v>
      </c>
      <c r="P66" s="115">
        <v>15</v>
      </c>
      <c r="Q66" s="113">
        <v>14.48</v>
      </c>
      <c r="R66" s="113"/>
      <c r="S66" s="114"/>
      <c r="T66" s="70"/>
      <c r="U66" s="71">
        <f t="shared" si="8"/>
        <v>14.84</v>
      </c>
      <c r="V66" s="72">
        <f t="shared" si="9"/>
        <v>14.84</v>
      </c>
      <c r="W66" s="117"/>
      <c r="X66" s="117"/>
      <c r="Y66" s="118"/>
      <c r="Z66" s="117"/>
      <c r="AA66" s="74"/>
      <c r="AB66" s="75">
        <f t="shared" si="10"/>
        <v>0</v>
      </c>
      <c r="AC66" s="72">
        <f t="shared" si="11"/>
        <v>0</v>
      </c>
      <c r="AD66" s="124">
        <v>2</v>
      </c>
      <c r="AE66" s="71">
        <f t="shared" si="12"/>
        <v>2</v>
      </c>
      <c r="AF66" s="76"/>
      <c r="AG66" s="54"/>
      <c r="AH66" s="77">
        <f t="shared" si="13"/>
        <v>16.84</v>
      </c>
      <c r="AI66" s="56">
        <v>10</v>
      </c>
      <c r="AJ66" s="56">
        <v>10</v>
      </c>
      <c r="AK66" s="56">
        <v>45</v>
      </c>
      <c r="AL66" s="57">
        <f t="shared" si="14"/>
        <v>81.84</v>
      </c>
      <c r="AM66" s="55">
        <f t="shared" si="15"/>
        <v>81.84</v>
      </c>
      <c r="AN66" s="78">
        <f t="shared" si="16"/>
        <v>1.0207999999999999</v>
      </c>
      <c r="AO66" s="79"/>
      <c r="AP66" s="80">
        <f t="shared" si="20"/>
        <v>1</v>
      </c>
      <c r="AQ66" s="80">
        <f t="shared" si="20"/>
        <v>2</v>
      </c>
      <c r="AR66" s="61"/>
      <c r="AS66" s="62"/>
      <c r="AT66" s="81"/>
      <c r="AU66" s="81"/>
      <c r="AV66" s="81"/>
      <c r="AW66" s="81"/>
      <c r="AX66" s="82"/>
      <c r="AY66" s="83">
        <f t="shared" si="17"/>
        <v>0</v>
      </c>
      <c r="AZ66" s="83">
        <f t="shared" si="5"/>
        <v>0</v>
      </c>
    </row>
    <row r="67" spans="1:52" s="66" customFormat="1" ht="39.75" customHeight="1" thickBot="1" x14ac:dyDescent="0.2">
      <c r="A67" s="108"/>
      <c r="B67" s="108"/>
      <c r="C67" s="108"/>
      <c r="D67" s="108"/>
      <c r="E67" s="108"/>
      <c r="F67" s="109"/>
      <c r="G67" s="170"/>
      <c r="H67" s="158"/>
      <c r="I67" s="92">
        <v>0.7</v>
      </c>
      <c r="J67" s="41">
        <v>0.3</v>
      </c>
      <c r="K67" s="41"/>
      <c r="L67" s="42"/>
      <c r="M67" s="68"/>
      <c r="N67" s="94">
        <f t="shared" si="19"/>
        <v>1</v>
      </c>
      <c r="O67" s="125">
        <v>1</v>
      </c>
      <c r="P67" s="45">
        <v>15</v>
      </c>
      <c r="Q67" s="46">
        <v>15</v>
      </c>
      <c r="R67" s="46"/>
      <c r="S67" s="121"/>
      <c r="T67" s="70"/>
      <c r="U67" s="71">
        <f t="shared" si="8"/>
        <v>15</v>
      </c>
      <c r="V67" s="72">
        <f t="shared" si="9"/>
        <v>15</v>
      </c>
      <c r="W67" s="117"/>
      <c r="X67" s="117"/>
      <c r="Y67" s="117"/>
      <c r="Z67" s="116"/>
      <c r="AA67" s="74"/>
      <c r="AB67" s="75">
        <f t="shared" si="10"/>
        <v>0</v>
      </c>
      <c r="AC67" s="72">
        <f t="shared" si="11"/>
        <v>0</v>
      </c>
      <c r="AD67" s="52">
        <v>2</v>
      </c>
      <c r="AE67" s="71">
        <f t="shared" si="12"/>
        <v>2</v>
      </c>
      <c r="AF67" s="76"/>
      <c r="AG67" s="86"/>
      <c r="AH67" s="77">
        <f t="shared" si="13"/>
        <v>17</v>
      </c>
      <c r="AI67" s="56">
        <v>10</v>
      </c>
      <c r="AJ67" s="56">
        <v>10</v>
      </c>
      <c r="AK67" s="56">
        <v>45</v>
      </c>
      <c r="AL67" s="57">
        <f t="shared" si="14"/>
        <v>82</v>
      </c>
      <c r="AM67" s="55">
        <f t="shared" si="15"/>
        <v>82</v>
      </c>
      <c r="AN67" s="78">
        <f t="shared" si="16"/>
        <v>1.02</v>
      </c>
      <c r="AO67" s="79"/>
      <c r="AP67" s="80">
        <f t="shared" si="20"/>
        <v>1</v>
      </c>
      <c r="AQ67" s="80">
        <f t="shared" si="20"/>
        <v>2</v>
      </c>
      <c r="AR67" s="61"/>
      <c r="AS67" s="62"/>
      <c r="AT67" s="81"/>
      <c r="AU67" s="81"/>
      <c r="AV67" s="81"/>
      <c r="AW67" s="81"/>
      <c r="AX67" s="82"/>
      <c r="AY67" s="83">
        <f t="shared" si="17"/>
        <v>0</v>
      </c>
      <c r="AZ67" s="83">
        <f t="shared" si="5"/>
        <v>0</v>
      </c>
    </row>
    <row r="68" spans="1:52" s="66" customFormat="1" ht="39.75" customHeight="1" thickBot="1" x14ac:dyDescent="0.2">
      <c r="A68" s="108"/>
      <c r="B68" s="108"/>
      <c r="C68" s="108"/>
      <c r="D68" s="108"/>
      <c r="E68" s="108"/>
      <c r="F68" s="109"/>
      <c r="G68" s="170"/>
      <c r="H68" s="158"/>
      <c r="I68" s="92">
        <v>0.7</v>
      </c>
      <c r="J68" s="41">
        <v>0.3</v>
      </c>
      <c r="K68" s="41"/>
      <c r="L68" s="42"/>
      <c r="M68" s="68"/>
      <c r="N68" s="94">
        <f t="shared" si="19"/>
        <v>1</v>
      </c>
      <c r="O68" s="44">
        <v>1</v>
      </c>
      <c r="P68" s="45">
        <v>15</v>
      </c>
      <c r="Q68" s="46">
        <v>15</v>
      </c>
      <c r="R68" s="46"/>
      <c r="S68" s="121"/>
      <c r="T68" s="70"/>
      <c r="U68" s="71">
        <f t="shared" si="8"/>
        <v>15</v>
      </c>
      <c r="V68" s="72">
        <f t="shared" si="9"/>
        <v>15</v>
      </c>
      <c r="W68" s="117"/>
      <c r="X68" s="117"/>
      <c r="Y68" s="117"/>
      <c r="Z68" s="119"/>
      <c r="AA68" s="74"/>
      <c r="AB68" s="75">
        <f t="shared" si="10"/>
        <v>0</v>
      </c>
      <c r="AC68" s="72">
        <f t="shared" si="11"/>
        <v>0</v>
      </c>
      <c r="AD68" s="52">
        <v>2</v>
      </c>
      <c r="AE68" s="71">
        <f t="shared" si="12"/>
        <v>2</v>
      </c>
      <c r="AF68" s="76"/>
      <c r="AG68" s="86"/>
      <c r="AH68" s="77">
        <f t="shared" si="13"/>
        <v>17</v>
      </c>
      <c r="AI68" s="56">
        <v>10</v>
      </c>
      <c r="AJ68" s="56">
        <v>10</v>
      </c>
      <c r="AK68" s="56">
        <v>45</v>
      </c>
      <c r="AL68" s="57">
        <f t="shared" si="14"/>
        <v>82</v>
      </c>
      <c r="AM68" s="55">
        <f t="shared" si="15"/>
        <v>82</v>
      </c>
      <c r="AN68" s="78">
        <f t="shared" si="16"/>
        <v>1.02</v>
      </c>
      <c r="AO68" s="79"/>
      <c r="AP68" s="80">
        <f t="shared" si="20"/>
        <v>1</v>
      </c>
      <c r="AQ68" s="80">
        <f t="shared" si="20"/>
        <v>2</v>
      </c>
      <c r="AR68" s="61"/>
      <c r="AS68" s="62"/>
      <c r="AT68" s="81"/>
      <c r="AU68" s="81"/>
      <c r="AV68" s="81"/>
      <c r="AW68" s="81"/>
      <c r="AX68" s="82"/>
      <c r="AY68" s="83">
        <f t="shared" si="17"/>
        <v>0</v>
      </c>
      <c r="AZ68" s="83">
        <f t="shared" si="5"/>
        <v>0</v>
      </c>
    </row>
    <row r="69" spans="1:52" s="66" customFormat="1" ht="39.75" customHeight="1" thickBot="1" x14ac:dyDescent="0.2">
      <c r="A69" s="108"/>
      <c r="B69" s="108"/>
      <c r="C69" s="108"/>
      <c r="D69" s="108"/>
      <c r="E69" s="108"/>
      <c r="F69" s="109"/>
      <c r="G69" s="170"/>
      <c r="H69" s="158"/>
      <c r="I69" s="92">
        <v>0.7</v>
      </c>
      <c r="J69" s="41">
        <v>0.3</v>
      </c>
      <c r="K69" s="41"/>
      <c r="L69" s="42"/>
      <c r="M69" s="68"/>
      <c r="N69" s="94">
        <f t="shared" si="19"/>
        <v>1</v>
      </c>
      <c r="O69" s="44">
        <v>1</v>
      </c>
      <c r="P69" s="45">
        <v>15</v>
      </c>
      <c r="Q69" s="46">
        <v>15</v>
      </c>
      <c r="R69" s="46"/>
      <c r="S69" s="121"/>
      <c r="T69" s="70"/>
      <c r="U69" s="71">
        <f t="shared" si="8"/>
        <v>15</v>
      </c>
      <c r="V69" s="72">
        <f t="shared" si="9"/>
        <v>15</v>
      </c>
      <c r="W69" s="99"/>
      <c r="X69" s="100"/>
      <c r="Y69" s="85"/>
      <c r="Z69" s="95"/>
      <c r="AA69" s="74"/>
      <c r="AB69" s="75">
        <f t="shared" si="10"/>
        <v>0</v>
      </c>
      <c r="AC69" s="72">
        <f t="shared" si="11"/>
        <v>0</v>
      </c>
      <c r="AD69" s="52">
        <v>2</v>
      </c>
      <c r="AE69" s="71">
        <f t="shared" si="12"/>
        <v>2</v>
      </c>
      <c r="AF69" s="76"/>
      <c r="AG69" s="86"/>
      <c r="AH69" s="77">
        <f t="shared" si="13"/>
        <v>17</v>
      </c>
      <c r="AI69" s="56">
        <v>10</v>
      </c>
      <c r="AJ69" s="56">
        <v>10</v>
      </c>
      <c r="AK69" s="56">
        <v>45</v>
      </c>
      <c r="AL69" s="57">
        <f t="shared" si="14"/>
        <v>82</v>
      </c>
      <c r="AM69" s="55">
        <f t="shared" si="15"/>
        <v>82</v>
      </c>
      <c r="AN69" s="78">
        <f t="shared" si="16"/>
        <v>1.02</v>
      </c>
      <c r="AO69" s="79"/>
      <c r="AP69" s="80">
        <f t="shared" si="20"/>
        <v>1</v>
      </c>
      <c r="AQ69" s="80">
        <f t="shared" si="20"/>
        <v>2</v>
      </c>
      <c r="AR69" s="61"/>
      <c r="AS69" s="62"/>
      <c r="AT69" s="81"/>
      <c r="AU69" s="81"/>
      <c r="AV69" s="81"/>
      <c r="AW69" s="81"/>
      <c r="AX69" s="82"/>
      <c r="AY69" s="83">
        <f t="shared" si="17"/>
        <v>0</v>
      </c>
      <c r="AZ69" s="83">
        <f t="shared" si="5"/>
        <v>0</v>
      </c>
    </row>
    <row r="70" spans="1:52" s="66" customFormat="1" ht="39.75" customHeight="1" thickBot="1" x14ac:dyDescent="0.2">
      <c r="A70" s="108"/>
      <c r="B70" s="108"/>
      <c r="C70" s="108"/>
      <c r="D70" s="108"/>
      <c r="E70" s="108"/>
      <c r="F70" s="109"/>
      <c r="G70" s="170"/>
      <c r="H70" s="158"/>
      <c r="I70" s="92">
        <v>0.7</v>
      </c>
      <c r="J70" s="41">
        <v>0.3</v>
      </c>
      <c r="K70" s="41"/>
      <c r="L70" s="42"/>
      <c r="M70" s="68"/>
      <c r="N70" s="94">
        <f t="shared" si="19"/>
        <v>1</v>
      </c>
      <c r="O70" s="44">
        <v>1</v>
      </c>
      <c r="P70" s="45">
        <v>15</v>
      </c>
      <c r="Q70" s="46">
        <v>15</v>
      </c>
      <c r="R70" s="46"/>
      <c r="S70" s="121"/>
      <c r="T70" s="70"/>
      <c r="U70" s="71">
        <f t="shared" si="8"/>
        <v>15</v>
      </c>
      <c r="V70" s="72">
        <f t="shared" si="9"/>
        <v>15</v>
      </c>
      <c r="W70" s="99"/>
      <c r="X70" s="100"/>
      <c r="Y70" s="85"/>
      <c r="Z70" s="95"/>
      <c r="AA70" s="74"/>
      <c r="AB70" s="75">
        <f t="shared" si="10"/>
        <v>0</v>
      </c>
      <c r="AC70" s="72">
        <f t="shared" si="11"/>
        <v>0</v>
      </c>
      <c r="AD70" s="52">
        <v>2</v>
      </c>
      <c r="AE70" s="71">
        <f t="shared" si="12"/>
        <v>2</v>
      </c>
      <c r="AF70" s="76"/>
      <c r="AG70" s="86"/>
      <c r="AH70" s="77">
        <f t="shared" si="13"/>
        <v>17</v>
      </c>
      <c r="AI70" s="56">
        <v>10</v>
      </c>
      <c r="AJ70" s="56">
        <v>10</v>
      </c>
      <c r="AK70" s="56">
        <v>45</v>
      </c>
      <c r="AL70" s="57">
        <f t="shared" si="14"/>
        <v>82</v>
      </c>
      <c r="AM70" s="55">
        <f t="shared" si="15"/>
        <v>82</v>
      </c>
      <c r="AN70" s="78">
        <f t="shared" si="16"/>
        <v>1.02</v>
      </c>
      <c r="AO70" s="79"/>
      <c r="AP70" s="80">
        <f t="shared" si="20"/>
        <v>1</v>
      </c>
      <c r="AQ70" s="80">
        <f t="shared" si="20"/>
        <v>2</v>
      </c>
      <c r="AR70" s="61"/>
      <c r="AS70" s="62"/>
      <c r="AT70" s="81"/>
      <c r="AU70" s="81"/>
      <c r="AV70" s="81"/>
      <c r="AW70" s="81"/>
      <c r="AX70" s="82"/>
      <c r="AY70" s="83">
        <f t="shared" si="17"/>
        <v>0</v>
      </c>
      <c r="AZ70" s="83">
        <f t="shared" si="5"/>
        <v>0</v>
      </c>
    </row>
    <row r="71" spans="1:52" s="66" customFormat="1" ht="39.75" customHeight="1" thickBot="1" x14ac:dyDescent="0.2">
      <c r="A71" s="108"/>
      <c r="B71" s="108"/>
      <c r="C71" s="108"/>
      <c r="D71" s="108"/>
      <c r="E71" s="108"/>
      <c r="F71" s="105"/>
      <c r="G71" s="170"/>
      <c r="H71" s="158"/>
      <c r="I71" s="92">
        <v>0.7</v>
      </c>
      <c r="J71" s="41">
        <v>0.3</v>
      </c>
      <c r="K71" s="41"/>
      <c r="L71" s="42"/>
      <c r="M71" s="68"/>
      <c r="N71" s="94">
        <f t="shared" si="19"/>
        <v>1</v>
      </c>
      <c r="O71" s="44">
        <v>1</v>
      </c>
      <c r="P71" s="45">
        <v>15</v>
      </c>
      <c r="Q71" s="46">
        <v>15</v>
      </c>
      <c r="R71" s="46"/>
      <c r="S71" s="121"/>
      <c r="T71" s="70"/>
      <c r="U71" s="71">
        <f t="shared" si="8"/>
        <v>15</v>
      </c>
      <c r="V71" s="72">
        <f t="shared" si="9"/>
        <v>15</v>
      </c>
      <c r="W71" s="99"/>
      <c r="X71" s="100"/>
      <c r="Y71" s="85"/>
      <c r="Z71" s="95"/>
      <c r="AA71" s="74"/>
      <c r="AB71" s="75">
        <f t="shared" si="10"/>
        <v>0</v>
      </c>
      <c r="AC71" s="72">
        <f t="shared" si="11"/>
        <v>0</v>
      </c>
      <c r="AD71" s="52">
        <v>2</v>
      </c>
      <c r="AE71" s="71">
        <f t="shared" si="12"/>
        <v>2</v>
      </c>
      <c r="AF71" s="76"/>
      <c r="AG71" s="86"/>
      <c r="AH71" s="77">
        <f t="shared" si="13"/>
        <v>17</v>
      </c>
      <c r="AI71" s="56">
        <v>10</v>
      </c>
      <c r="AJ71" s="56">
        <v>10</v>
      </c>
      <c r="AK71" s="56">
        <v>45</v>
      </c>
      <c r="AL71" s="57">
        <f t="shared" si="14"/>
        <v>82</v>
      </c>
      <c r="AM71" s="55">
        <f t="shared" si="15"/>
        <v>82</v>
      </c>
      <c r="AN71" s="78">
        <f t="shared" si="16"/>
        <v>1.02</v>
      </c>
      <c r="AO71" s="79"/>
      <c r="AP71" s="80">
        <f t="shared" si="20"/>
        <v>1</v>
      </c>
      <c r="AQ71" s="80">
        <f t="shared" si="20"/>
        <v>2</v>
      </c>
      <c r="AR71" s="61"/>
      <c r="AS71" s="62"/>
      <c r="AT71" s="81"/>
      <c r="AU71" s="81"/>
      <c r="AV71" s="81"/>
      <c r="AW71" s="81"/>
      <c r="AX71" s="82"/>
      <c r="AY71" s="83">
        <f t="shared" si="17"/>
        <v>0</v>
      </c>
      <c r="AZ71" s="83">
        <f t="shared" si="5"/>
        <v>0</v>
      </c>
    </row>
    <row r="72" spans="1:52" s="66" customFormat="1" ht="39.75" customHeight="1" thickBot="1" x14ac:dyDescent="0.2">
      <c r="A72" s="108"/>
      <c r="B72" s="108"/>
      <c r="C72" s="108"/>
      <c r="D72" s="108"/>
      <c r="E72" s="108"/>
      <c r="F72" s="105"/>
      <c r="G72" s="170"/>
      <c r="H72" s="158"/>
      <c r="I72" s="92">
        <v>0.7</v>
      </c>
      <c r="J72" s="41">
        <v>0.3</v>
      </c>
      <c r="K72" s="41"/>
      <c r="L72" s="42"/>
      <c r="M72" s="68"/>
      <c r="N72" s="94">
        <f t="shared" si="19"/>
        <v>1</v>
      </c>
      <c r="O72" s="44">
        <v>1</v>
      </c>
      <c r="P72" s="45">
        <v>15</v>
      </c>
      <c r="Q72" s="46">
        <v>15</v>
      </c>
      <c r="R72" s="46"/>
      <c r="S72" s="121"/>
      <c r="T72" s="70"/>
      <c r="U72" s="71">
        <f t="shared" si="8"/>
        <v>15</v>
      </c>
      <c r="V72" s="72">
        <f t="shared" si="9"/>
        <v>15</v>
      </c>
      <c r="W72" s="99"/>
      <c r="X72" s="100"/>
      <c r="Y72" s="85"/>
      <c r="Z72" s="95"/>
      <c r="AA72" s="74"/>
      <c r="AB72" s="75">
        <f t="shared" si="10"/>
        <v>0</v>
      </c>
      <c r="AC72" s="72">
        <f t="shared" si="11"/>
        <v>0</v>
      </c>
      <c r="AD72" s="52">
        <v>2</v>
      </c>
      <c r="AE72" s="71">
        <f t="shared" si="12"/>
        <v>2</v>
      </c>
      <c r="AF72" s="76"/>
      <c r="AG72" s="86"/>
      <c r="AH72" s="77">
        <f t="shared" si="13"/>
        <v>17</v>
      </c>
      <c r="AI72" s="56">
        <v>10</v>
      </c>
      <c r="AJ72" s="56">
        <v>10</v>
      </c>
      <c r="AK72" s="56">
        <v>45</v>
      </c>
      <c r="AL72" s="57">
        <f t="shared" si="14"/>
        <v>82</v>
      </c>
      <c r="AM72" s="55">
        <f t="shared" si="15"/>
        <v>82</v>
      </c>
      <c r="AN72" s="78">
        <f t="shared" si="16"/>
        <v>1.02</v>
      </c>
      <c r="AO72" s="79"/>
      <c r="AP72" s="80">
        <f t="shared" si="20"/>
        <v>1</v>
      </c>
      <c r="AQ72" s="80">
        <f t="shared" si="20"/>
        <v>2</v>
      </c>
      <c r="AR72" s="61"/>
      <c r="AS72" s="62"/>
      <c r="AT72" s="81"/>
      <c r="AU72" s="81"/>
      <c r="AV72" s="81"/>
      <c r="AW72" s="81"/>
      <c r="AX72" s="82"/>
      <c r="AY72" s="83">
        <f t="shared" si="17"/>
        <v>0</v>
      </c>
      <c r="AZ72" s="83">
        <f t="shared" si="5"/>
        <v>0</v>
      </c>
    </row>
    <row r="73" spans="1:52" s="66" customFormat="1" ht="39.75" customHeight="1" thickBot="1" x14ac:dyDescent="0.2">
      <c r="A73" s="108"/>
      <c r="B73" s="108"/>
      <c r="C73" s="108"/>
      <c r="D73" s="108"/>
      <c r="E73" s="108"/>
      <c r="F73" s="105"/>
      <c r="G73" s="170"/>
      <c r="H73" s="158"/>
      <c r="I73" s="92">
        <v>0.7</v>
      </c>
      <c r="J73" s="41">
        <v>0.3</v>
      </c>
      <c r="K73" s="41"/>
      <c r="L73" s="42"/>
      <c r="M73" s="68"/>
      <c r="N73" s="94">
        <f t="shared" si="19"/>
        <v>1</v>
      </c>
      <c r="O73" s="44">
        <v>1</v>
      </c>
      <c r="P73" s="45">
        <v>15</v>
      </c>
      <c r="Q73" s="46">
        <v>15</v>
      </c>
      <c r="R73" s="46"/>
      <c r="S73" s="121"/>
      <c r="T73" s="70"/>
      <c r="U73" s="71">
        <f t="shared" si="8"/>
        <v>15</v>
      </c>
      <c r="V73" s="72">
        <f t="shared" si="9"/>
        <v>15</v>
      </c>
      <c r="W73" s="99"/>
      <c r="X73" s="100"/>
      <c r="Y73" s="85"/>
      <c r="Z73" s="95"/>
      <c r="AA73" s="74"/>
      <c r="AB73" s="75">
        <f t="shared" si="10"/>
        <v>0</v>
      </c>
      <c r="AC73" s="72">
        <f t="shared" si="11"/>
        <v>0</v>
      </c>
      <c r="AD73" s="52">
        <v>2</v>
      </c>
      <c r="AE73" s="71">
        <f t="shared" si="12"/>
        <v>2</v>
      </c>
      <c r="AF73" s="76"/>
      <c r="AG73" s="86"/>
      <c r="AH73" s="77">
        <f t="shared" si="13"/>
        <v>17</v>
      </c>
      <c r="AI73" s="56">
        <v>10</v>
      </c>
      <c r="AJ73" s="56">
        <v>10</v>
      </c>
      <c r="AK73" s="56">
        <v>45</v>
      </c>
      <c r="AL73" s="57">
        <f t="shared" si="14"/>
        <v>82</v>
      </c>
      <c r="AM73" s="55">
        <f t="shared" si="15"/>
        <v>82</v>
      </c>
      <c r="AN73" s="78">
        <f t="shared" si="16"/>
        <v>1.02</v>
      </c>
      <c r="AO73" s="79"/>
      <c r="AP73" s="80">
        <f t="shared" si="20"/>
        <v>1</v>
      </c>
      <c r="AQ73" s="80">
        <f t="shared" si="20"/>
        <v>2</v>
      </c>
      <c r="AR73" s="61"/>
      <c r="AS73" s="62"/>
      <c r="AT73" s="81"/>
      <c r="AU73" s="81"/>
      <c r="AV73" s="81"/>
      <c r="AW73" s="81"/>
      <c r="AX73" s="82"/>
      <c r="AY73" s="83">
        <f t="shared" si="17"/>
        <v>0</v>
      </c>
      <c r="AZ73" s="83">
        <f t="shared" si="5"/>
        <v>0</v>
      </c>
    </row>
    <row r="74" spans="1:52" s="66" customFormat="1" ht="39.75" customHeight="1" thickBot="1" x14ac:dyDescent="0.2">
      <c r="A74" s="108"/>
      <c r="B74" s="108"/>
      <c r="C74" s="108"/>
      <c r="D74" s="108"/>
      <c r="E74" s="108"/>
      <c r="F74" s="105"/>
      <c r="G74" s="170"/>
      <c r="H74" s="158"/>
      <c r="I74" s="92">
        <v>0.7</v>
      </c>
      <c r="J74" s="41">
        <v>0.3</v>
      </c>
      <c r="K74" s="41"/>
      <c r="L74" s="42"/>
      <c r="M74" s="68"/>
      <c r="N74" s="94">
        <f t="shared" si="19"/>
        <v>1</v>
      </c>
      <c r="O74" s="44">
        <v>1</v>
      </c>
      <c r="P74" s="45">
        <v>15</v>
      </c>
      <c r="Q74" s="46">
        <v>15</v>
      </c>
      <c r="R74" s="46"/>
      <c r="S74" s="121"/>
      <c r="T74" s="70"/>
      <c r="U74" s="71">
        <f t="shared" si="8"/>
        <v>15</v>
      </c>
      <c r="V74" s="72">
        <f t="shared" si="9"/>
        <v>15</v>
      </c>
      <c r="W74" s="99"/>
      <c r="X74" s="100"/>
      <c r="Y74" s="85"/>
      <c r="Z74" s="95"/>
      <c r="AA74" s="74"/>
      <c r="AB74" s="75">
        <f t="shared" si="10"/>
        <v>0</v>
      </c>
      <c r="AC74" s="72">
        <f t="shared" si="11"/>
        <v>0</v>
      </c>
      <c r="AD74" s="52">
        <v>2</v>
      </c>
      <c r="AE74" s="71">
        <f t="shared" si="12"/>
        <v>2</v>
      </c>
      <c r="AF74" s="76"/>
      <c r="AG74" s="86"/>
      <c r="AH74" s="77">
        <f t="shared" si="13"/>
        <v>17</v>
      </c>
      <c r="AI74" s="56">
        <v>10</v>
      </c>
      <c r="AJ74" s="56">
        <v>10</v>
      </c>
      <c r="AK74" s="56">
        <v>45</v>
      </c>
      <c r="AL74" s="57">
        <f t="shared" si="14"/>
        <v>82</v>
      </c>
      <c r="AM74" s="55">
        <f t="shared" si="15"/>
        <v>82</v>
      </c>
      <c r="AN74" s="78">
        <f t="shared" si="16"/>
        <v>1.02</v>
      </c>
      <c r="AO74" s="79"/>
      <c r="AP74" s="80">
        <f t="shared" si="20"/>
        <v>1</v>
      </c>
      <c r="AQ74" s="80">
        <f t="shared" si="20"/>
        <v>2</v>
      </c>
      <c r="AR74" s="61"/>
      <c r="AS74" s="62"/>
      <c r="AT74" s="81"/>
      <c r="AU74" s="81"/>
      <c r="AV74" s="81"/>
      <c r="AW74" s="81"/>
      <c r="AX74" s="82"/>
      <c r="AY74" s="83">
        <f t="shared" si="17"/>
        <v>0</v>
      </c>
      <c r="AZ74" s="83">
        <f t="shared" si="5"/>
        <v>0</v>
      </c>
    </row>
    <row r="75" spans="1:52" s="66" customFormat="1" ht="39.75" customHeight="1" thickBot="1" x14ac:dyDescent="0.2">
      <c r="A75" s="108"/>
      <c r="B75" s="108"/>
      <c r="C75" s="108"/>
      <c r="D75" s="108"/>
      <c r="E75" s="108"/>
      <c r="F75" s="105"/>
      <c r="G75" s="170"/>
      <c r="H75" s="158"/>
      <c r="I75" s="92">
        <v>0.7</v>
      </c>
      <c r="J75" s="41">
        <v>0.3</v>
      </c>
      <c r="K75" s="41"/>
      <c r="L75" s="42"/>
      <c r="M75" s="68"/>
      <c r="N75" s="94">
        <f t="shared" si="19"/>
        <v>1</v>
      </c>
      <c r="O75" s="44">
        <v>1</v>
      </c>
      <c r="P75" s="45">
        <v>15</v>
      </c>
      <c r="Q75" s="46">
        <v>15</v>
      </c>
      <c r="R75" s="46"/>
      <c r="S75" s="121"/>
      <c r="T75" s="70"/>
      <c r="U75" s="71">
        <f t="shared" si="8"/>
        <v>15</v>
      </c>
      <c r="V75" s="72">
        <f t="shared" si="9"/>
        <v>15</v>
      </c>
      <c r="W75" s="99"/>
      <c r="X75" s="100"/>
      <c r="Y75" s="85"/>
      <c r="Z75" s="95"/>
      <c r="AA75" s="74"/>
      <c r="AB75" s="75">
        <f t="shared" si="10"/>
        <v>0</v>
      </c>
      <c r="AC75" s="72">
        <f t="shared" si="11"/>
        <v>0</v>
      </c>
      <c r="AD75" s="52">
        <v>2</v>
      </c>
      <c r="AE75" s="71">
        <f t="shared" si="12"/>
        <v>2</v>
      </c>
      <c r="AF75" s="76"/>
      <c r="AG75" s="86"/>
      <c r="AH75" s="77">
        <f t="shared" si="13"/>
        <v>17</v>
      </c>
      <c r="AI75" s="56">
        <v>10</v>
      </c>
      <c r="AJ75" s="56">
        <v>10</v>
      </c>
      <c r="AK75" s="56">
        <v>45</v>
      </c>
      <c r="AL75" s="57">
        <f t="shared" si="14"/>
        <v>82</v>
      </c>
      <c r="AM75" s="55">
        <f t="shared" si="15"/>
        <v>82</v>
      </c>
      <c r="AN75" s="78">
        <f t="shared" si="16"/>
        <v>1.02</v>
      </c>
      <c r="AO75" s="79"/>
      <c r="AP75" s="80">
        <f t="shared" ref="AP75:AQ94" si="21">100%+AO75</f>
        <v>1</v>
      </c>
      <c r="AQ75" s="80">
        <f t="shared" si="21"/>
        <v>2</v>
      </c>
      <c r="AR75" s="61"/>
      <c r="AS75" s="62"/>
      <c r="AT75" s="81"/>
      <c r="AU75" s="81"/>
      <c r="AV75" s="81"/>
      <c r="AW75" s="81"/>
      <c r="AX75" s="82"/>
      <c r="AY75" s="83">
        <f t="shared" si="17"/>
        <v>0</v>
      </c>
      <c r="AZ75" s="83">
        <f t="shared" si="5"/>
        <v>0</v>
      </c>
    </row>
    <row r="76" spans="1:52" s="66" customFormat="1" ht="39.75" customHeight="1" thickBot="1" x14ac:dyDescent="0.2">
      <c r="A76" s="108"/>
      <c r="B76" s="108"/>
      <c r="C76" s="108"/>
      <c r="D76" s="108"/>
      <c r="E76" s="108"/>
      <c r="F76" s="105"/>
      <c r="G76" s="170"/>
      <c r="H76" s="158"/>
      <c r="I76" s="92">
        <v>0.7</v>
      </c>
      <c r="J76" s="41">
        <v>0.3</v>
      </c>
      <c r="K76" s="41"/>
      <c r="L76" s="42"/>
      <c r="M76" s="68"/>
      <c r="N76" s="94">
        <f t="shared" si="19"/>
        <v>1</v>
      </c>
      <c r="O76" s="44">
        <v>1</v>
      </c>
      <c r="P76" s="45">
        <v>15</v>
      </c>
      <c r="Q76" s="46">
        <v>15</v>
      </c>
      <c r="R76" s="46"/>
      <c r="S76" s="121"/>
      <c r="T76" s="70"/>
      <c r="U76" s="71">
        <f t="shared" si="8"/>
        <v>15</v>
      </c>
      <c r="V76" s="72">
        <f t="shared" si="9"/>
        <v>15</v>
      </c>
      <c r="W76" s="99"/>
      <c r="X76" s="100"/>
      <c r="Y76" s="85"/>
      <c r="Z76" s="95"/>
      <c r="AA76" s="74"/>
      <c r="AB76" s="75">
        <f t="shared" si="10"/>
        <v>0</v>
      </c>
      <c r="AC76" s="72">
        <f t="shared" si="11"/>
        <v>0</v>
      </c>
      <c r="AD76" s="52">
        <v>2</v>
      </c>
      <c r="AE76" s="71">
        <f t="shared" si="12"/>
        <v>2</v>
      </c>
      <c r="AF76" s="76"/>
      <c r="AG76" s="86"/>
      <c r="AH76" s="77">
        <f t="shared" si="13"/>
        <v>17</v>
      </c>
      <c r="AI76" s="56">
        <v>10</v>
      </c>
      <c r="AJ76" s="56">
        <v>10</v>
      </c>
      <c r="AK76" s="56">
        <v>45</v>
      </c>
      <c r="AL76" s="57">
        <f t="shared" si="14"/>
        <v>82</v>
      </c>
      <c r="AM76" s="55">
        <f t="shared" si="15"/>
        <v>82</v>
      </c>
      <c r="AN76" s="78">
        <f t="shared" si="16"/>
        <v>1.02</v>
      </c>
      <c r="AO76" s="79"/>
      <c r="AP76" s="80">
        <f t="shared" si="21"/>
        <v>1</v>
      </c>
      <c r="AQ76" s="80">
        <f t="shared" si="21"/>
        <v>2</v>
      </c>
      <c r="AR76" s="61"/>
      <c r="AS76" s="62"/>
      <c r="AT76" s="81"/>
      <c r="AU76" s="81"/>
      <c r="AV76" s="81"/>
      <c r="AW76" s="81"/>
      <c r="AX76" s="82"/>
      <c r="AY76" s="83">
        <f t="shared" si="17"/>
        <v>0</v>
      </c>
      <c r="AZ76" s="83">
        <f t="shared" ref="AZ76:AZ142" si="22">(AT76*I76)+(AU76*J76)+(AV76*K76)+(AW76*L76)+(AX76*M76)</f>
        <v>0</v>
      </c>
    </row>
    <row r="77" spans="1:52" s="66" customFormat="1" ht="39.75" customHeight="1" thickBot="1" x14ac:dyDescent="0.2">
      <c r="A77" s="106"/>
      <c r="B77" s="106"/>
      <c r="C77" s="106"/>
      <c r="D77" s="106"/>
      <c r="E77" s="106"/>
      <c r="F77" s="105"/>
      <c r="G77" s="170"/>
      <c r="H77" s="158"/>
      <c r="I77" s="92">
        <v>0.7</v>
      </c>
      <c r="J77" s="41">
        <v>0.3</v>
      </c>
      <c r="K77" s="41"/>
      <c r="L77" s="42"/>
      <c r="M77" s="68"/>
      <c r="N77" s="94">
        <f t="shared" si="19"/>
        <v>1</v>
      </c>
      <c r="O77" s="44">
        <v>1</v>
      </c>
      <c r="P77" s="45">
        <v>15</v>
      </c>
      <c r="Q77" s="46">
        <v>15</v>
      </c>
      <c r="R77" s="46"/>
      <c r="S77" s="121"/>
      <c r="T77" s="70"/>
      <c r="U77" s="71">
        <f t="shared" si="8"/>
        <v>15</v>
      </c>
      <c r="V77" s="72">
        <f t="shared" si="9"/>
        <v>15</v>
      </c>
      <c r="W77" s="99"/>
      <c r="X77" s="100"/>
      <c r="Y77" s="85"/>
      <c r="Z77" s="95"/>
      <c r="AA77" s="74"/>
      <c r="AB77" s="75">
        <f t="shared" si="10"/>
        <v>0</v>
      </c>
      <c r="AC77" s="72">
        <f t="shared" si="11"/>
        <v>0</v>
      </c>
      <c r="AD77" s="52">
        <v>2</v>
      </c>
      <c r="AE77" s="71">
        <f t="shared" si="12"/>
        <v>2</v>
      </c>
      <c r="AF77" s="76"/>
      <c r="AG77" s="86"/>
      <c r="AH77" s="77">
        <f t="shared" si="13"/>
        <v>17</v>
      </c>
      <c r="AI77" s="56">
        <v>10</v>
      </c>
      <c r="AJ77" s="56">
        <v>10</v>
      </c>
      <c r="AK77" s="56">
        <v>45</v>
      </c>
      <c r="AL77" s="57">
        <f t="shared" si="14"/>
        <v>82</v>
      </c>
      <c r="AM77" s="55">
        <f t="shared" si="15"/>
        <v>82</v>
      </c>
      <c r="AN77" s="78">
        <f t="shared" si="16"/>
        <v>1.02</v>
      </c>
      <c r="AO77" s="79"/>
      <c r="AP77" s="80">
        <f t="shared" si="21"/>
        <v>1</v>
      </c>
      <c r="AQ77" s="80">
        <f t="shared" si="21"/>
        <v>2</v>
      </c>
      <c r="AR77" s="61"/>
      <c r="AS77" s="62"/>
      <c r="AT77" s="81"/>
      <c r="AU77" s="81"/>
      <c r="AV77" s="81"/>
      <c r="AW77" s="81"/>
      <c r="AX77" s="82"/>
      <c r="AY77" s="83">
        <f t="shared" si="17"/>
        <v>0</v>
      </c>
      <c r="AZ77" s="83">
        <f t="shared" si="22"/>
        <v>0</v>
      </c>
    </row>
    <row r="78" spans="1:52" s="66" customFormat="1" ht="39.75" customHeight="1" thickBot="1" x14ac:dyDescent="0.2">
      <c r="A78" s="106"/>
      <c r="B78" s="106"/>
      <c r="C78" s="106"/>
      <c r="D78" s="106"/>
      <c r="E78" s="106"/>
      <c r="F78" s="105"/>
      <c r="G78" s="170"/>
      <c r="H78" s="158"/>
      <c r="I78" s="92">
        <v>0.7</v>
      </c>
      <c r="J78" s="41">
        <v>0.3</v>
      </c>
      <c r="K78" s="41"/>
      <c r="L78" s="42"/>
      <c r="M78" s="68"/>
      <c r="N78" s="94">
        <f t="shared" si="19"/>
        <v>1</v>
      </c>
      <c r="O78" s="44">
        <v>1</v>
      </c>
      <c r="P78" s="45">
        <v>15</v>
      </c>
      <c r="Q78" s="46">
        <v>15</v>
      </c>
      <c r="R78" s="46"/>
      <c r="S78" s="121"/>
      <c r="T78" s="70"/>
      <c r="U78" s="71">
        <f t="shared" si="8"/>
        <v>15</v>
      </c>
      <c r="V78" s="72">
        <f t="shared" si="9"/>
        <v>15</v>
      </c>
      <c r="W78" s="99"/>
      <c r="X78" s="100"/>
      <c r="Y78" s="85"/>
      <c r="Z78" s="95"/>
      <c r="AA78" s="74"/>
      <c r="AB78" s="75">
        <f t="shared" si="10"/>
        <v>0</v>
      </c>
      <c r="AC78" s="72">
        <f t="shared" si="11"/>
        <v>0</v>
      </c>
      <c r="AD78" s="52">
        <v>2</v>
      </c>
      <c r="AE78" s="71">
        <f t="shared" si="12"/>
        <v>2</v>
      </c>
      <c r="AF78" s="76"/>
      <c r="AG78" s="86"/>
      <c r="AH78" s="77">
        <f t="shared" si="13"/>
        <v>17</v>
      </c>
      <c r="AI78" s="56">
        <v>10</v>
      </c>
      <c r="AJ78" s="56">
        <v>10</v>
      </c>
      <c r="AK78" s="56">
        <v>45</v>
      </c>
      <c r="AL78" s="57">
        <f t="shared" si="14"/>
        <v>82</v>
      </c>
      <c r="AM78" s="55">
        <f t="shared" si="15"/>
        <v>82</v>
      </c>
      <c r="AN78" s="78">
        <f t="shared" si="16"/>
        <v>1.02</v>
      </c>
      <c r="AO78" s="79"/>
      <c r="AP78" s="80">
        <f t="shared" si="21"/>
        <v>1</v>
      </c>
      <c r="AQ78" s="80">
        <f t="shared" si="21"/>
        <v>2</v>
      </c>
      <c r="AR78" s="61"/>
      <c r="AS78" s="62"/>
      <c r="AT78" s="81"/>
      <c r="AU78" s="81"/>
      <c r="AV78" s="81"/>
      <c r="AW78" s="81"/>
      <c r="AX78" s="82"/>
      <c r="AY78" s="83">
        <f t="shared" si="17"/>
        <v>0</v>
      </c>
      <c r="AZ78" s="83">
        <f t="shared" si="22"/>
        <v>0</v>
      </c>
    </row>
    <row r="79" spans="1:52" s="66" customFormat="1" ht="39.75" customHeight="1" thickBot="1" x14ac:dyDescent="0.2">
      <c r="A79" s="101"/>
      <c r="B79" s="101"/>
      <c r="C79" s="108"/>
      <c r="D79" s="108"/>
      <c r="E79" s="108"/>
      <c r="F79" s="105"/>
      <c r="G79" s="170"/>
      <c r="H79" s="158"/>
      <c r="I79" s="92">
        <v>0.7</v>
      </c>
      <c r="J79" s="41">
        <v>0.3</v>
      </c>
      <c r="K79" s="41"/>
      <c r="L79" s="42"/>
      <c r="M79" s="68"/>
      <c r="N79" s="94">
        <f t="shared" si="19"/>
        <v>1</v>
      </c>
      <c r="O79" s="44">
        <v>1</v>
      </c>
      <c r="P79" s="45">
        <v>15</v>
      </c>
      <c r="Q79" s="46">
        <v>15</v>
      </c>
      <c r="R79" s="46"/>
      <c r="S79" s="121"/>
      <c r="T79" s="70"/>
      <c r="U79" s="71">
        <f t="shared" si="8"/>
        <v>15</v>
      </c>
      <c r="V79" s="72">
        <f t="shared" si="9"/>
        <v>15</v>
      </c>
      <c r="W79" s="99"/>
      <c r="X79" s="100"/>
      <c r="Y79" s="85"/>
      <c r="Z79" s="95"/>
      <c r="AA79" s="74"/>
      <c r="AB79" s="75">
        <f t="shared" si="10"/>
        <v>0</v>
      </c>
      <c r="AC79" s="72">
        <f t="shared" si="11"/>
        <v>0</v>
      </c>
      <c r="AD79" s="52">
        <v>2</v>
      </c>
      <c r="AE79" s="71">
        <f t="shared" si="12"/>
        <v>2</v>
      </c>
      <c r="AF79" s="76"/>
      <c r="AG79" s="86"/>
      <c r="AH79" s="77">
        <f t="shared" si="13"/>
        <v>17</v>
      </c>
      <c r="AI79" s="56">
        <v>10</v>
      </c>
      <c r="AJ79" s="56">
        <v>10</v>
      </c>
      <c r="AK79" s="56">
        <v>45</v>
      </c>
      <c r="AL79" s="57">
        <f t="shared" si="14"/>
        <v>82</v>
      </c>
      <c r="AM79" s="55">
        <f t="shared" si="15"/>
        <v>82</v>
      </c>
      <c r="AN79" s="78">
        <f t="shared" si="16"/>
        <v>1.02</v>
      </c>
      <c r="AO79" s="79"/>
      <c r="AP79" s="80">
        <f t="shared" si="21"/>
        <v>1</v>
      </c>
      <c r="AQ79" s="80">
        <f t="shared" si="21"/>
        <v>2</v>
      </c>
      <c r="AR79" s="61"/>
      <c r="AS79" s="62"/>
      <c r="AT79" s="81"/>
      <c r="AU79" s="81"/>
      <c r="AV79" s="81"/>
      <c r="AW79" s="81"/>
      <c r="AX79" s="82"/>
      <c r="AY79" s="83">
        <f t="shared" si="17"/>
        <v>0</v>
      </c>
      <c r="AZ79" s="83">
        <f t="shared" si="22"/>
        <v>0</v>
      </c>
    </row>
    <row r="80" spans="1:52" s="66" customFormat="1" ht="39.75" customHeight="1" thickBot="1" x14ac:dyDescent="0.2">
      <c r="A80" s="101"/>
      <c r="B80" s="101"/>
      <c r="C80" s="108"/>
      <c r="D80" s="108"/>
      <c r="E80" s="108"/>
      <c r="F80" s="110"/>
      <c r="G80" s="169"/>
      <c r="H80" s="158"/>
      <c r="I80" s="92">
        <v>0.7</v>
      </c>
      <c r="J80" s="41">
        <v>0.3</v>
      </c>
      <c r="K80" s="41"/>
      <c r="L80" s="42"/>
      <c r="M80" s="68"/>
      <c r="N80" s="94">
        <f t="shared" si="19"/>
        <v>1</v>
      </c>
      <c r="O80" s="44">
        <v>1</v>
      </c>
      <c r="P80" s="45">
        <v>15</v>
      </c>
      <c r="Q80" s="46">
        <v>15</v>
      </c>
      <c r="R80" s="46"/>
      <c r="S80" s="121"/>
      <c r="T80" s="70"/>
      <c r="U80" s="71">
        <f t="shared" si="8"/>
        <v>15</v>
      </c>
      <c r="V80" s="72">
        <f t="shared" si="9"/>
        <v>15</v>
      </c>
      <c r="W80" s="99"/>
      <c r="X80" s="100"/>
      <c r="Y80" s="85"/>
      <c r="Z80" s="95"/>
      <c r="AA80" s="74"/>
      <c r="AB80" s="75">
        <f t="shared" si="10"/>
        <v>0</v>
      </c>
      <c r="AC80" s="72">
        <f t="shared" si="11"/>
        <v>0</v>
      </c>
      <c r="AD80" s="52">
        <v>2</v>
      </c>
      <c r="AE80" s="71">
        <f t="shared" si="12"/>
        <v>2</v>
      </c>
      <c r="AF80" s="76"/>
      <c r="AG80" s="86"/>
      <c r="AH80" s="77">
        <f t="shared" si="13"/>
        <v>17</v>
      </c>
      <c r="AI80" s="56">
        <v>10</v>
      </c>
      <c r="AJ80" s="56">
        <v>10</v>
      </c>
      <c r="AK80" s="56">
        <v>45</v>
      </c>
      <c r="AL80" s="57">
        <f t="shared" si="14"/>
        <v>82</v>
      </c>
      <c r="AM80" s="55">
        <f t="shared" si="15"/>
        <v>82</v>
      </c>
      <c r="AN80" s="78">
        <f t="shared" si="16"/>
        <v>1.02</v>
      </c>
      <c r="AO80" s="79"/>
      <c r="AP80" s="80">
        <f t="shared" si="21"/>
        <v>1</v>
      </c>
      <c r="AQ80" s="80">
        <f t="shared" si="21"/>
        <v>2</v>
      </c>
      <c r="AR80" s="61"/>
      <c r="AS80" s="62"/>
      <c r="AT80" s="81"/>
      <c r="AU80" s="81"/>
      <c r="AV80" s="81"/>
      <c r="AW80" s="81"/>
      <c r="AX80" s="82"/>
      <c r="AY80" s="83">
        <f t="shared" si="17"/>
        <v>0</v>
      </c>
      <c r="AZ80" s="83">
        <f t="shared" si="22"/>
        <v>0</v>
      </c>
    </row>
    <row r="81" spans="1:52" s="66" customFormat="1" ht="39.75" customHeight="1" thickBot="1" x14ac:dyDescent="0.2">
      <c r="A81" s="101"/>
      <c r="B81" s="101"/>
      <c r="C81" s="101"/>
      <c r="D81" s="101"/>
      <c r="E81" s="101"/>
      <c r="F81" s="40"/>
      <c r="G81" s="90"/>
      <c r="H81" s="158"/>
      <c r="I81" s="92">
        <v>0.7</v>
      </c>
      <c r="J81" s="41">
        <v>0.3</v>
      </c>
      <c r="K81" s="41"/>
      <c r="L81" s="42"/>
      <c r="M81" s="68"/>
      <c r="N81" s="94">
        <f t="shared" si="19"/>
        <v>1</v>
      </c>
      <c r="O81" s="44">
        <v>1</v>
      </c>
      <c r="P81" s="45">
        <v>15</v>
      </c>
      <c r="Q81" s="46">
        <v>15</v>
      </c>
      <c r="R81" s="46"/>
      <c r="S81" s="121"/>
      <c r="T81" s="70"/>
      <c r="U81" s="71">
        <f t="shared" si="8"/>
        <v>15</v>
      </c>
      <c r="V81" s="72">
        <f t="shared" si="9"/>
        <v>15</v>
      </c>
      <c r="W81" s="99"/>
      <c r="X81" s="100"/>
      <c r="Y81" s="85"/>
      <c r="Z81" s="95"/>
      <c r="AA81" s="74"/>
      <c r="AB81" s="75">
        <f t="shared" si="10"/>
        <v>0</v>
      </c>
      <c r="AC81" s="72">
        <f t="shared" si="11"/>
        <v>0</v>
      </c>
      <c r="AD81" s="52">
        <v>2</v>
      </c>
      <c r="AE81" s="71">
        <f t="shared" si="12"/>
        <v>2</v>
      </c>
      <c r="AF81" s="76"/>
      <c r="AG81" s="86"/>
      <c r="AH81" s="77">
        <f t="shared" si="13"/>
        <v>17</v>
      </c>
      <c r="AI81" s="56">
        <v>10</v>
      </c>
      <c r="AJ81" s="56">
        <v>10</v>
      </c>
      <c r="AK81" s="56">
        <v>45</v>
      </c>
      <c r="AL81" s="57">
        <f t="shared" si="14"/>
        <v>82</v>
      </c>
      <c r="AM81" s="55">
        <f t="shared" si="15"/>
        <v>82</v>
      </c>
      <c r="AN81" s="78">
        <f t="shared" si="16"/>
        <v>1.02</v>
      </c>
      <c r="AO81" s="79"/>
      <c r="AP81" s="80">
        <f t="shared" si="21"/>
        <v>1</v>
      </c>
      <c r="AQ81" s="80">
        <f t="shared" si="21"/>
        <v>2</v>
      </c>
      <c r="AR81" s="61"/>
      <c r="AS81" s="62"/>
      <c r="AT81" s="81"/>
      <c r="AU81" s="81"/>
      <c r="AV81" s="81"/>
      <c r="AW81" s="81"/>
      <c r="AX81" s="82"/>
      <c r="AY81" s="83">
        <f t="shared" si="17"/>
        <v>0</v>
      </c>
      <c r="AZ81" s="83">
        <f t="shared" si="22"/>
        <v>0</v>
      </c>
    </row>
    <row r="82" spans="1:52" s="66" customFormat="1" ht="39.75" customHeight="1" thickBot="1" x14ac:dyDescent="0.2">
      <c r="A82" s="101"/>
      <c r="B82" s="101"/>
      <c r="C82" s="101"/>
      <c r="D82" s="101"/>
      <c r="E82" s="101"/>
      <c r="F82" s="40"/>
      <c r="G82" s="90"/>
      <c r="H82" s="158"/>
      <c r="I82" s="92">
        <v>0.7</v>
      </c>
      <c r="J82" s="41">
        <v>0.3</v>
      </c>
      <c r="K82" s="41"/>
      <c r="L82" s="42"/>
      <c r="M82" s="68"/>
      <c r="N82" s="94">
        <f t="shared" si="19"/>
        <v>1</v>
      </c>
      <c r="O82" s="44">
        <v>1</v>
      </c>
      <c r="P82" s="45">
        <v>15</v>
      </c>
      <c r="Q82" s="46">
        <v>15</v>
      </c>
      <c r="R82" s="46"/>
      <c r="S82" s="121"/>
      <c r="T82" s="70"/>
      <c r="U82" s="71">
        <f t="shared" si="8"/>
        <v>15</v>
      </c>
      <c r="V82" s="72">
        <f t="shared" si="9"/>
        <v>15</v>
      </c>
      <c r="W82" s="99"/>
      <c r="X82" s="100"/>
      <c r="Y82" s="85"/>
      <c r="Z82" s="95"/>
      <c r="AA82" s="74"/>
      <c r="AB82" s="75">
        <f t="shared" si="10"/>
        <v>0</v>
      </c>
      <c r="AC82" s="72">
        <f t="shared" si="11"/>
        <v>0</v>
      </c>
      <c r="AD82" s="52">
        <v>2</v>
      </c>
      <c r="AE82" s="71">
        <f t="shared" si="12"/>
        <v>2</v>
      </c>
      <c r="AF82" s="76"/>
      <c r="AG82" s="86"/>
      <c r="AH82" s="77">
        <f t="shared" si="13"/>
        <v>17</v>
      </c>
      <c r="AI82" s="56">
        <v>10</v>
      </c>
      <c r="AJ82" s="56">
        <v>10</v>
      </c>
      <c r="AK82" s="56">
        <v>45</v>
      </c>
      <c r="AL82" s="57">
        <f t="shared" si="14"/>
        <v>82</v>
      </c>
      <c r="AM82" s="55">
        <f t="shared" si="15"/>
        <v>82</v>
      </c>
      <c r="AN82" s="78">
        <f t="shared" si="16"/>
        <v>1.02</v>
      </c>
      <c r="AO82" s="79"/>
      <c r="AP82" s="80">
        <f t="shared" si="21"/>
        <v>1</v>
      </c>
      <c r="AQ82" s="80">
        <f t="shared" si="21"/>
        <v>2</v>
      </c>
      <c r="AR82" s="61"/>
      <c r="AS82" s="62"/>
      <c r="AT82" s="81"/>
      <c r="AU82" s="81"/>
      <c r="AV82" s="81"/>
      <c r="AW82" s="81"/>
      <c r="AX82" s="82"/>
      <c r="AY82" s="83">
        <f t="shared" si="17"/>
        <v>0</v>
      </c>
      <c r="AZ82" s="83">
        <f t="shared" si="22"/>
        <v>0</v>
      </c>
    </row>
    <row r="83" spans="1:52" s="66" customFormat="1" ht="39.75" customHeight="1" thickBot="1" x14ac:dyDescent="0.2">
      <c r="A83" s="101"/>
      <c r="B83" s="101"/>
      <c r="C83" s="101"/>
      <c r="D83" s="101"/>
      <c r="E83" s="101"/>
      <c r="F83" s="40"/>
      <c r="G83" s="90"/>
      <c r="H83" s="158"/>
      <c r="I83" s="92">
        <v>0.7</v>
      </c>
      <c r="J83" s="41">
        <v>0.3</v>
      </c>
      <c r="K83" s="41"/>
      <c r="L83" s="42"/>
      <c r="M83" s="68"/>
      <c r="N83" s="94">
        <f t="shared" si="19"/>
        <v>1</v>
      </c>
      <c r="O83" s="44">
        <v>1</v>
      </c>
      <c r="P83" s="45">
        <v>15</v>
      </c>
      <c r="Q83" s="46">
        <v>15</v>
      </c>
      <c r="R83" s="46"/>
      <c r="S83" s="121"/>
      <c r="T83" s="70"/>
      <c r="U83" s="71">
        <f t="shared" si="8"/>
        <v>15</v>
      </c>
      <c r="V83" s="72">
        <f t="shared" si="9"/>
        <v>15</v>
      </c>
      <c r="W83" s="99"/>
      <c r="X83" s="100"/>
      <c r="Y83" s="85"/>
      <c r="Z83" s="95"/>
      <c r="AA83" s="74"/>
      <c r="AB83" s="75">
        <f t="shared" si="10"/>
        <v>0</v>
      </c>
      <c r="AC83" s="72">
        <f t="shared" si="11"/>
        <v>0</v>
      </c>
      <c r="AD83" s="52">
        <v>2</v>
      </c>
      <c r="AE83" s="71">
        <f t="shared" si="12"/>
        <v>2</v>
      </c>
      <c r="AF83" s="76"/>
      <c r="AG83" s="86"/>
      <c r="AH83" s="77">
        <f t="shared" si="13"/>
        <v>17</v>
      </c>
      <c r="AI83" s="56">
        <v>10</v>
      </c>
      <c r="AJ83" s="56">
        <v>10</v>
      </c>
      <c r="AK83" s="56">
        <v>45</v>
      </c>
      <c r="AL83" s="57">
        <f t="shared" si="14"/>
        <v>82</v>
      </c>
      <c r="AM83" s="55">
        <f t="shared" si="15"/>
        <v>82</v>
      </c>
      <c r="AN83" s="78">
        <f t="shared" si="16"/>
        <v>1.02</v>
      </c>
      <c r="AO83" s="79"/>
      <c r="AP83" s="80">
        <f t="shared" si="21"/>
        <v>1</v>
      </c>
      <c r="AQ83" s="80">
        <f t="shared" si="21"/>
        <v>2</v>
      </c>
      <c r="AR83" s="61"/>
      <c r="AS83" s="62"/>
      <c r="AT83" s="81"/>
      <c r="AU83" s="81"/>
      <c r="AV83" s="81"/>
      <c r="AW83" s="81"/>
      <c r="AX83" s="82"/>
      <c r="AY83" s="83">
        <f t="shared" si="17"/>
        <v>0</v>
      </c>
      <c r="AZ83" s="83">
        <f t="shared" si="22"/>
        <v>0</v>
      </c>
    </row>
    <row r="84" spans="1:52" s="66" customFormat="1" ht="39.75" customHeight="1" thickBot="1" x14ac:dyDescent="0.2">
      <c r="A84" s="101"/>
      <c r="B84" s="101"/>
      <c r="C84" s="101"/>
      <c r="D84" s="101"/>
      <c r="E84" s="101"/>
      <c r="F84" s="40"/>
      <c r="G84" s="90"/>
      <c r="H84" s="158"/>
      <c r="I84" s="92">
        <v>0.7</v>
      </c>
      <c r="J84" s="41">
        <v>0.3</v>
      </c>
      <c r="K84" s="41"/>
      <c r="L84" s="42"/>
      <c r="M84" s="68"/>
      <c r="N84" s="94">
        <f t="shared" si="19"/>
        <v>1</v>
      </c>
      <c r="O84" s="44">
        <v>1</v>
      </c>
      <c r="P84" s="45">
        <v>15</v>
      </c>
      <c r="Q84" s="46">
        <v>15</v>
      </c>
      <c r="R84" s="46"/>
      <c r="S84" s="121"/>
      <c r="T84" s="70"/>
      <c r="U84" s="71">
        <f t="shared" si="8"/>
        <v>15</v>
      </c>
      <c r="V84" s="72">
        <f t="shared" si="9"/>
        <v>15</v>
      </c>
      <c r="W84" s="99"/>
      <c r="X84" s="100"/>
      <c r="Y84" s="85"/>
      <c r="Z84" s="95"/>
      <c r="AA84" s="74"/>
      <c r="AB84" s="75">
        <f t="shared" si="10"/>
        <v>0</v>
      </c>
      <c r="AC84" s="72">
        <f t="shared" si="11"/>
        <v>0</v>
      </c>
      <c r="AD84" s="52">
        <v>2</v>
      </c>
      <c r="AE84" s="71">
        <f t="shared" si="12"/>
        <v>2</v>
      </c>
      <c r="AF84" s="76"/>
      <c r="AG84" s="86"/>
      <c r="AH84" s="77">
        <f t="shared" si="13"/>
        <v>17</v>
      </c>
      <c r="AI84" s="56">
        <v>10</v>
      </c>
      <c r="AJ84" s="56">
        <v>10</v>
      </c>
      <c r="AK84" s="56">
        <v>45</v>
      </c>
      <c r="AL84" s="57">
        <f t="shared" si="14"/>
        <v>82</v>
      </c>
      <c r="AM84" s="55">
        <f t="shared" si="15"/>
        <v>82</v>
      </c>
      <c r="AN84" s="78">
        <f t="shared" si="16"/>
        <v>1.02</v>
      </c>
      <c r="AO84" s="79"/>
      <c r="AP84" s="80">
        <f t="shared" si="21"/>
        <v>1</v>
      </c>
      <c r="AQ84" s="80">
        <f t="shared" si="21"/>
        <v>2</v>
      </c>
      <c r="AR84" s="61"/>
      <c r="AS84" s="62"/>
      <c r="AT84" s="81"/>
      <c r="AU84" s="81"/>
      <c r="AV84" s="81"/>
      <c r="AW84" s="81"/>
      <c r="AX84" s="82"/>
      <c r="AY84" s="83">
        <f t="shared" si="17"/>
        <v>0</v>
      </c>
      <c r="AZ84" s="83">
        <f t="shared" si="22"/>
        <v>0</v>
      </c>
    </row>
    <row r="85" spans="1:52" s="66" customFormat="1" ht="39.75" customHeight="1" thickBot="1" x14ac:dyDescent="0.2">
      <c r="A85" s="101"/>
      <c r="B85" s="101"/>
      <c r="C85" s="101"/>
      <c r="D85" s="101"/>
      <c r="E85" s="101"/>
      <c r="F85" s="40"/>
      <c r="G85" s="90"/>
      <c r="H85" s="158"/>
      <c r="I85" s="92">
        <v>0.51</v>
      </c>
      <c r="J85" s="41">
        <v>0.49</v>
      </c>
      <c r="K85" s="41"/>
      <c r="L85" s="42"/>
      <c r="M85" s="68"/>
      <c r="N85" s="94">
        <f t="shared" si="19"/>
        <v>1</v>
      </c>
      <c r="O85" s="44">
        <v>1</v>
      </c>
      <c r="P85" s="45">
        <v>15</v>
      </c>
      <c r="Q85" s="46">
        <v>15</v>
      </c>
      <c r="R85" s="46"/>
      <c r="S85" s="121"/>
      <c r="T85" s="70"/>
      <c r="U85" s="71">
        <f t="shared" si="8"/>
        <v>15</v>
      </c>
      <c r="V85" s="72">
        <f t="shared" si="9"/>
        <v>15</v>
      </c>
      <c r="W85" s="99"/>
      <c r="X85" s="100"/>
      <c r="Y85" s="85"/>
      <c r="Z85" s="95"/>
      <c r="AA85" s="74"/>
      <c r="AB85" s="75">
        <f t="shared" si="10"/>
        <v>0</v>
      </c>
      <c r="AC85" s="72">
        <f t="shared" si="11"/>
        <v>0</v>
      </c>
      <c r="AD85" s="52">
        <v>2</v>
      </c>
      <c r="AE85" s="71">
        <f t="shared" si="12"/>
        <v>2</v>
      </c>
      <c r="AF85" s="76"/>
      <c r="AG85" s="86"/>
      <c r="AH85" s="77">
        <f t="shared" si="13"/>
        <v>17</v>
      </c>
      <c r="AI85" s="56">
        <v>10</v>
      </c>
      <c r="AJ85" s="56">
        <v>10</v>
      </c>
      <c r="AK85" s="56">
        <v>45</v>
      </c>
      <c r="AL85" s="57">
        <f t="shared" si="14"/>
        <v>82</v>
      </c>
      <c r="AM85" s="55">
        <f t="shared" si="15"/>
        <v>82</v>
      </c>
      <c r="AN85" s="78">
        <f t="shared" si="16"/>
        <v>1.02</v>
      </c>
      <c r="AO85" s="79"/>
      <c r="AP85" s="80">
        <f t="shared" si="21"/>
        <v>1</v>
      </c>
      <c r="AQ85" s="80">
        <f t="shared" si="21"/>
        <v>2</v>
      </c>
      <c r="AR85" s="61"/>
      <c r="AS85" s="62"/>
      <c r="AT85" s="81"/>
      <c r="AU85" s="81"/>
      <c r="AV85" s="81"/>
      <c r="AW85" s="81"/>
      <c r="AX85" s="82"/>
      <c r="AY85" s="83">
        <f t="shared" si="17"/>
        <v>0</v>
      </c>
      <c r="AZ85" s="83">
        <f t="shared" si="22"/>
        <v>0</v>
      </c>
    </row>
    <row r="86" spans="1:52" s="66" customFormat="1" ht="39.75" customHeight="1" thickBot="1" x14ac:dyDescent="0.2">
      <c r="A86" s="101"/>
      <c r="B86" s="101"/>
      <c r="C86" s="101"/>
      <c r="D86" s="101"/>
      <c r="E86" s="101"/>
      <c r="F86" s="40"/>
      <c r="G86" s="90"/>
      <c r="H86" s="158"/>
      <c r="I86" s="92">
        <v>0.51</v>
      </c>
      <c r="J86" s="41">
        <v>0.49</v>
      </c>
      <c r="K86" s="41"/>
      <c r="L86" s="42"/>
      <c r="M86" s="68"/>
      <c r="N86" s="94">
        <f t="shared" si="19"/>
        <v>1</v>
      </c>
      <c r="O86" s="44">
        <v>1</v>
      </c>
      <c r="P86" s="45">
        <v>15</v>
      </c>
      <c r="Q86" s="46">
        <v>15</v>
      </c>
      <c r="R86" s="46"/>
      <c r="S86" s="121"/>
      <c r="T86" s="70"/>
      <c r="U86" s="71">
        <f t="shared" si="8"/>
        <v>15</v>
      </c>
      <c r="V86" s="72">
        <f t="shared" si="9"/>
        <v>15</v>
      </c>
      <c r="W86" s="99"/>
      <c r="X86" s="100"/>
      <c r="Y86" s="85"/>
      <c r="Z86" s="95"/>
      <c r="AA86" s="74"/>
      <c r="AB86" s="75">
        <f t="shared" si="10"/>
        <v>0</v>
      </c>
      <c r="AC86" s="72">
        <f t="shared" si="11"/>
        <v>0</v>
      </c>
      <c r="AD86" s="52">
        <v>2</v>
      </c>
      <c r="AE86" s="71">
        <f t="shared" si="12"/>
        <v>2</v>
      </c>
      <c r="AF86" s="76"/>
      <c r="AG86" s="86"/>
      <c r="AH86" s="77">
        <f t="shared" si="13"/>
        <v>17</v>
      </c>
      <c r="AI86" s="56">
        <v>10</v>
      </c>
      <c r="AJ86" s="56">
        <v>10</v>
      </c>
      <c r="AK86" s="56">
        <v>45</v>
      </c>
      <c r="AL86" s="57">
        <f t="shared" si="14"/>
        <v>82</v>
      </c>
      <c r="AM86" s="55">
        <f t="shared" si="15"/>
        <v>82</v>
      </c>
      <c r="AN86" s="78">
        <f t="shared" si="16"/>
        <v>1.02</v>
      </c>
      <c r="AO86" s="79"/>
      <c r="AP86" s="80">
        <f t="shared" si="21"/>
        <v>1</v>
      </c>
      <c r="AQ86" s="80">
        <f t="shared" si="21"/>
        <v>2</v>
      </c>
      <c r="AR86" s="61"/>
      <c r="AS86" s="62"/>
      <c r="AT86" s="81"/>
      <c r="AU86" s="81"/>
      <c r="AV86" s="81"/>
      <c r="AW86" s="81"/>
      <c r="AX86" s="82"/>
      <c r="AY86" s="83">
        <f t="shared" si="17"/>
        <v>0</v>
      </c>
      <c r="AZ86" s="83">
        <f t="shared" si="22"/>
        <v>0</v>
      </c>
    </row>
    <row r="87" spans="1:52" s="66" customFormat="1" ht="39.75" customHeight="1" thickBot="1" x14ac:dyDescent="0.2">
      <c r="A87" s="101"/>
      <c r="B87" s="101"/>
      <c r="C87" s="101"/>
      <c r="D87" s="101"/>
      <c r="E87" s="101"/>
      <c r="F87" s="40"/>
      <c r="G87" s="90"/>
      <c r="H87" s="158"/>
      <c r="I87" s="92">
        <v>0.51</v>
      </c>
      <c r="J87" s="41">
        <v>0.49</v>
      </c>
      <c r="K87" s="41"/>
      <c r="L87" s="42"/>
      <c r="M87" s="68"/>
      <c r="N87" s="94">
        <f t="shared" si="19"/>
        <v>1</v>
      </c>
      <c r="O87" s="44">
        <v>1</v>
      </c>
      <c r="P87" s="45">
        <v>15</v>
      </c>
      <c r="Q87" s="46">
        <v>15</v>
      </c>
      <c r="R87" s="46"/>
      <c r="S87" s="121"/>
      <c r="T87" s="70"/>
      <c r="U87" s="71">
        <f t="shared" si="8"/>
        <v>15</v>
      </c>
      <c r="V87" s="72">
        <f t="shared" si="9"/>
        <v>15</v>
      </c>
      <c r="W87" s="99"/>
      <c r="X87" s="100"/>
      <c r="Y87" s="85"/>
      <c r="Z87" s="95"/>
      <c r="AA87" s="74"/>
      <c r="AB87" s="75">
        <f t="shared" si="10"/>
        <v>0</v>
      </c>
      <c r="AC87" s="72">
        <f t="shared" si="11"/>
        <v>0</v>
      </c>
      <c r="AD87" s="52">
        <v>2</v>
      </c>
      <c r="AE87" s="71">
        <f t="shared" si="12"/>
        <v>2</v>
      </c>
      <c r="AF87" s="76"/>
      <c r="AG87" s="86"/>
      <c r="AH87" s="77">
        <f t="shared" si="13"/>
        <v>17</v>
      </c>
      <c r="AI87" s="56">
        <v>10</v>
      </c>
      <c r="AJ87" s="56">
        <v>10</v>
      </c>
      <c r="AK87" s="56">
        <v>45</v>
      </c>
      <c r="AL87" s="57">
        <f t="shared" si="14"/>
        <v>82</v>
      </c>
      <c r="AM87" s="55">
        <f t="shared" si="15"/>
        <v>82</v>
      </c>
      <c r="AN87" s="78">
        <f t="shared" si="16"/>
        <v>1.02</v>
      </c>
      <c r="AO87" s="79"/>
      <c r="AP87" s="80">
        <f t="shared" si="21"/>
        <v>1</v>
      </c>
      <c r="AQ87" s="80">
        <f t="shared" si="21"/>
        <v>2</v>
      </c>
      <c r="AR87" s="61"/>
      <c r="AS87" s="62"/>
      <c r="AT87" s="81"/>
      <c r="AU87" s="81"/>
      <c r="AV87" s="81"/>
      <c r="AW87" s="81"/>
      <c r="AX87" s="82"/>
      <c r="AY87" s="83">
        <f t="shared" si="17"/>
        <v>0</v>
      </c>
      <c r="AZ87" s="83">
        <f t="shared" si="22"/>
        <v>0</v>
      </c>
    </row>
    <row r="88" spans="1:52" s="66" customFormat="1" ht="39.75" customHeight="1" thickBot="1" x14ac:dyDescent="0.2">
      <c r="A88" s="101"/>
      <c r="B88" s="101"/>
      <c r="C88" s="101"/>
      <c r="D88" s="101"/>
      <c r="E88" s="101"/>
      <c r="F88" s="40"/>
      <c r="G88" s="90"/>
      <c r="H88" s="158"/>
      <c r="I88" s="92">
        <v>0.51</v>
      </c>
      <c r="J88" s="41">
        <v>0.49</v>
      </c>
      <c r="K88" s="41"/>
      <c r="L88" s="42"/>
      <c r="M88" s="68"/>
      <c r="N88" s="94">
        <f t="shared" si="19"/>
        <v>1</v>
      </c>
      <c r="O88" s="44">
        <v>1</v>
      </c>
      <c r="P88" s="45">
        <v>15</v>
      </c>
      <c r="Q88" s="46">
        <v>15</v>
      </c>
      <c r="R88" s="46"/>
      <c r="S88" s="46"/>
      <c r="T88" s="70"/>
      <c r="U88" s="71">
        <f t="shared" si="8"/>
        <v>15</v>
      </c>
      <c r="V88" s="72">
        <f t="shared" si="9"/>
        <v>15</v>
      </c>
      <c r="W88" s="99"/>
      <c r="X88" s="100"/>
      <c r="Y88" s="85"/>
      <c r="Z88" s="95"/>
      <c r="AA88" s="74"/>
      <c r="AB88" s="75">
        <f t="shared" si="10"/>
        <v>0</v>
      </c>
      <c r="AC88" s="72">
        <f t="shared" si="11"/>
        <v>0</v>
      </c>
      <c r="AD88" s="52">
        <v>2</v>
      </c>
      <c r="AE88" s="71">
        <f t="shared" si="12"/>
        <v>2</v>
      </c>
      <c r="AF88" s="76"/>
      <c r="AG88" s="86"/>
      <c r="AH88" s="77">
        <f t="shared" si="13"/>
        <v>17</v>
      </c>
      <c r="AI88" s="56">
        <v>10</v>
      </c>
      <c r="AJ88" s="56">
        <v>10</v>
      </c>
      <c r="AK88" s="56">
        <v>45</v>
      </c>
      <c r="AL88" s="57">
        <f t="shared" si="14"/>
        <v>82</v>
      </c>
      <c r="AM88" s="55">
        <f t="shared" si="15"/>
        <v>82</v>
      </c>
      <c r="AN88" s="78">
        <f t="shared" si="16"/>
        <v>1.02</v>
      </c>
      <c r="AO88" s="79"/>
      <c r="AP88" s="80">
        <f t="shared" si="21"/>
        <v>1</v>
      </c>
      <c r="AQ88" s="80">
        <f t="shared" si="21"/>
        <v>2</v>
      </c>
      <c r="AR88" s="61"/>
      <c r="AS88" s="62"/>
      <c r="AT88" s="81"/>
      <c r="AU88" s="81"/>
      <c r="AV88" s="81"/>
      <c r="AW88" s="81"/>
      <c r="AX88" s="82"/>
      <c r="AY88" s="83">
        <f t="shared" si="17"/>
        <v>0</v>
      </c>
      <c r="AZ88" s="83">
        <f t="shared" si="22"/>
        <v>0</v>
      </c>
    </row>
    <row r="89" spans="1:52" s="66" customFormat="1" ht="39.75" customHeight="1" thickBot="1" x14ac:dyDescent="0.2">
      <c r="A89" s="101"/>
      <c r="B89" s="101"/>
      <c r="C89" s="101"/>
      <c r="D89" s="101"/>
      <c r="E89" s="101"/>
      <c r="F89" s="40"/>
      <c r="G89" s="90"/>
      <c r="H89" s="158"/>
      <c r="I89" s="92">
        <v>0.51</v>
      </c>
      <c r="J89" s="41">
        <v>0.49</v>
      </c>
      <c r="K89" s="41"/>
      <c r="L89" s="42"/>
      <c r="M89" s="68"/>
      <c r="N89" s="94">
        <f t="shared" si="19"/>
        <v>1</v>
      </c>
      <c r="O89" s="44">
        <v>1</v>
      </c>
      <c r="P89" s="45">
        <v>15</v>
      </c>
      <c r="Q89" s="46">
        <v>15</v>
      </c>
      <c r="R89" s="46"/>
      <c r="S89" s="46"/>
      <c r="T89" s="70"/>
      <c r="U89" s="71">
        <f t="shared" si="8"/>
        <v>15</v>
      </c>
      <c r="V89" s="72">
        <f t="shared" si="9"/>
        <v>15</v>
      </c>
      <c r="W89" s="99"/>
      <c r="X89" s="100"/>
      <c r="Y89" s="85"/>
      <c r="Z89" s="95"/>
      <c r="AA89" s="74"/>
      <c r="AB89" s="75">
        <f t="shared" si="10"/>
        <v>0</v>
      </c>
      <c r="AC89" s="72">
        <f t="shared" si="11"/>
        <v>0</v>
      </c>
      <c r="AD89" s="52">
        <v>2</v>
      </c>
      <c r="AE89" s="71">
        <f t="shared" si="12"/>
        <v>2</v>
      </c>
      <c r="AF89" s="76"/>
      <c r="AG89" s="86"/>
      <c r="AH89" s="77">
        <f t="shared" si="13"/>
        <v>17</v>
      </c>
      <c r="AI89" s="56">
        <v>10</v>
      </c>
      <c r="AJ89" s="56">
        <v>10</v>
      </c>
      <c r="AK89" s="56">
        <v>45</v>
      </c>
      <c r="AL89" s="57">
        <f t="shared" si="14"/>
        <v>82</v>
      </c>
      <c r="AM89" s="55">
        <f t="shared" si="15"/>
        <v>82</v>
      </c>
      <c r="AN89" s="78">
        <f t="shared" si="16"/>
        <v>1.02</v>
      </c>
      <c r="AO89" s="79"/>
      <c r="AP89" s="80">
        <f t="shared" si="21"/>
        <v>1</v>
      </c>
      <c r="AQ89" s="80">
        <f t="shared" si="21"/>
        <v>2</v>
      </c>
      <c r="AR89" s="61"/>
      <c r="AS89" s="62"/>
      <c r="AT89" s="81"/>
      <c r="AU89" s="81"/>
      <c r="AV89" s="81"/>
      <c r="AW89" s="81"/>
      <c r="AX89" s="82"/>
      <c r="AY89" s="83">
        <f t="shared" si="17"/>
        <v>0</v>
      </c>
      <c r="AZ89" s="83">
        <f t="shared" si="22"/>
        <v>0</v>
      </c>
    </row>
    <row r="90" spans="1:52" s="66" customFormat="1" ht="39.75" customHeight="1" thickBot="1" x14ac:dyDescent="0.2">
      <c r="A90" s="101"/>
      <c r="B90" s="101"/>
      <c r="C90" s="101"/>
      <c r="D90" s="101"/>
      <c r="E90" s="101"/>
      <c r="F90" s="40"/>
      <c r="G90" s="90"/>
      <c r="H90" s="158"/>
      <c r="I90" s="92">
        <v>0.51</v>
      </c>
      <c r="J90" s="41">
        <v>0.49</v>
      </c>
      <c r="K90" s="41"/>
      <c r="L90" s="42"/>
      <c r="M90" s="68"/>
      <c r="N90" s="94">
        <f t="shared" si="19"/>
        <v>1</v>
      </c>
      <c r="O90" s="44">
        <v>1</v>
      </c>
      <c r="P90" s="45">
        <v>15</v>
      </c>
      <c r="Q90" s="46">
        <v>15</v>
      </c>
      <c r="R90" s="46"/>
      <c r="S90" s="46"/>
      <c r="T90" s="70"/>
      <c r="U90" s="71">
        <f t="shared" si="8"/>
        <v>15</v>
      </c>
      <c r="V90" s="72">
        <f t="shared" si="9"/>
        <v>15</v>
      </c>
      <c r="W90" s="99"/>
      <c r="X90" s="100"/>
      <c r="Y90" s="85"/>
      <c r="Z90" s="95"/>
      <c r="AA90" s="74"/>
      <c r="AB90" s="75">
        <f t="shared" si="10"/>
        <v>0</v>
      </c>
      <c r="AC90" s="72">
        <f t="shared" si="11"/>
        <v>0</v>
      </c>
      <c r="AD90" s="52">
        <v>2</v>
      </c>
      <c r="AE90" s="71">
        <f t="shared" si="12"/>
        <v>2</v>
      </c>
      <c r="AF90" s="76"/>
      <c r="AG90" s="86"/>
      <c r="AH90" s="77">
        <f t="shared" si="13"/>
        <v>17</v>
      </c>
      <c r="AI90" s="56">
        <v>10</v>
      </c>
      <c r="AJ90" s="56">
        <v>10</v>
      </c>
      <c r="AK90" s="56">
        <v>45</v>
      </c>
      <c r="AL90" s="57">
        <f t="shared" si="14"/>
        <v>82</v>
      </c>
      <c r="AM90" s="55">
        <f t="shared" si="15"/>
        <v>82</v>
      </c>
      <c r="AN90" s="78">
        <f t="shared" si="16"/>
        <v>1.02</v>
      </c>
      <c r="AO90" s="79"/>
      <c r="AP90" s="80">
        <f t="shared" si="21"/>
        <v>1</v>
      </c>
      <c r="AQ90" s="80">
        <f t="shared" si="21"/>
        <v>2</v>
      </c>
      <c r="AR90" s="61"/>
      <c r="AS90" s="62"/>
      <c r="AT90" s="81"/>
      <c r="AU90" s="81"/>
      <c r="AV90" s="81"/>
      <c r="AW90" s="81"/>
      <c r="AX90" s="82"/>
      <c r="AY90" s="83">
        <f t="shared" si="17"/>
        <v>0</v>
      </c>
      <c r="AZ90" s="83">
        <f t="shared" si="22"/>
        <v>0</v>
      </c>
    </row>
    <row r="91" spans="1:52" s="66" customFormat="1" ht="39.75" customHeight="1" thickBot="1" x14ac:dyDescent="0.2">
      <c r="A91" s="101"/>
      <c r="B91" s="101"/>
      <c r="C91" s="101"/>
      <c r="D91" s="101"/>
      <c r="E91" s="101"/>
      <c r="F91" s="40"/>
      <c r="G91" s="90"/>
      <c r="H91" s="158"/>
      <c r="I91" s="92">
        <v>0.51</v>
      </c>
      <c r="J91" s="41">
        <v>0.49</v>
      </c>
      <c r="K91" s="41"/>
      <c r="L91" s="42"/>
      <c r="M91" s="68"/>
      <c r="N91" s="94">
        <f t="shared" si="19"/>
        <v>1</v>
      </c>
      <c r="O91" s="44">
        <v>1</v>
      </c>
      <c r="P91" s="45">
        <v>15</v>
      </c>
      <c r="Q91" s="46">
        <v>15</v>
      </c>
      <c r="R91" s="46"/>
      <c r="S91" s="46"/>
      <c r="T91" s="70"/>
      <c r="U91" s="71">
        <f t="shared" si="8"/>
        <v>15</v>
      </c>
      <c r="V91" s="72">
        <f t="shared" si="9"/>
        <v>15</v>
      </c>
      <c r="W91" s="99"/>
      <c r="X91" s="100"/>
      <c r="Y91" s="85"/>
      <c r="Z91" s="95"/>
      <c r="AA91" s="74"/>
      <c r="AB91" s="75">
        <f t="shared" si="10"/>
        <v>0</v>
      </c>
      <c r="AC91" s="72">
        <f t="shared" si="11"/>
        <v>0</v>
      </c>
      <c r="AD91" s="52">
        <v>2</v>
      </c>
      <c r="AE91" s="71">
        <f t="shared" si="12"/>
        <v>2</v>
      </c>
      <c r="AF91" s="76"/>
      <c r="AG91" s="86"/>
      <c r="AH91" s="77">
        <f t="shared" si="13"/>
        <v>17</v>
      </c>
      <c r="AI91" s="56">
        <v>10</v>
      </c>
      <c r="AJ91" s="56">
        <v>10</v>
      </c>
      <c r="AK91" s="56">
        <v>45</v>
      </c>
      <c r="AL91" s="57">
        <f t="shared" si="14"/>
        <v>82</v>
      </c>
      <c r="AM91" s="55">
        <f t="shared" si="15"/>
        <v>82</v>
      </c>
      <c r="AN91" s="78">
        <f t="shared" si="16"/>
        <v>1.02</v>
      </c>
      <c r="AO91" s="79"/>
      <c r="AP91" s="80">
        <f t="shared" si="21"/>
        <v>1</v>
      </c>
      <c r="AQ91" s="80">
        <f t="shared" si="21"/>
        <v>2</v>
      </c>
      <c r="AR91" s="61"/>
      <c r="AS91" s="62"/>
      <c r="AT91" s="81"/>
      <c r="AU91" s="81"/>
      <c r="AV91" s="81"/>
      <c r="AW91" s="81"/>
      <c r="AX91" s="82"/>
      <c r="AY91" s="83">
        <f t="shared" si="17"/>
        <v>0</v>
      </c>
      <c r="AZ91" s="83">
        <f t="shared" si="22"/>
        <v>0</v>
      </c>
    </row>
    <row r="92" spans="1:52" s="66" customFormat="1" ht="39.75" customHeight="1" thickBot="1" x14ac:dyDescent="0.2">
      <c r="A92" s="101"/>
      <c r="B92" s="101"/>
      <c r="C92" s="101"/>
      <c r="D92" s="101"/>
      <c r="E92" s="101"/>
      <c r="F92" s="40"/>
      <c r="G92" s="90"/>
      <c r="H92" s="158"/>
      <c r="I92" s="92">
        <v>0.51</v>
      </c>
      <c r="J92" s="41">
        <v>0.49</v>
      </c>
      <c r="K92" s="41"/>
      <c r="L92" s="88"/>
      <c r="M92" s="68"/>
      <c r="N92" s="94">
        <f t="shared" si="19"/>
        <v>1</v>
      </c>
      <c r="O92" s="44">
        <v>1</v>
      </c>
      <c r="P92" s="45">
        <v>15</v>
      </c>
      <c r="Q92" s="46">
        <v>15</v>
      </c>
      <c r="R92" s="46"/>
      <c r="S92" s="46"/>
      <c r="T92" s="70"/>
      <c r="U92" s="71">
        <f t="shared" ref="U92:U142" si="23">ROUND(((P92*I92)+(Q92*J92)+(R92*K92)+(S92*L92)+(T92*M92))*O92,2)</f>
        <v>15</v>
      </c>
      <c r="V92" s="72">
        <f t="shared" ref="V92:V142" si="24">IF(U92&gt;=15,15,U92)</f>
        <v>15</v>
      </c>
      <c r="W92" s="99"/>
      <c r="X92" s="100"/>
      <c r="Y92" s="85"/>
      <c r="Z92" s="95"/>
      <c r="AA92" s="74"/>
      <c r="AB92" s="75">
        <f t="shared" ref="AB92:AB142" si="25">ROUND((((W92*I92)+(X92*J92)+(Y92*K92)+(Z92*L92)+(AA92*M92))/$I$2),2)*13</f>
        <v>0</v>
      </c>
      <c r="AC92" s="72">
        <f t="shared" ref="AC92:AC142" si="26">IF(AB92&gt;=13,13,AB92)</f>
        <v>0</v>
      </c>
      <c r="AD92" s="52">
        <v>2</v>
      </c>
      <c r="AE92" s="71">
        <f t="shared" ref="AE92:AE142" si="27">IF((AC92+AD92)&gt;=15,15,(AC92+AD92))</f>
        <v>2</v>
      </c>
      <c r="AF92" s="76"/>
      <c r="AG92" s="86"/>
      <c r="AH92" s="77">
        <f t="shared" ref="AH92:AH142" si="28">IF((V92+AE92+AF92)&gt;=30,30,(V92+AE92+AF92))</f>
        <v>17</v>
      </c>
      <c r="AI92" s="56">
        <v>10</v>
      </c>
      <c r="AJ92" s="56">
        <v>10</v>
      </c>
      <c r="AK92" s="56">
        <v>45</v>
      </c>
      <c r="AL92" s="57">
        <f t="shared" ref="AL92:AL142" si="29">V92+AE92+AF92+AI92+AJ92+AK92+AG92</f>
        <v>82</v>
      </c>
      <c r="AM92" s="55">
        <f t="shared" ref="AM92:AM142" si="30">IF(AH92+AI92+AJ92+AK92+AG92&gt;=95,95,AH92+AI92+AJ92+AK92+AG92)</f>
        <v>82</v>
      </c>
      <c r="AN92" s="78">
        <f t="shared" ref="AN92:AN142" si="31">-((50-((176+(45+(50-AH92)))))/200)</f>
        <v>1.02</v>
      </c>
      <c r="AO92" s="79"/>
      <c r="AP92" s="80">
        <f t="shared" si="21"/>
        <v>1</v>
      </c>
      <c r="AQ92" s="80">
        <f t="shared" si="21"/>
        <v>2</v>
      </c>
      <c r="AR92" s="61"/>
      <c r="AS92" s="62"/>
      <c r="AT92" s="81"/>
      <c r="AU92" s="81"/>
      <c r="AV92" s="81"/>
      <c r="AW92" s="81"/>
      <c r="AX92" s="82"/>
      <c r="AY92" s="83">
        <f t="shared" ref="AY92:AY142" si="32">AT92+AU92+AV92+AW92+AX92</f>
        <v>0</v>
      </c>
      <c r="AZ92" s="83">
        <f t="shared" si="22"/>
        <v>0</v>
      </c>
    </row>
    <row r="93" spans="1:52" s="66" customFormat="1" ht="39.75" customHeight="1" thickBot="1" x14ac:dyDescent="0.2">
      <c r="A93" s="101"/>
      <c r="B93" s="101"/>
      <c r="C93" s="101"/>
      <c r="D93" s="101"/>
      <c r="E93" s="101"/>
      <c r="F93" s="40"/>
      <c r="G93" s="90"/>
      <c r="H93" s="158"/>
      <c r="I93" s="92">
        <v>0.51</v>
      </c>
      <c r="J93" s="41">
        <v>0.49</v>
      </c>
      <c r="K93" s="41"/>
      <c r="L93" s="88"/>
      <c r="M93" s="68"/>
      <c r="N93" s="94">
        <f t="shared" si="19"/>
        <v>1</v>
      </c>
      <c r="O93" s="44">
        <v>1</v>
      </c>
      <c r="P93" s="45">
        <v>15</v>
      </c>
      <c r="Q93" s="46">
        <v>15</v>
      </c>
      <c r="R93" s="46"/>
      <c r="S93" s="46"/>
      <c r="T93" s="70"/>
      <c r="U93" s="71">
        <f t="shared" si="23"/>
        <v>15</v>
      </c>
      <c r="V93" s="72">
        <f t="shared" si="24"/>
        <v>15</v>
      </c>
      <c r="W93" s="99"/>
      <c r="X93" s="100"/>
      <c r="Y93" s="85"/>
      <c r="Z93" s="95"/>
      <c r="AA93" s="74"/>
      <c r="AB93" s="75">
        <f t="shared" si="25"/>
        <v>0</v>
      </c>
      <c r="AC93" s="72">
        <f t="shared" si="26"/>
        <v>0</v>
      </c>
      <c r="AD93" s="52">
        <v>2</v>
      </c>
      <c r="AE93" s="71">
        <f t="shared" si="27"/>
        <v>2</v>
      </c>
      <c r="AF93" s="76"/>
      <c r="AG93" s="86"/>
      <c r="AH93" s="77">
        <f t="shared" si="28"/>
        <v>17</v>
      </c>
      <c r="AI93" s="56">
        <v>10</v>
      </c>
      <c r="AJ93" s="56">
        <v>10</v>
      </c>
      <c r="AK93" s="56">
        <v>45</v>
      </c>
      <c r="AL93" s="57">
        <f t="shared" si="29"/>
        <v>82</v>
      </c>
      <c r="AM93" s="55">
        <f t="shared" si="30"/>
        <v>82</v>
      </c>
      <c r="AN93" s="78">
        <f t="shared" si="31"/>
        <v>1.02</v>
      </c>
      <c r="AO93" s="79"/>
      <c r="AP93" s="80">
        <f t="shared" si="21"/>
        <v>1</v>
      </c>
      <c r="AQ93" s="80">
        <f t="shared" si="21"/>
        <v>2</v>
      </c>
      <c r="AR93" s="61"/>
      <c r="AS93" s="62"/>
      <c r="AT93" s="81"/>
      <c r="AU93" s="81"/>
      <c r="AV93" s="81"/>
      <c r="AW93" s="81"/>
      <c r="AX93" s="82"/>
      <c r="AY93" s="83">
        <f t="shared" si="32"/>
        <v>0</v>
      </c>
      <c r="AZ93" s="83">
        <f t="shared" si="22"/>
        <v>0</v>
      </c>
    </row>
    <row r="94" spans="1:52" s="66" customFormat="1" ht="39.75" customHeight="1" thickBot="1" x14ac:dyDescent="0.2">
      <c r="A94" s="101"/>
      <c r="B94" s="101"/>
      <c r="C94" s="101"/>
      <c r="D94" s="101"/>
      <c r="E94" s="101"/>
      <c r="F94" s="40"/>
      <c r="G94" s="90"/>
      <c r="H94" s="158"/>
      <c r="I94" s="92">
        <v>0.51</v>
      </c>
      <c r="J94" s="41">
        <v>0.49</v>
      </c>
      <c r="K94" s="41"/>
      <c r="L94" s="88"/>
      <c r="M94" s="68"/>
      <c r="N94" s="94">
        <f t="shared" si="19"/>
        <v>1</v>
      </c>
      <c r="O94" s="44">
        <v>1</v>
      </c>
      <c r="P94" s="45">
        <v>15</v>
      </c>
      <c r="Q94" s="46">
        <v>15</v>
      </c>
      <c r="R94" s="46"/>
      <c r="S94" s="46"/>
      <c r="T94" s="70"/>
      <c r="U94" s="71">
        <f t="shared" si="23"/>
        <v>15</v>
      </c>
      <c r="V94" s="72">
        <f t="shared" si="24"/>
        <v>15</v>
      </c>
      <c r="W94" s="99"/>
      <c r="X94" s="100"/>
      <c r="Y94" s="85"/>
      <c r="Z94" s="95"/>
      <c r="AA94" s="74"/>
      <c r="AB94" s="75">
        <f t="shared" si="25"/>
        <v>0</v>
      </c>
      <c r="AC94" s="72">
        <f t="shared" si="26"/>
        <v>0</v>
      </c>
      <c r="AD94" s="52">
        <v>2</v>
      </c>
      <c r="AE94" s="71">
        <f t="shared" si="27"/>
        <v>2</v>
      </c>
      <c r="AF94" s="76"/>
      <c r="AG94" s="86"/>
      <c r="AH94" s="77">
        <f t="shared" si="28"/>
        <v>17</v>
      </c>
      <c r="AI94" s="56">
        <v>10</v>
      </c>
      <c r="AJ94" s="56">
        <v>10</v>
      </c>
      <c r="AK94" s="56">
        <v>45</v>
      </c>
      <c r="AL94" s="57">
        <f t="shared" si="29"/>
        <v>82</v>
      </c>
      <c r="AM94" s="55">
        <f t="shared" si="30"/>
        <v>82</v>
      </c>
      <c r="AN94" s="78">
        <f t="shared" si="31"/>
        <v>1.02</v>
      </c>
      <c r="AO94" s="79"/>
      <c r="AP94" s="80">
        <f t="shared" si="21"/>
        <v>1</v>
      </c>
      <c r="AQ94" s="80">
        <f t="shared" si="21"/>
        <v>2</v>
      </c>
      <c r="AR94" s="61"/>
      <c r="AS94" s="62"/>
      <c r="AT94" s="81"/>
      <c r="AU94" s="81"/>
      <c r="AV94" s="81"/>
      <c r="AW94" s="81"/>
      <c r="AX94" s="82"/>
      <c r="AY94" s="83">
        <f t="shared" si="32"/>
        <v>0</v>
      </c>
      <c r="AZ94" s="83">
        <f t="shared" si="22"/>
        <v>0</v>
      </c>
    </row>
    <row r="95" spans="1:52" s="66" customFormat="1" ht="39.75" customHeight="1" thickBot="1" x14ac:dyDescent="0.2">
      <c r="A95" s="101"/>
      <c r="B95" s="101"/>
      <c r="C95" s="101"/>
      <c r="D95" s="101"/>
      <c r="E95" s="101"/>
      <c r="F95" s="40"/>
      <c r="G95" s="90"/>
      <c r="H95" s="158"/>
      <c r="I95" s="92">
        <v>0.51</v>
      </c>
      <c r="J95" s="41">
        <v>0.49</v>
      </c>
      <c r="K95" s="41"/>
      <c r="L95" s="88"/>
      <c r="M95" s="68"/>
      <c r="N95" s="94">
        <f t="shared" si="19"/>
        <v>1</v>
      </c>
      <c r="O95" s="44">
        <v>1</v>
      </c>
      <c r="P95" s="45">
        <v>15</v>
      </c>
      <c r="Q95" s="46">
        <v>15</v>
      </c>
      <c r="R95" s="46"/>
      <c r="S95" s="46"/>
      <c r="T95" s="70"/>
      <c r="U95" s="71">
        <f t="shared" si="23"/>
        <v>15</v>
      </c>
      <c r="V95" s="72">
        <f t="shared" si="24"/>
        <v>15</v>
      </c>
      <c r="W95" s="99"/>
      <c r="X95" s="100"/>
      <c r="Y95" s="85"/>
      <c r="Z95" s="95"/>
      <c r="AA95" s="74"/>
      <c r="AB95" s="75">
        <f t="shared" si="25"/>
        <v>0</v>
      </c>
      <c r="AC95" s="72">
        <f t="shared" si="26"/>
        <v>0</v>
      </c>
      <c r="AD95" s="52">
        <v>2</v>
      </c>
      <c r="AE95" s="71">
        <f t="shared" si="27"/>
        <v>2</v>
      </c>
      <c r="AF95" s="76"/>
      <c r="AG95" s="86"/>
      <c r="AH95" s="77">
        <f t="shared" si="28"/>
        <v>17</v>
      </c>
      <c r="AI95" s="56">
        <v>10</v>
      </c>
      <c r="AJ95" s="56">
        <v>10</v>
      </c>
      <c r="AK95" s="56">
        <v>45</v>
      </c>
      <c r="AL95" s="57">
        <f t="shared" si="29"/>
        <v>82</v>
      </c>
      <c r="AM95" s="55">
        <f t="shared" si="30"/>
        <v>82</v>
      </c>
      <c r="AN95" s="78">
        <f t="shared" si="31"/>
        <v>1.02</v>
      </c>
      <c r="AO95" s="79"/>
      <c r="AP95" s="80">
        <f t="shared" ref="AP95:AQ114" si="33">100%+AO95</f>
        <v>1</v>
      </c>
      <c r="AQ95" s="80">
        <f t="shared" si="33"/>
        <v>2</v>
      </c>
      <c r="AR95" s="61"/>
      <c r="AS95" s="62"/>
      <c r="AT95" s="81"/>
      <c r="AU95" s="81"/>
      <c r="AV95" s="81"/>
      <c r="AW95" s="81"/>
      <c r="AX95" s="82"/>
      <c r="AY95" s="83">
        <f t="shared" si="32"/>
        <v>0</v>
      </c>
      <c r="AZ95" s="83">
        <f t="shared" si="22"/>
        <v>0</v>
      </c>
    </row>
    <row r="96" spans="1:52" s="66" customFormat="1" ht="39.75" customHeight="1" thickBot="1" x14ac:dyDescent="0.2">
      <c r="A96" s="101"/>
      <c r="B96" s="101"/>
      <c r="C96" s="101"/>
      <c r="D96" s="101"/>
      <c r="E96" s="101"/>
      <c r="F96" s="40"/>
      <c r="G96" s="90"/>
      <c r="H96" s="158"/>
      <c r="I96" s="92">
        <v>0.51</v>
      </c>
      <c r="J96" s="41">
        <v>0.49</v>
      </c>
      <c r="K96" s="41"/>
      <c r="L96" s="88"/>
      <c r="M96" s="68"/>
      <c r="N96" s="94">
        <f t="shared" si="19"/>
        <v>1</v>
      </c>
      <c r="O96" s="44">
        <v>1</v>
      </c>
      <c r="P96" s="45">
        <v>15</v>
      </c>
      <c r="Q96" s="46">
        <v>15</v>
      </c>
      <c r="R96" s="46"/>
      <c r="S96" s="46"/>
      <c r="T96" s="70"/>
      <c r="U96" s="71">
        <f t="shared" si="23"/>
        <v>15</v>
      </c>
      <c r="V96" s="72">
        <f t="shared" si="24"/>
        <v>15</v>
      </c>
      <c r="W96" s="99"/>
      <c r="X96" s="100"/>
      <c r="Y96" s="85"/>
      <c r="Z96" s="95"/>
      <c r="AA96" s="74"/>
      <c r="AB96" s="75">
        <f t="shared" si="25"/>
        <v>0</v>
      </c>
      <c r="AC96" s="72">
        <f t="shared" si="26"/>
        <v>0</v>
      </c>
      <c r="AD96" s="52">
        <v>2</v>
      </c>
      <c r="AE96" s="71">
        <f t="shared" si="27"/>
        <v>2</v>
      </c>
      <c r="AF96" s="76"/>
      <c r="AG96" s="86"/>
      <c r="AH96" s="77">
        <f t="shared" si="28"/>
        <v>17</v>
      </c>
      <c r="AI96" s="56">
        <v>10</v>
      </c>
      <c r="AJ96" s="56">
        <v>10</v>
      </c>
      <c r="AK96" s="56">
        <v>45</v>
      </c>
      <c r="AL96" s="57">
        <f t="shared" si="29"/>
        <v>82</v>
      </c>
      <c r="AM96" s="55">
        <f t="shared" si="30"/>
        <v>82</v>
      </c>
      <c r="AN96" s="78">
        <f t="shared" si="31"/>
        <v>1.02</v>
      </c>
      <c r="AO96" s="79"/>
      <c r="AP96" s="80">
        <f t="shared" si="33"/>
        <v>1</v>
      </c>
      <c r="AQ96" s="80">
        <f t="shared" si="33"/>
        <v>2</v>
      </c>
      <c r="AR96" s="61"/>
      <c r="AS96" s="62"/>
      <c r="AT96" s="81"/>
      <c r="AU96" s="81"/>
      <c r="AV96" s="81"/>
      <c r="AW96" s="81"/>
      <c r="AX96" s="82"/>
      <c r="AY96" s="83">
        <f t="shared" si="32"/>
        <v>0</v>
      </c>
      <c r="AZ96" s="83">
        <f t="shared" si="22"/>
        <v>0</v>
      </c>
    </row>
    <row r="97" spans="1:52" s="66" customFormat="1" ht="39.75" customHeight="1" thickBot="1" x14ac:dyDescent="0.2">
      <c r="A97" s="101"/>
      <c r="B97" s="101"/>
      <c r="C97" s="101"/>
      <c r="D97" s="101"/>
      <c r="E97" s="101"/>
      <c r="F97" s="40"/>
      <c r="G97" s="90"/>
      <c r="H97" s="158"/>
      <c r="I97" s="92">
        <v>0.51</v>
      </c>
      <c r="J97" s="41">
        <v>0.49</v>
      </c>
      <c r="K97" s="41"/>
      <c r="L97" s="88"/>
      <c r="M97" s="68"/>
      <c r="N97" s="94">
        <f t="shared" si="19"/>
        <v>1</v>
      </c>
      <c r="O97" s="44">
        <v>1</v>
      </c>
      <c r="P97" s="45">
        <v>15</v>
      </c>
      <c r="Q97" s="46">
        <v>15</v>
      </c>
      <c r="R97" s="46"/>
      <c r="S97" s="46"/>
      <c r="T97" s="70"/>
      <c r="U97" s="71">
        <f t="shared" si="23"/>
        <v>15</v>
      </c>
      <c r="V97" s="72">
        <f t="shared" si="24"/>
        <v>15</v>
      </c>
      <c r="W97" s="99"/>
      <c r="X97" s="100"/>
      <c r="Y97" s="85"/>
      <c r="Z97" s="73"/>
      <c r="AA97" s="74"/>
      <c r="AB97" s="75">
        <f t="shared" si="25"/>
        <v>0</v>
      </c>
      <c r="AC97" s="72">
        <f t="shared" si="26"/>
        <v>0</v>
      </c>
      <c r="AD97" s="52">
        <v>2</v>
      </c>
      <c r="AE97" s="71">
        <f t="shared" si="27"/>
        <v>2</v>
      </c>
      <c r="AF97" s="76"/>
      <c r="AG97" s="86"/>
      <c r="AH97" s="77">
        <f t="shared" si="28"/>
        <v>17</v>
      </c>
      <c r="AI97" s="56">
        <v>10</v>
      </c>
      <c r="AJ97" s="56">
        <v>10</v>
      </c>
      <c r="AK97" s="56">
        <v>45</v>
      </c>
      <c r="AL97" s="57">
        <f t="shared" si="29"/>
        <v>82</v>
      </c>
      <c r="AM97" s="55">
        <f t="shared" si="30"/>
        <v>82</v>
      </c>
      <c r="AN97" s="78">
        <f t="shared" si="31"/>
        <v>1.02</v>
      </c>
      <c r="AO97" s="79"/>
      <c r="AP97" s="80">
        <f t="shared" si="33"/>
        <v>1</v>
      </c>
      <c r="AQ97" s="80">
        <f t="shared" si="33"/>
        <v>2</v>
      </c>
      <c r="AR97" s="61"/>
      <c r="AS97" s="62"/>
      <c r="AT97" s="81"/>
      <c r="AU97" s="81"/>
      <c r="AV97" s="81"/>
      <c r="AW97" s="81"/>
      <c r="AX97" s="82"/>
      <c r="AY97" s="83">
        <f t="shared" si="32"/>
        <v>0</v>
      </c>
      <c r="AZ97" s="83">
        <f t="shared" si="22"/>
        <v>0</v>
      </c>
    </row>
    <row r="98" spans="1:52" s="66" customFormat="1" ht="39.75" customHeight="1" thickBot="1" x14ac:dyDescent="0.2">
      <c r="A98" s="101"/>
      <c r="B98" s="101"/>
      <c r="C98" s="101"/>
      <c r="D98" s="101"/>
      <c r="E98" s="101"/>
      <c r="F98" s="40"/>
      <c r="G98" s="90"/>
      <c r="H98" s="158"/>
      <c r="I98" s="92">
        <v>0.51</v>
      </c>
      <c r="J98" s="41">
        <v>0.49</v>
      </c>
      <c r="K98" s="41"/>
      <c r="L98" s="88"/>
      <c r="M98" s="68"/>
      <c r="N98" s="94">
        <f t="shared" si="19"/>
        <v>1</v>
      </c>
      <c r="O98" s="44">
        <v>1</v>
      </c>
      <c r="P98" s="45">
        <v>15</v>
      </c>
      <c r="Q98" s="46">
        <v>15</v>
      </c>
      <c r="R98" s="46"/>
      <c r="S98" s="46"/>
      <c r="T98" s="70"/>
      <c r="U98" s="71">
        <f t="shared" si="23"/>
        <v>15</v>
      </c>
      <c r="V98" s="72">
        <f t="shared" si="24"/>
        <v>15</v>
      </c>
      <c r="W98" s="99"/>
      <c r="X98" s="100"/>
      <c r="Y98" s="85"/>
      <c r="Z98" s="73"/>
      <c r="AA98" s="74"/>
      <c r="AB98" s="75">
        <f t="shared" si="25"/>
        <v>0</v>
      </c>
      <c r="AC98" s="72">
        <f t="shared" si="26"/>
        <v>0</v>
      </c>
      <c r="AD98" s="52">
        <v>2</v>
      </c>
      <c r="AE98" s="71">
        <f t="shared" si="27"/>
        <v>2</v>
      </c>
      <c r="AF98" s="76"/>
      <c r="AG98" s="86"/>
      <c r="AH98" s="77">
        <f t="shared" si="28"/>
        <v>17</v>
      </c>
      <c r="AI98" s="56">
        <v>10</v>
      </c>
      <c r="AJ98" s="56">
        <v>10</v>
      </c>
      <c r="AK98" s="56">
        <v>45</v>
      </c>
      <c r="AL98" s="57">
        <f t="shared" si="29"/>
        <v>82</v>
      </c>
      <c r="AM98" s="55">
        <f t="shared" si="30"/>
        <v>82</v>
      </c>
      <c r="AN98" s="78">
        <f t="shared" si="31"/>
        <v>1.02</v>
      </c>
      <c r="AO98" s="79"/>
      <c r="AP98" s="80">
        <f t="shared" si="33"/>
        <v>1</v>
      </c>
      <c r="AQ98" s="80">
        <f t="shared" si="33"/>
        <v>2</v>
      </c>
      <c r="AR98" s="61"/>
      <c r="AS98" s="62"/>
      <c r="AT98" s="81"/>
      <c r="AU98" s="81"/>
      <c r="AV98" s="81"/>
      <c r="AW98" s="81"/>
      <c r="AX98" s="82"/>
      <c r="AY98" s="83">
        <f t="shared" si="32"/>
        <v>0</v>
      </c>
      <c r="AZ98" s="83">
        <f t="shared" si="22"/>
        <v>0</v>
      </c>
    </row>
    <row r="99" spans="1:52" s="66" customFormat="1" ht="39.75" customHeight="1" thickBot="1" x14ac:dyDescent="0.2">
      <c r="A99" s="101"/>
      <c r="B99" s="101"/>
      <c r="C99" s="101"/>
      <c r="D99" s="101"/>
      <c r="E99" s="101"/>
      <c r="F99" s="40"/>
      <c r="G99" s="90"/>
      <c r="H99" s="158"/>
      <c r="I99" s="92">
        <v>0.51</v>
      </c>
      <c r="J99" s="41">
        <v>0.49</v>
      </c>
      <c r="K99" s="41"/>
      <c r="L99" s="88"/>
      <c r="M99" s="68"/>
      <c r="N99" s="94">
        <f t="shared" si="19"/>
        <v>1</v>
      </c>
      <c r="O99" s="44">
        <v>1</v>
      </c>
      <c r="P99" s="45">
        <v>15</v>
      </c>
      <c r="Q99" s="46">
        <v>15</v>
      </c>
      <c r="R99" s="46"/>
      <c r="S99" s="46"/>
      <c r="T99" s="70"/>
      <c r="U99" s="71">
        <f t="shared" si="23"/>
        <v>15</v>
      </c>
      <c r="V99" s="72">
        <f t="shared" si="24"/>
        <v>15</v>
      </c>
      <c r="W99" s="99"/>
      <c r="X99" s="100"/>
      <c r="Y99" s="85"/>
      <c r="Z99" s="73"/>
      <c r="AA99" s="74"/>
      <c r="AB99" s="75">
        <f t="shared" si="25"/>
        <v>0</v>
      </c>
      <c r="AC99" s="72">
        <f t="shared" si="26"/>
        <v>0</v>
      </c>
      <c r="AD99" s="52">
        <v>2</v>
      </c>
      <c r="AE99" s="71">
        <f t="shared" si="27"/>
        <v>2</v>
      </c>
      <c r="AF99" s="76"/>
      <c r="AG99" s="86"/>
      <c r="AH99" s="77">
        <f t="shared" si="28"/>
        <v>17</v>
      </c>
      <c r="AI99" s="56">
        <v>10</v>
      </c>
      <c r="AJ99" s="56">
        <v>10</v>
      </c>
      <c r="AK99" s="56">
        <v>45</v>
      </c>
      <c r="AL99" s="57">
        <f t="shared" si="29"/>
        <v>82</v>
      </c>
      <c r="AM99" s="55">
        <f t="shared" si="30"/>
        <v>82</v>
      </c>
      <c r="AN99" s="78">
        <f t="shared" si="31"/>
        <v>1.02</v>
      </c>
      <c r="AO99" s="79"/>
      <c r="AP99" s="80">
        <f t="shared" si="33"/>
        <v>1</v>
      </c>
      <c r="AQ99" s="80">
        <f t="shared" si="33"/>
        <v>2</v>
      </c>
      <c r="AR99" s="61"/>
      <c r="AS99" s="62"/>
      <c r="AT99" s="81"/>
      <c r="AU99" s="81"/>
      <c r="AV99" s="81"/>
      <c r="AW99" s="81"/>
      <c r="AX99" s="82"/>
      <c r="AY99" s="83">
        <f t="shared" si="32"/>
        <v>0</v>
      </c>
      <c r="AZ99" s="83">
        <f t="shared" si="22"/>
        <v>0</v>
      </c>
    </row>
    <row r="100" spans="1:52" s="66" customFormat="1" ht="39.75" customHeight="1" thickBot="1" x14ac:dyDescent="0.2">
      <c r="A100" s="101"/>
      <c r="B100" s="101"/>
      <c r="C100" s="101"/>
      <c r="D100" s="101"/>
      <c r="E100" s="101"/>
      <c r="F100" s="40"/>
      <c r="G100" s="90"/>
      <c r="H100" s="158"/>
      <c r="I100" s="92">
        <v>0.51</v>
      </c>
      <c r="J100" s="41">
        <v>0.49</v>
      </c>
      <c r="K100" s="41"/>
      <c r="L100" s="88"/>
      <c r="M100" s="68"/>
      <c r="N100" s="94">
        <f t="shared" si="19"/>
        <v>1</v>
      </c>
      <c r="O100" s="44">
        <v>1</v>
      </c>
      <c r="P100" s="45">
        <v>15</v>
      </c>
      <c r="Q100" s="46">
        <v>15</v>
      </c>
      <c r="R100" s="46"/>
      <c r="S100" s="46"/>
      <c r="T100" s="70"/>
      <c r="U100" s="71">
        <f t="shared" si="23"/>
        <v>15</v>
      </c>
      <c r="V100" s="72">
        <f t="shared" si="24"/>
        <v>15</v>
      </c>
      <c r="W100" s="99"/>
      <c r="X100" s="100"/>
      <c r="Y100" s="85"/>
      <c r="Z100" s="73"/>
      <c r="AA100" s="74"/>
      <c r="AB100" s="75">
        <f t="shared" si="25"/>
        <v>0</v>
      </c>
      <c r="AC100" s="72">
        <f t="shared" si="26"/>
        <v>0</v>
      </c>
      <c r="AD100" s="52">
        <v>2</v>
      </c>
      <c r="AE100" s="71">
        <f t="shared" si="27"/>
        <v>2</v>
      </c>
      <c r="AF100" s="76"/>
      <c r="AG100" s="86"/>
      <c r="AH100" s="77">
        <f t="shared" si="28"/>
        <v>17</v>
      </c>
      <c r="AI100" s="56">
        <v>10</v>
      </c>
      <c r="AJ100" s="56">
        <v>10</v>
      </c>
      <c r="AK100" s="56">
        <v>45</v>
      </c>
      <c r="AL100" s="57">
        <f t="shared" si="29"/>
        <v>82</v>
      </c>
      <c r="AM100" s="55">
        <f t="shared" si="30"/>
        <v>82</v>
      </c>
      <c r="AN100" s="78">
        <f t="shared" si="31"/>
        <v>1.02</v>
      </c>
      <c r="AO100" s="79"/>
      <c r="AP100" s="80">
        <f t="shared" si="33"/>
        <v>1</v>
      </c>
      <c r="AQ100" s="80">
        <f t="shared" si="33"/>
        <v>2</v>
      </c>
      <c r="AR100" s="61"/>
      <c r="AS100" s="62"/>
      <c r="AT100" s="81"/>
      <c r="AU100" s="81"/>
      <c r="AV100" s="81"/>
      <c r="AW100" s="81"/>
      <c r="AX100" s="82"/>
      <c r="AY100" s="83">
        <f t="shared" si="32"/>
        <v>0</v>
      </c>
      <c r="AZ100" s="83">
        <f t="shared" si="22"/>
        <v>0</v>
      </c>
    </row>
    <row r="101" spans="1:52" s="66" customFormat="1" ht="39.75" customHeight="1" thickBot="1" x14ac:dyDescent="0.2">
      <c r="A101" s="101"/>
      <c r="B101" s="101"/>
      <c r="C101" s="101"/>
      <c r="D101" s="101"/>
      <c r="E101" s="101"/>
      <c r="F101" s="40"/>
      <c r="G101" s="90"/>
      <c r="H101" s="158"/>
      <c r="I101" s="92">
        <v>0.51</v>
      </c>
      <c r="J101" s="41">
        <v>0.49</v>
      </c>
      <c r="K101" s="41"/>
      <c r="L101" s="88"/>
      <c r="M101" s="68"/>
      <c r="N101" s="94">
        <f t="shared" si="19"/>
        <v>1</v>
      </c>
      <c r="O101" s="44">
        <v>1</v>
      </c>
      <c r="P101" s="45">
        <v>15</v>
      </c>
      <c r="Q101" s="46">
        <v>15</v>
      </c>
      <c r="R101" s="46"/>
      <c r="S101" s="46"/>
      <c r="T101" s="70"/>
      <c r="U101" s="71">
        <f t="shared" si="23"/>
        <v>15</v>
      </c>
      <c r="V101" s="72">
        <f t="shared" si="24"/>
        <v>15</v>
      </c>
      <c r="W101" s="99"/>
      <c r="X101" s="100"/>
      <c r="Y101" s="85"/>
      <c r="Z101" s="73"/>
      <c r="AA101" s="74"/>
      <c r="AB101" s="75">
        <f t="shared" si="25"/>
        <v>0</v>
      </c>
      <c r="AC101" s="72">
        <f t="shared" si="26"/>
        <v>0</v>
      </c>
      <c r="AD101" s="52">
        <v>2</v>
      </c>
      <c r="AE101" s="71">
        <f t="shared" si="27"/>
        <v>2</v>
      </c>
      <c r="AF101" s="76"/>
      <c r="AG101" s="86"/>
      <c r="AH101" s="77">
        <f t="shared" si="28"/>
        <v>17</v>
      </c>
      <c r="AI101" s="56">
        <v>10</v>
      </c>
      <c r="AJ101" s="56">
        <v>10</v>
      </c>
      <c r="AK101" s="56">
        <v>45</v>
      </c>
      <c r="AL101" s="57">
        <f t="shared" si="29"/>
        <v>82</v>
      </c>
      <c r="AM101" s="55">
        <f t="shared" si="30"/>
        <v>82</v>
      </c>
      <c r="AN101" s="78">
        <f t="shared" si="31"/>
        <v>1.02</v>
      </c>
      <c r="AO101" s="79"/>
      <c r="AP101" s="80">
        <f t="shared" si="33"/>
        <v>1</v>
      </c>
      <c r="AQ101" s="80">
        <f t="shared" si="33"/>
        <v>2</v>
      </c>
      <c r="AR101" s="61"/>
      <c r="AS101" s="62"/>
      <c r="AT101" s="81"/>
      <c r="AU101" s="81"/>
      <c r="AV101" s="81"/>
      <c r="AW101" s="81"/>
      <c r="AX101" s="82"/>
      <c r="AY101" s="83">
        <f t="shared" si="32"/>
        <v>0</v>
      </c>
      <c r="AZ101" s="83">
        <f t="shared" si="22"/>
        <v>0</v>
      </c>
    </row>
    <row r="102" spans="1:52" s="66" customFormat="1" ht="39.75" customHeight="1" thickBot="1" x14ac:dyDescent="0.2">
      <c r="A102" s="101"/>
      <c r="B102" s="101"/>
      <c r="C102" s="101"/>
      <c r="D102" s="101"/>
      <c r="E102" s="101"/>
      <c r="F102" s="40"/>
      <c r="G102" s="90"/>
      <c r="H102" s="158"/>
      <c r="I102" s="92">
        <v>0.51</v>
      </c>
      <c r="J102" s="41">
        <v>0.49</v>
      </c>
      <c r="K102" s="41"/>
      <c r="L102" s="88"/>
      <c r="M102" s="68"/>
      <c r="N102" s="94">
        <f t="shared" si="19"/>
        <v>1</v>
      </c>
      <c r="O102" s="44">
        <v>1</v>
      </c>
      <c r="P102" s="45">
        <v>15</v>
      </c>
      <c r="Q102" s="46">
        <v>15</v>
      </c>
      <c r="R102" s="46"/>
      <c r="S102" s="46"/>
      <c r="T102" s="70"/>
      <c r="U102" s="71">
        <f t="shared" si="23"/>
        <v>15</v>
      </c>
      <c r="V102" s="72">
        <f t="shared" si="24"/>
        <v>15</v>
      </c>
      <c r="W102" s="99"/>
      <c r="X102" s="100"/>
      <c r="Y102" s="85"/>
      <c r="Z102" s="73"/>
      <c r="AA102" s="74"/>
      <c r="AB102" s="75">
        <f t="shared" si="25"/>
        <v>0</v>
      </c>
      <c r="AC102" s="72">
        <f t="shared" si="26"/>
        <v>0</v>
      </c>
      <c r="AD102" s="52">
        <v>2</v>
      </c>
      <c r="AE102" s="71">
        <f t="shared" si="27"/>
        <v>2</v>
      </c>
      <c r="AF102" s="76"/>
      <c r="AG102" s="86"/>
      <c r="AH102" s="77">
        <f t="shared" si="28"/>
        <v>17</v>
      </c>
      <c r="AI102" s="56">
        <v>10</v>
      </c>
      <c r="AJ102" s="56">
        <v>10</v>
      </c>
      <c r="AK102" s="56">
        <v>45</v>
      </c>
      <c r="AL102" s="57">
        <f t="shared" si="29"/>
        <v>82</v>
      </c>
      <c r="AM102" s="55">
        <f t="shared" si="30"/>
        <v>82</v>
      </c>
      <c r="AN102" s="78">
        <f t="shared" si="31"/>
        <v>1.02</v>
      </c>
      <c r="AO102" s="79"/>
      <c r="AP102" s="80">
        <f t="shared" si="33"/>
        <v>1</v>
      </c>
      <c r="AQ102" s="80">
        <f t="shared" si="33"/>
        <v>2</v>
      </c>
      <c r="AR102" s="61"/>
      <c r="AS102" s="62"/>
      <c r="AT102" s="81"/>
      <c r="AU102" s="81"/>
      <c r="AV102" s="81"/>
      <c r="AW102" s="81"/>
      <c r="AX102" s="82"/>
      <c r="AY102" s="83">
        <f t="shared" si="32"/>
        <v>0</v>
      </c>
      <c r="AZ102" s="83">
        <f t="shared" si="22"/>
        <v>0</v>
      </c>
    </row>
    <row r="103" spans="1:52" s="66" customFormat="1" ht="39.75" customHeight="1" thickBot="1" x14ac:dyDescent="0.2">
      <c r="A103" s="101"/>
      <c r="B103" s="101"/>
      <c r="C103" s="101"/>
      <c r="D103" s="101"/>
      <c r="E103" s="101"/>
      <c r="F103" s="40"/>
      <c r="G103" s="90"/>
      <c r="H103" s="158"/>
      <c r="I103" s="92">
        <v>0.51</v>
      </c>
      <c r="J103" s="41">
        <v>0.49</v>
      </c>
      <c r="K103" s="41"/>
      <c r="L103" s="88"/>
      <c r="M103" s="68"/>
      <c r="N103" s="94">
        <f t="shared" si="19"/>
        <v>1</v>
      </c>
      <c r="O103" s="44">
        <v>1</v>
      </c>
      <c r="P103" s="45">
        <v>15</v>
      </c>
      <c r="Q103" s="46">
        <v>15</v>
      </c>
      <c r="R103" s="46"/>
      <c r="S103" s="46"/>
      <c r="T103" s="70"/>
      <c r="U103" s="71">
        <f t="shared" si="23"/>
        <v>15</v>
      </c>
      <c r="V103" s="72">
        <f t="shared" si="24"/>
        <v>15</v>
      </c>
      <c r="W103" s="99"/>
      <c r="X103" s="100"/>
      <c r="Y103" s="85"/>
      <c r="Z103" s="73"/>
      <c r="AA103" s="74"/>
      <c r="AB103" s="75">
        <f t="shared" si="25"/>
        <v>0</v>
      </c>
      <c r="AC103" s="72">
        <f t="shared" si="26"/>
        <v>0</v>
      </c>
      <c r="AD103" s="52">
        <v>2</v>
      </c>
      <c r="AE103" s="71">
        <f t="shared" si="27"/>
        <v>2</v>
      </c>
      <c r="AF103" s="76"/>
      <c r="AG103" s="86"/>
      <c r="AH103" s="77">
        <f t="shared" si="28"/>
        <v>17</v>
      </c>
      <c r="AI103" s="56">
        <v>10</v>
      </c>
      <c r="AJ103" s="56">
        <v>10</v>
      </c>
      <c r="AK103" s="56">
        <v>45</v>
      </c>
      <c r="AL103" s="57">
        <f t="shared" si="29"/>
        <v>82</v>
      </c>
      <c r="AM103" s="55">
        <f t="shared" si="30"/>
        <v>82</v>
      </c>
      <c r="AN103" s="78">
        <f t="shared" si="31"/>
        <v>1.02</v>
      </c>
      <c r="AO103" s="79"/>
      <c r="AP103" s="80">
        <f t="shared" si="33"/>
        <v>1</v>
      </c>
      <c r="AQ103" s="80">
        <f t="shared" si="33"/>
        <v>2</v>
      </c>
      <c r="AR103" s="61"/>
      <c r="AS103" s="62"/>
      <c r="AT103" s="81"/>
      <c r="AU103" s="81"/>
      <c r="AV103" s="81"/>
      <c r="AW103" s="81"/>
      <c r="AX103" s="82"/>
      <c r="AY103" s="83">
        <f t="shared" si="32"/>
        <v>0</v>
      </c>
      <c r="AZ103" s="83">
        <f t="shared" si="22"/>
        <v>0</v>
      </c>
    </row>
    <row r="104" spans="1:52" s="23" customFormat="1" ht="39.75" customHeight="1" thickBot="1" x14ac:dyDescent="0.2">
      <c r="A104" s="101"/>
      <c r="B104" s="101"/>
      <c r="C104" s="101"/>
      <c r="D104" s="101"/>
      <c r="E104" s="101"/>
      <c r="F104" s="40"/>
      <c r="G104" s="90"/>
      <c r="H104" s="158"/>
      <c r="I104" s="92">
        <v>0.51</v>
      </c>
      <c r="J104" s="41">
        <v>0.49</v>
      </c>
      <c r="K104" s="41"/>
      <c r="L104" s="88"/>
      <c r="M104" s="68"/>
      <c r="N104" s="94">
        <f t="shared" si="19"/>
        <v>1</v>
      </c>
      <c r="O104" s="44">
        <v>1</v>
      </c>
      <c r="P104" s="45">
        <v>15</v>
      </c>
      <c r="Q104" s="46">
        <v>15</v>
      </c>
      <c r="R104" s="46"/>
      <c r="S104" s="46"/>
      <c r="T104" s="70"/>
      <c r="U104" s="71">
        <f t="shared" si="23"/>
        <v>15</v>
      </c>
      <c r="V104" s="72">
        <f t="shared" si="24"/>
        <v>15</v>
      </c>
      <c r="W104" s="99"/>
      <c r="X104" s="100"/>
      <c r="Y104" s="85"/>
      <c r="Z104" s="73"/>
      <c r="AA104" s="74"/>
      <c r="AB104" s="75">
        <f t="shared" si="25"/>
        <v>0</v>
      </c>
      <c r="AC104" s="72">
        <f t="shared" si="26"/>
        <v>0</v>
      </c>
      <c r="AD104" s="52">
        <v>2</v>
      </c>
      <c r="AE104" s="71">
        <f t="shared" si="27"/>
        <v>2</v>
      </c>
      <c r="AF104" s="76"/>
      <c r="AG104" s="86"/>
      <c r="AH104" s="77">
        <f t="shared" si="28"/>
        <v>17</v>
      </c>
      <c r="AI104" s="56">
        <v>10</v>
      </c>
      <c r="AJ104" s="56">
        <v>10</v>
      </c>
      <c r="AK104" s="56">
        <v>45</v>
      </c>
      <c r="AL104" s="57">
        <f t="shared" si="29"/>
        <v>82</v>
      </c>
      <c r="AM104" s="55">
        <f t="shared" si="30"/>
        <v>82</v>
      </c>
      <c r="AN104" s="78">
        <f t="shared" si="31"/>
        <v>1.02</v>
      </c>
      <c r="AO104" s="79"/>
      <c r="AP104" s="80">
        <f t="shared" si="33"/>
        <v>1</v>
      </c>
      <c r="AQ104" s="80">
        <f t="shared" si="33"/>
        <v>2</v>
      </c>
      <c r="AR104" s="61"/>
      <c r="AS104" s="62"/>
      <c r="AT104" s="81"/>
      <c r="AU104" s="81"/>
      <c r="AV104" s="81"/>
      <c r="AW104" s="81"/>
      <c r="AX104" s="82"/>
      <c r="AY104" s="83">
        <f t="shared" si="32"/>
        <v>0</v>
      </c>
      <c r="AZ104" s="83">
        <f t="shared" si="22"/>
        <v>0</v>
      </c>
    </row>
    <row r="105" spans="1:52" s="66" customFormat="1" ht="39.75" customHeight="1" thickBot="1" x14ac:dyDescent="0.2">
      <c r="A105" s="101"/>
      <c r="B105" s="101"/>
      <c r="C105" s="101"/>
      <c r="D105" s="101"/>
      <c r="E105" s="101"/>
      <c r="F105" s="40"/>
      <c r="G105" s="90"/>
      <c r="H105" s="158"/>
      <c r="I105" s="92">
        <v>0.51</v>
      </c>
      <c r="J105" s="41">
        <v>0.49</v>
      </c>
      <c r="K105" s="41"/>
      <c r="L105" s="88"/>
      <c r="M105" s="68"/>
      <c r="N105" s="94">
        <f t="shared" si="19"/>
        <v>1</v>
      </c>
      <c r="O105" s="44">
        <v>1</v>
      </c>
      <c r="P105" s="45">
        <v>15</v>
      </c>
      <c r="Q105" s="46">
        <v>15</v>
      </c>
      <c r="R105" s="46"/>
      <c r="S105" s="46"/>
      <c r="T105" s="70"/>
      <c r="U105" s="71">
        <f t="shared" si="23"/>
        <v>15</v>
      </c>
      <c r="V105" s="72">
        <f t="shared" si="24"/>
        <v>15</v>
      </c>
      <c r="W105" s="99"/>
      <c r="X105" s="100"/>
      <c r="Y105" s="85"/>
      <c r="Z105" s="73"/>
      <c r="AA105" s="74"/>
      <c r="AB105" s="75">
        <f t="shared" si="25"/>
        <v>0</v>
      </c>
      <c r="AC105" s="72">
        <f t="shared" si="26"/>
        <v>0</v>
      </c>
      <c r="AD105" s="52">
        <v>2</v>
      </c>
      <c r="AE105" s="71">
        <f t="shared" si="27"/>
        <v>2</v>
      </c>
      <c r="AF105" s="76"/>
      <c r="AG105" s="86"/>
      <c r="AH105" s="77">
        <f t="shared" si="28"/>
        <v>17</v>
      </c>
      <c r="AI105" s="56">
        <v>10</v>
      </c>
      <c r="AJ105" s="56">
        <v>10</v>
      </c>
      <c r="AK105" s="56">
        <v>45</v>
      </c>
      <c r="AL105" s="57">
        <f t="shared" si="29"/>
        <v>82</v>
      </c>
      <c r="AM105" s="55">
        <f t="shared" si="30"/>
        <v>82</v>
      </c>
      <c r="AN105" s="78">
        <f t="shared" si="31"/>
        <v>1.02</v>
      </c>
      <c r="AO105" s="79"/>
      <c r="AP105" s="80">
        <f t="shared" si="33"/>
        <v>1</v>
      </c>
      <c r="AQ105" s="80">
        <f t="shared" si="33"/>
        <v>2</v>
      </c>
      <c r="AR105" s="61"/>
      <c r="AS105" s="62"/>
      <c r="AT105" s="81"/>
      <c r="AU105" s="81"/>
      <c r="AV105" s="81"/>
      <c r="AW105" s="81"/>
      <c r="AX105" s="82"/>
      <c r="AY105" s="83">
        <f t="shared" si="32"/>
        <v>0</v>
      </c>
      <c r="AZ105" s="83">
        <f t="shared" si="22"/>
        <v>0</v>
      </c>
    </row>
    <row r="106" spans="1:52" s="66" customFormat="1" ht="39.75" customHeight="1" thickBot="1" x14ac:dyDescent="0.2">
      <c r="A106" s="101"/>
      <c r="B106" s="101"/>
      <c r="C106" s="101"/>
      <c r="D106" s="101"/>
      <c r="E106" s="101"/>
      <c r="F106" s="40"/>
      <c r="G106" s="90"/>
      <c r="H106" s="158"/>
      <c r="I106" s="92">
        <v>0.51</v>
      </c>
      <c r="J106" s="41">
        <v>0.49</v>
      </c>
      <c r="K106" s="41"/>
      <c r="L106" s="88"/>
      <c r="M106" s="68"/>
      <c r="N106" s="94">
        <f t="shared" si="19"/>
        <v>1</v>
      </c>
      <c r="O106" s="44">
        <v>1</v>
      </c>
      <c r="P106" s="45">
        <v>15</v>
      </c>
      <c r="Q106" s="46">
        <v>15</v>
      </c>
      <c r="R106" s="46"/>
      <c r="S106" s="46"/>
      <c r="T106" s="70"/>
      <c r="U106" s="71">
        <f t="shared" si="23"/>
        <v>15</v>
      </c>
      <c r="V106" s="72">
        <f t="shared" si="24"/>
        <v>15</v>
      </c>
      <c r="W106" s="99"/>
      <c r="X106" s="100"/>
      <c r="Y106" s="85"/>
      <c r="Z106" s="73"/>
      <c r="AA106" s="74"/>
      <c r="AB106" s="75">
        <f t="shared" si="25"/>
        <v>0</v>
      </c>
      <c r="AC106" s="72">
        <f t="shared" si="26"/>
        <v>0</v>
      </c>
      <c r="AD106" s="52">
        <v>2</v>
      </c>
      <c r="AE106" s="71">
        <f t="shared" si="27"/>
        <v>2</v>
      </c>
      <c r="AF106" s="76"/>
      <c r="AG106" s="86"/>
      <c r="AH106" s="77">
        <f t="shared" si="28"/>
        <v>17</v>
      </c>
      <c r="AI106" s="56">
        <v>10</v>
      </c>
      <c r="AJ106" s="56">
        <v>10</v>
      </c>
      <c r="AK106" s="56">
        <v>45</v>
      </c>
      <c r="AL106" s="57">
        <f t="shared" si="29"/>
        <v>82</v>
      </c>
      <c r="AM106" s="55">
        <f t="shared" si="30"/>
        <v>82</v>
      </c>
      <c r="AN106" s="78">
        <f t="shared" si="31"/>
        <v>1.02</v>
      </c>
      <c r="AO106" s="79"/>
      <c r="AP106" s="80">
        <f t="shared" si="33"/>
        <v>1</v>
      </c>
      <c r="AQ106" s="80">
        <f t="shared" si="33"/>
        <v>2</v>
      </c>
      <c r="AR106" s="61"/>
      <c r="AS106" s="62"/>
      <c r="AT106" s="81"/>
      <c r="AU106" s="81"/>
      <c r="AV106" s="81"/>
      <c r="AW106" s="81"/>
      <c r="AX106" s="82"/>
      <c r="AY106" s="83">
        <f t="shared" si="32"/>
        <v>0</v>
      </c>
      <c r="AZ106" s="83">
        <f t="shared" si="22"/>
        <v>0</v>
      </c>
    </row>
    <row r="107" spans="1:52" s="66" customFormat="1" ht="39.75" customHeight="1" thickBot="1" x14ac:dyDescent="0.2">
      <c r="A107" s="101"/>
      <c r="B107" s="101"/>
      <c r="C107" s="101"/>
      <c r="D107" s="101"/>
      <c r="E107" s="101"/>
      <c r="F107" s="40"/>
      <c r="G107" s="90"/>
      <c r="H107" s="158"/>
      <c r="I107" s="92">
        <v>0.51</v>
      </c>
      <c r="J107" s="41">
        <v>0.49</v>
      </c>
      <c r="K107" s="41"/>
      <c r="L107" s="88"/>
      <c r="M107" s="68"/>
      <c r="N107" s="94">
        <f t="shared" si="19"/>
        <v>1</v>
      </c>
      <c r="O107" s="44">
        <v>1</v>
      </c>
      <c r="P107" s="45">
        <v>15</v>
      </c>
      <c r="Q107" s="46">
        <v>15</v>
      </c>
      <c r="R107" s="46"/>
      <c r="S107" s="46"/>
      <c r="T107" s="70"/>
      <c r="U107" s="71">
        <f t="shared" si="23"/>
        <v>15</v>
      </c>
      <c r="V107" s="72">
        <f t="shared" si="24"/>
        <v>15</v>
      </c>
      <c r="W107" s="99"/>
      <c r="X107" s="100"/>
      <c r="Y107" s="85"/>
      <c r="Z107" s="73"/>
      <c r="AA107" s="74"/>
      <c r="AB107" s="75">
        <f t="shared" si="25"/>
        <v>0</v>
      </c>
      <c r="AC107" s="72">
        <f t="shared" si="26"/>
        <v>0</v>
      </c>
      <c r="AD107" s="52">
        <v>2</v>
      </c>
      <c r="AE107" s="71">
        <f t="shared" si="27"/>
        <v>2</v>
      </c>
      <c r="AF107" s="76"/>
      <c r="AG107" s="86"/>
      <c r="AH107" s="77">
        <f t="shared" si="28"/>
        <v>17</v>
      </c>
      <c r="AI107" s="56">
        <v>10</v>
      </c>
      <c r="AJ107" s="56">
        <v>10</v>
      </c>
      <c r="AK107" s="56">
        <v>45</v>
      </c>
      <c r="AL107" s="57">
        <f t="shared" si="29"/>
        <v>82</v>
      </c>
      <c r="AM107" s="55">
        <f t="shared" si="30"/>
        <v>82</v>
      </c>
      <c r="AN107" s="78">
        <f t="shared" si="31"/>
        <v>1.02</v>
      </c>
      <c r="AO107" s="79"/>
      <c r="AP107" s="80">
        <f t="shared" si="33"/>
        <v>1</v>
      </c>
      <c r="AQ107" s="80">
        <f t="shared" si="33"/>
        <v>2</v>
      </c>
      <c r="AR107" s="61"/>
      <c r="AS107" s="62"/>
      <c r="AT107" s="81"/>
      <c r="AU107" s="81"/>
      <c r="AV107" s="81"/>
      <c r="AW107" s="81"/>
      <c r="AX107" s="82"/>
      <c r="AY107" s="83">
        <f t="shared" si="32"/>
        <v>0</v>
      </c>
      <c r="AZ107" s="83">
        <f t="shared" si="22"/>
        <v>0</v>
      </c>
    </row>
    <row r="108" spans="1:52" s="66" customFormat="1" ht="39.75" customHeight="1" thickBot="1" x14ac:dyDescent="0.2">
      <c r="A108" s="101"/>
      <c r="B108" s="101"/>
      <c r="C108" s="101"/>
      <c r="D108" s="101"/>
      <c r="E108" s="101"/>
      <c r="F108" s="40"/>
      <c r="G108" s="90"/>
      <c r="H108" s="158"/>
      <c r="I108" s="92">
        <v>0.51</v>
      </c>
      <c r="J108" s="41">
        <v>0.49</v>
      </c>
      <c r="K108" s="41"/>
      <c r="L108" s="88"/>
      <c r="M108" s="68"/>
      <c r="N108" s="94">
        <f t="shared" si="19"/>
        <v>1</v>
      </c>
      <c r="O108" s="44">
        <v>1</v>
      </c>
      <c r="P108" s="45">
        <v>15</v>
      </c>
      <c r="Q108" s="46">
        <v>15</v>
      </c>
      <c r="R108" s="46"/>
      <c r="S108" s="46"/>
      <c r="T108" s="70"/>
      <c r="U108" s="71">
        <f t="shared" si="23"/>
        <v>15</v>
      </c>
      <c r="V108" s="72">
        <f t="shared" si="24"/>
        <v>15</v>
      </c>
      <c r="W108" s="99"/>
      <c r="X108" s="100"/>
      <c r="Y108" s="85"/>
      <c r="Z108" s="73"/>
      <c r="AA108" s="74"/>
      <c r="AB108" s="75">
        <f t="shared" si="25"/>
        <v>0</v>
      </c>
      <c r="AC108" s="72">
        <f t="shared" si="26"/>
        <v>0</v>
      </c>
      <c r="AD108" s="52">
        <v>2</v>
      </c>
      <c r="AE108" s="71">
        <f t="shared" si="27"/>
        <v>2</v>
      </c>
      <c r="AF108" s="76"/>
      <c r="AG108" s="86"/>
      <c r="AH108" s="77">
        <f t="shared" si="28"/>
        <v>17</v>
      </c>
      <c r="AI108" s="56">
        <v>10</v>
      </c>
      <c r="AJ108" s="56">
        <v>10</v>
      </c>
      <c r="AK108" s="56">
        <v>45</v>
      </c>
      <c r="AL108" s="57">
        <f t="shared" si="29"/>
        <v>82</v>
      </c>
      <c r="AM108" s="55">
        <f t="shared" si="30"/>
        <v>82</v>
      </c>
      <c r="AN108" s="78">
        <f t="shared" si="31"/>
        <v>1.02</v>
      </c>
      <c r="AO108" s="79"/>
      <c r="AP108" s="80">
        <f t="shared" si="33"/>
        <v>1</v>
      </c>
      <c r="AQ108" s="80">
        <f t="shared" si="33"/>
        <v>2</v>
      </c>
      <c r="AR108" s="61"/>
      <c r="AS108" s="62"/>
      <c r="AT108" s="81"/>
      <c r="AU108" s="81"/>
      <c r="AV108" s="81"/>
      <c r="AW108" s="81"/>
      <c r="AX108" s="82"/>
      <c r="AY108" s="83">
        <f t="shared" si="32"/>
        <v>0</v>
      </c>
      <c r="AZ108" s="83">
        <f t="shared" si="22"/>
        <v>0</v>
      </c>
    </row>
    <row r="109" spans="1:52" s="66" customFormat="1" ht="39.75" customHeight="1" thickBot="1" x14ac:dyDescent="0.2">
      <c r="A109" s="101"/>
      <c r="B109" s="101"/>
      <c r="C109" s="101"/>
      <c r="D109" s="101"/>
      <c r="E109" s="101"/>
      <c r="F109" s="40"/>
      <c r="G109" s="90"/>
      <c r="H109" s="158"/>
      <c r="I109" s="92">
        <v>0.51</v>
      </c>
      <c r="J109" s="41">
        <v>0.49</v>
      </c>
      <c r="K109" s="41"/>
      <c r="L109" s="88"/>
      <c r="M109" s="68"/>
      <c r="N109" s="94">
        <f t="shared" si="19"/>
        <v>1</v>
      </c>
      <c r="O109" s="44">
        <v>1</v>
      </c>
      <c r="P109" s="45">
        <v>15</v>
      </c>
      <c r="Q109" s="46">
        <v>15</v>
      </c>
      <c r="R109" s="46"/>
      <c r="S109" s="46"/>
      <c r="T109" s="70"/>
      <c r="U109" s="71">
        <f t="shared" si="23"/>
        <v>15</v>
      </c>
      <c r="V109" s="72">
        <f t="shared" si="24"/>
        <v>15</v>
      </c>
      <c r="W109" s="99"/>
      <c r="X109" s="100"/>
      <c r="Y109" s="85"/>
      <c r="Z109" s="73"/>
      <c r="AA109" s="74"/>
      <c r="AB109" s="75">
        <f t="shared" si="25"/>
        <v>0</v>
      </c>
      <c r="AC109" s="72">
        <f t="shared" si="26"/>
        <v>0</v>
      </c>
      <c r="AD109" s="52">
        <v>2</v>
      </c>
      <c r="AE109" s="71">
        <f t="shared" si="27"/>
        <v>2</v>
      </c>
      <c r="AF109" s="76"/>
      <c r="AG109" s="86"/>
      <c r="AH109" s="77">
        <f t="shared" si="28"/>
        <v>17</v>
      </c>
      <c r="AI109" s="56">
        <v>10</v>
      </c>
      <c r="AJ109" s="56">
        <v>10</v>
      </c>
      <c r="AK109" s="56">
        <v>45</v>
      </c>
      <c r="AL109" s="57">
        <f t="shared" si="29"/>
        <v>82</v>
      </c>
      <c r="AM109" s="55">
        <f t="shared" si="30"/>
        <v>82</v>
      </c>
      <c r="AN109" s="78">
        <f t="shared" si="31"/>
        <v>1.02</v>
      </c>
      <c r="AO109" s="79"/>
      <c r="AP109" s="80">
        <f t="shared" si="33"/>
        <v>1</v>
      </c>
      <c r="AQ109" s="80">
        <f t="shared" si="33"/>
        <v>2</v>
      </c>
      <c r="AR109" s="61"/>
      <c r="AS109" s="62"/>
      <c r="AT109" s="81"/>
      <c r="AU109" s="81"/>
      <c r="AV109" s="81"/>
      <c r="AW109" s="81"/>
      <c r="AX109" s="82"/>
      <c r="AY109" s="83">
        <f t="shared" si="32"/>
        <v>0</v>
      </c>
      <c r="AZ109" s="83">
        <f t="shared" si="22"/>
        <v>0</v>
      </c>
    </row>
    <row r="110" spans="1:52" s="66" customFormat="1" ht="39.75" customHeight="1" thickBot="1" x14ac:dyDescent="0.2">
      <c r="A110" s="101"/>
      <c r="B110" s="101"/>
      <c r="C110" s="101"/>
      <c r="D110" s="101"/>
      <c r="E110" s="101"/>
      <c r="F110" s="40"/>
      <c r="G110" s="90"/>
      <c r="H110" s="158"/>
      <c r="I110" s="92">
        <v>0.51</v>
      </c>
      <c r="J110" s="41">
        <v>0.49</v>
      </c>
      <c r="K110" s="41"/>
      <c r="L110" s="88"/>
      <c r="M110" s="68"/>
      <c r="N110" s="94">
        <f t="shared" si="19"/>
        <v>1</v>
      </c>
      <c r="O110" s="44">
        <v>1</v>
      </c>
      <c r="P110" s="45">
        <v>15</v>
      </c>
      <c r="Q110" s="46">
        <v>15</v>
      </c>
      <c r="R110" s="46"/>
      <c r="S110" s="46"/>
      <c r="T110" s="70"/>
      <c r="U110" s="71">
        <f t="shared" si="23"/>
        <v>15</v>
      </c>
      <c r="V110" s="72">
        <f t="shared" si="24"/>
        <v>15</v>
      </c>
      <c r="W110" s="99"/>
      <c r="X110" s="100"/>
      <c r="Y110" s="85"/>
      <c r="Z110" s="73"/>
      <c r="AA110" s="74"/>
      <c r="AB110" s="75">
        <f t="shared" si="25"/>
        <v>0</v>
      </c>
      <c r="AC110" s="72">
        <f t="shared" si="26"/>
        <v>0</v>
      </c>
      <c r="AD110" s="52">
        <v>2</v>
      </c>
      <c r="AE110" s="71">
        <f t="shared" si="27"/>
        <v>2</v>
      </c>
      <c r="AF110" s="76"/>
      <c r="AG110" s="86"/>
      <c r="AH110" s="77">
        <f t="shared" si="28"/>
        <v>17</v>
      </c>
      <c r="AI110" s="56">
        <v>10</v>
      </c>
      <c r="AJ110" s="56">
        <v>10</v>
      </c>
      <c r="AK110" s="56">
        <v>45</v>
      </c>
      <c r="AL110" s="57">
        <f t="shared" si="29"/>
        <v>82</v>
      </c>
      <c r="AM110" s="55">
        <f t="shared" si="30"/>
        <v>82</v>
      </c>
      <c r="AN110" s="78">
        <f t="shared" si="31"/>
        <v>1.02</v>
      </c>
      <c r="AO110" s="79"/>
      <c r="AP110" s="80">
        <f t="shared" si="33"/>
        <v>1</v>
      </c>
      <c r="AQ110" s="80">
        <f t="shared" si="33"/>
        <v>2</v>
      </c>
      <c r="AR110" s="61"/>
      <c r="AS110" s="62"/>
      <c r="AT110" s="81"/>
      <c r="AU110" s="81"/>
      <c r="AV110" s="81"/>
      <c r="AW110" s="81"/>
      <c r="AX110" s="82"/>
      <c r="AY110" s="83">
        <f t="shared" si="32"/>
        <v>0</v>
      </c>
      <c r="AZ110" s="83">
        <f t="shared" si="22"/>
        <v>0</v>
      </c>
    </row>
    <row r="111" spans="1:52" s="66" customFormat="1" ht="39.75" customHeight="1" thickBot="1" x14ac:dyDescent="0.2">
      <c r="A111" s="101"/>
      <c r="B111" s="101"/>
      <c r="C111" s="101"/>
      <c r="D111" s="101"/>
      <c r="E111" s="101"/>
      <c r="F111" s="101"/>
      <c r="G111" s="90"/>
      <c r="H111" s="158"/>
      <c r="I111" s="92">
        <v>0.51</v>
      </c>
      <c r="J111" s="41">
        <v>0.49</v>
      </c>
      <c r="K111" s="41"/>
      <c r="L111" s="88"/>
      <c r="M111" s="68"/>
      <c r="N111" s="94">
        <f t="shared" si="19"/>
        <v>1</v>
      </c>
      <c r="O111" s="44">
        <v>1</v>
      </c>
      <c r="P111" s="45">
        <v>15</v>
      </c>
      <c r="Q111" s="46">
        <v>15</v>
      </c>
      <c r="R111" s="46"/>
      <c r="S111" s="46"/>
      <c r="T111" s="70"/>
      <c r="U111" s="71">
        <f t="shared" si="23"/>
        <v>15</v>
      </c>
      <c r="V111" s="72">
        <f t="shared" si="24"/>
        <v>15</v>
      </c>
      <c r="W111" s="99"/>
      <c r="X111" s="100"/>
      <c r="Y111" s="85"/>
      <c r="Z111" s="73"/>
      <c r="AA111" s="74"/>
      <c r="AB111" s="75">
        <f t="shared" si="25"/>
        <v>0</v>
      </c>
      <c r="AC111" s="72">
        <f t="shared" si="26"/>
        <v>0</v>
      </c>
      <c r="AD111" s="52">
        <v>2</v>
      </c>
      <c r="AE111" s="71">
        <f t="shared" si="27"/>
        <v>2</v>
      </c>
      <c r="AF111" s="76"/>
      <c r="AG111" s="86"/>
      <c r="AH111" s="77">
        <f t="shared" si="28"/>
        <v>17</v>
      </c>
      <c r="AI111" s="56">
        <v>10</v>
      </c>
      <c r="AJ111" s="56">
        <v>10</v>
      </c>
      <c r="AK111" s="56">
        <v>45</v>
      </c>
      <c r="AL111" s="57">
        <f t="shared" si="29"/>
        <v>82</v>
      </c>
      <c r="AM111" s="55">
        <f t="shared" si="30"/>
        <v>82</v>
      </c>
      <c r="AN111" s="78">
        <f t="shared" si="31"/>
        <v>1.02</v>
      </c>
      <c r="AO111" s="79"/>
      <c r="AP111" s="80">
        <f t="shared" si="33"/>
        <v>1</v>
      </c>
      <c r="AQ111" s="80">
        <f t="shared" si="33"/>
        <v>2</v>
      </c>
      <c r="AR111" s="61"/>
      <c r="AS111" s="62"/>
      <c r="AT111" s="81"/>
      <c r="AU111" s="81"/>
      <c r="AV111" s="81"/>
      <c r="AW111" s="81"/>
      <c r="AX111" s="82"/>
      <c r="AY111" s="83">
        <f t="shared" si="32"/>
        <v>0</v>
      </c>
      <c r="AZ111" s="83">
        <f t="shared" si="22"/>
        <v>0</v>
      </c>
    </row>
    <row r="112" spans="1:52" s="66" customFormat="1" ht="39.75" customHeight="1" thickBot="1" x14ac:dyDescent="0.2">
      <c r="A112" s="101"/>
      <c r="B112" s="101"/>
      <c r="C112" s="101"/>
      <c r="D112" s="101"/>
      <c r="E112" s="101"/>
      <c r="F112" s="101"/>
      <c r="G112" s="90"/>
      <c r="H112" s="158"/>
      <c r="I112" s="92">
        <v>0.51</v>
      </c>
      <c r="J112" s="41">
        <v>0.49</v>
      </c>
      <c r="K112" s="41"/>
      <c r="L112" s="88"/>
      <c r="M112" s="68"/>
      <c r="N112" s="94">
        <f t="shared" si="19"/>
        <v>1</v>
      </c>
      <c r="O112" s="44">
        <v>1</v>
      </c>
      <c r="P112" s="45">
        <v>15</v>
      </c>
      <c r="Q112" s="46">
        <v>15</v>
      </c>
      <c r="R112" s="46"/>
      <c r="S112" s="46"/>
      <c r="T112" s="70"/>
      <c r="U112" s="71">
        <f t="shared" si="23"/>
        <v>15</v>
      </c>
      <c r="V112" s="72">
        <f t="shared" si="24"/>
        <v>15</v>
      </c>
      <c r="W112" s="99"/>
      <c r="X112" s="100"/>
      <c r="Y112" s="85"/>
      <c r="Z112" s="73"/>
      <c r="AA112" s="74"/>
      <c r="AB112" s="75">
        <f t="shared" si="25"/>
        <v>0</v>
      </c>
      <c r="AC112" s="72">
        <f t="shared" si="26"/>
        <v>0</v>
      </c>
      <c r="AD112" s="52">
        <v>2</v>
      </c>
      <c r="AE112" s="71">
        <f t="shared" si="27"/>
        <v>2</v>
      </c>
      <c r="AF112" s="76"/>
      <c r="AG112" s="86"/>
      <c r="AH112" s="77">
        <f t="shared" si="28"/>
        <v>17</v>
      </c>
      <c r="AI112" s="56">
        <v>10</v>
      </c>
      <c r="AJ112" s="56">
        <v>10</v>
      </c>
      <c r="AK112" s="56">
        <v>45</v>
      </c>
      <c r="AL112" s="57">
        <f t="shared" si="29"/>
        <v>82</v>
      </c>
      <c r="AM112" s="55">
        <f t="shared" si="30"/>
        <v>82</v>
      </c>
      <c r="AN112" s="78">
        <f t="shared" si="31"/>
        <v>1.02</v>
      </c>
      <c r="AO112" s="79"/>
      <c r="AP112" s="80">
        <f t="shared" si="33"/>
        <v>1</v>
      </c>
      <c r="AQ112" s="80">
        <f t="shared" si="33"/>
        <v>2</v>
      </c>
      <c r="AR112" s="61"/>
      <c r="AS112" s="62"/>
      <c r="AT112" s="81"/>
      <c r="AU112" s="81"/>
      <c r="AV112" s="81"/>
      <c r="AW112" s="81"/>
      <c r="AX112" s="82"/>
      <c r="AY112" s="83">
        <f t="shared" si="32"/>
        <v>0</v>
      </c>
      <c r="AZ112" s="83">
        <f t="shared" si="22"/>
        <v>0</v>
      </c>
    </row>
    <row r="113" spans="1:52" s="23" customFormat="1" ht="39.75" customHeight="1" thickBot="1" x14ac:dyDescent="0.2">
      <c r="A113" s="101"/>
      <c r="B113" s="101"/>
      <c r="C113" s="101"/>
      <c r="D113" s="101"/>
      <c r="E113" s="101"/>
      <c r="F113" s="101"/>
      <c r="G113" s="90"/>
      <c r="H113" s="158"/>
      <c r="I113" s="92">
        <v>0.51</v>
      </c>
      <c r="J113" s="41">
        <v>0.49</v>
      </c>
      <c r="K113" s="41"/>
      <c r="L113" s="88"/>
      <c r="M113" s="68"/>
      <c r="N113" s="94">
        <f t="shared" si="19"/>
        <v>1</v>
      </c>
      <c r="O113" s="44">
        <v>1</v>
      </c>
      <c r="P113" s="45">
        <v>15</v>
      </c>
      <c r="Q113" s="46">
        <v>15</v>
      </c>
      <c r="R113" s="46"/>
      <c r="S113" s="46"/>
      <c r="T113" s="70"/>
      <c r="U113" s="71">
        <f t="shared" si="23"/>
        <v>15</v>
      </c>
      <c r="V113" s="72">
        <f t="shared" si="24"/>
        <v>15</v>
      </c>
      <c r="W113" s="99"/>
      <c r="X113" s="100"/>
      <c r="Y113" s="85"/>
      <c r="Z113" s="73"/>
      <c r="AA113" s="74"/>
      <c r="AB113" s="75">
        <f t="shared" si="25"/>
        <v>0</v>
      </c>
      <c r="AC113" s="72">
        <f t="shared" si="26"/>
        <v>0</v>
      </c>
      <c r="AD113" s="52">
        <v>2</v>
      </c>
      <c r="AE113" s="71">
        <f t="shared" si="27"/>
        <v>2</v>
      </c>
      <c r="AF113" s="76"/>
      <c r="AG113" s="86"/>
      <c r="AH113" s="77">
        <f t="shared" si="28"/>
        <v>17</v>
      </c>
      <c r="AI113" s="56">
        <v>10</v>
      </c>
      <c r="AJ113" s="56">
        <v>10</v>
      </c>
      <c r="AK113" s="56">
        <v>45</v>
      </c>
      <c r="AL113" s="57">
        <f t="shared" si="29"/>
        <v>82</v>
      </c>
      <c r="AM113" s="55">
        <f t="shared" si="30"/>
        <v>82</v>
      </c>
      <c r="AN113" s="78">
        <f t="shared" si="31"/>
        <v>1.02</v>
      </c>
      <c r="AO113" s="79"/>
      <c r="AP113" s="80">
        <f t="shared" si="33"/>
        <v>1</v>
      </c>
      <c r="AQ113" s="80">
        <f t="shared" si="33"/>
        <v>2</v>
      </c>
      <c r="AR113" s="61"/>
      <c r="AS113" s="62"/>
      <c r="AT113" s="81"/>
      <c r="AU113" s="81"/>
      <c r="AV113" s="81"/>
      <c r="AW113" s="81"/>
      <c r="AX113" s="82"/>
      <c r="AY113" s="83">
        <f t="shared" si="32"/>
        <v>0</v>
      </c>
      <c r="AZ113" s="83">
        <f t="shared" si="22"/>
        <v>0</v>
      </c>
    </row>
    <row r="114" spans="1:52" s="66" customFormat="1" ht="39.75" customHeight="1" thickBot="1" x14ac:dyDescent="0.2">
      <c r="A114" s="101"/>
      <c r="B114" s="101"/>
      <c r="C114" s="101"/>
      <c r="D114" s="101"/>
      <c r="E114" s="101"/>
      <c r="F114" s="101"/>
      <c r="G114" s="90"/>
      <c r="H114" s="158"/>
      <c r="I114" s="92">
        <v>0.51</v>
      </c>
      <c r="J114" s="41">
        <v>0.49</v>
      </c>
      <c r="K114" s="41"/>
      <c r="L114" s="88"/>
      <c r="M114" s="68"/>
      <c r="N114" s="94">
        <f t="shared" si="19"/>
        <v>1</v>
      </c>
      <c r="O114" s="44">
        <v>1</v>
      </c>
      <c r="P114" s="45">
        <v>15</v>
      </c>
      <c r="Q114" s="46">
        <v>15</v>
      </c>
      <c r="R114" s="46"/>
      <c r="S114" s="46"/>
      <c r="T114" s="70"/>
      <c r="U114" s="71">
        <f t="shared" si="23"/>
        <v>15</v>
      </c>
      <c r="V114" s="72">
        <f t="shared" si="24"/>
        <v>15</v>
      </c>
      <c r="W114" s="99"/>
      <c r="X114" s="100"/>
      <c r="Y114" s="85"/>
      <c r="Z114" s="73"/>
      <c r="AA114" s="74"/>
      <c r="AB114" s="75">
        <f t="shared" si="25"/>
        <v>0</v>
      </c>
      <c r="AC114" s="72">
        <f t="shared" si="26"/>
        <v>0</v>
      </c>
      <c r="AD114" s="52">
        <v>2</v>
      </c>
      <c r="AE114" s="71">
        <f t="shared" si="27"/>
        <v>2</v>
      </c>
      <c r="AF114" s="76"/>
      <c r="AG114" s="86"/>
      <c r="AH114" s="77">
        <f t="shared" si="28"/>
        <v>17</v>
      </c>
      <c r="AI114" s="56">
        <v>10</v>
      </c>
      <c r="AJ114" s="56">
        <v>10</v>
      </c>
      <c r="AK114" s="56">
        <v>45</v>
      </c>
      <c r="AL114" s="57">
        <f t="shared" si="29"/>
        <v>82</v>
      </c>
      <c r="AM114" s="55">
        <f t="shared" si="30"/>
        <v>82</v>
      </c>
      <c r="AN114" s="78">
        <f t="shared" si="31"/>
        <v>1.02</v>
      </c>
      <c r="AO114" s="79"/>
      <c r="AP114" s="80">
        <f t="shared" si="33"/>
        <v>1</v>
      </c>
      <c r="AQ114" s="80">
        <f t="shared" si="33"/>
        <v>2</v>
      </c>
      <c r="AR114" s="61"/>
      <c r="AS114" s="62"/>
      <c r="AT114" s="81"/>
      <c r="AU114" s="81"/>
      <c r="AV114" s="81"/>
      <c r="AW114" s="81"/>
      <c r="AX114" s="82"/>
      <c r="AY114" s="83">
        <f t="shared" si="32"/>
        <v>0</v>
      </c>
      <c r="AZ114" s="83">
        <f t="shared" si="22"/>
        <v>0</v>
      </c>
    </row>
    <row r="115" spans="1:52" s="66" customFormat="1" ht="39.75" customHeight="1" thickBot="1" x14ac:dyDescent="0.2">
      <c r="A115" s="101"/>
      <c r="B115" s="101"/>
      <c r="C115" s="101"/>
      <c r="D115" s="101"/>
      <c r="E115" s="101"/>
      <c r="F115" s="101"/>
      <c r="G115" s="90"/>
      <c r="H115" s="158"/>
      <c r="I115" s="92">
        <v>0.51</v>
      </c>
      <c r="J115" s="41">
        <v>0.49</v>
      </c>
      <c r="K115" s="41"/>
      <c r="L115" s="88"/>
      <c r="M115" s="68"/>
      <c r="N115" s="94">
        <f t="shared" si="19"/>
        <v>1</v>
      </c>
      <c r="O115" s="44">
        <v>1</v>
      </c>
      <c r="P115" s="45">
        <v>15</v>
      </c>
      <c r="Q115" s="46">
        <v>15</v>
      </c>
      <c r="R115" s="46"/>
      <c r="S115" s="46"/>
      <c r="T115" s="70"/>
      <c r="U115" s="71">
        <f t="shared" si="23"/>
        <v>15</v>
      </c>
      <c r="V115" s="72">
        <f t="shared" si="24"/>
        <v>15</v>
      </c>
      <c r="W115" s="99"/>
      <c r="X115" s="100"/>
      <c r="Y115" s="85"/>
      <c r="Z115" s="73"/>
      <c r="AA115" s="74"/>
      <c r="AB115" s="75">
        <f t="shared" si="25"/>
        <v>0</v>
      </c>
      <c r="AC115" s="72">
        <f t="shared" si="26"/>
        <v>0</v>
      </c>
      <c r="AD115" s="52">
        <v>2</v>
      </c>
      <c r="AE115" s="71">
        <f t="shared" si="27"/>
        <v>2</v>
      </c>
      <c r="AF115" s="76"/>
      <c r="AG115" s="86"/>
      <c r="AH115" s="77">
        <f t="shared" si="28"/>
        <v>17</v>
      </c>
      <c r="AI115" s="56">
        <v>10</v>
      </c>
      <c r="AJ115" s="56">
        <v>10</v>
      </c>
      <c r="AK115" s="56">
        <v>45</v>
      </c>
      <c r="AL115" s="57">
        <f t="shared" si="29"/>
        <v>82</v>
      </c>
      <c r="AM115" s="55">
        <f t="shared" si="30"/>
        <v>82</v>
      </c>
      <c r="AN115" s="78">
        <f t="shared" si="31"/>
        <v>1.02</v>
      </c>
      <c r="AO115" s="79"/>
      <c r="AP115" s="80">
        <f t="shared" ref="AP115:AQ134" si="34">100%+AO115</f>
        <v>1</v>
      </c>
      <c r="AQ115" s="80">
        <f t="shared" si="34"/>
        <v>2</v>
      </c>
      <c r="AR115" s="61"/>
      <c r="AS115" s="62"/>
      <c r="AT115" s="81"/>
      <c r="AU115" s="81"/>
      <c r="AV115" s="81"/>
      <c r="AW115" s="81"/>
      <c r="AX115" s="82"/>
      <c r="AY115" s="83">
        <f t="shared" si="32"/>
        <v>0</v>
      </c>
      <c r="AZ115" s="83">
        <f t="shared" si="22"/>
        <v>0</v>
      </c>
    </row>
    <row r="116" spans="1:52" s="23" customFormat="1" ht="39.75" customHeight="1" thickBot="1" x14ac:dyDescent="0.2">
      <c r="A116" s="101"/>
      <c r="B116" s="101"/>
      <c r="C116" s="101"/>
      <c r="D116" s="101"/>
      <c r="E116" s="101"/>
      <c r="F116" s="101"/>
      <c r="G116" s="90"/>
      <c r="H116" s="158"/>
      <c r="I116" s="92">
        <v>0.51</v>
      </c>
      <c r="J116" s="41">
        <v>0.49</v>
      </c>
      <c r="K116" s="41"/>
      <c r="L116" s="88"/>
      <c r="M116" s="68"/>
      <c r="N116" s="94">
        <f t="shared" si="19"/>
        <v>1</v>
      </c>
      <c r="O116" s="44">
        <v>1</v>
      </c>
      <c r="P116" s="45">
        <v>15</v>
      </c>
      <c r="Q116" s="46">
        <v>15</v>
      </c>
      <c r="R116" s="46"/>
      <c r="S116" s="46"/>
      <c r="T116" s="70"/>
      <c r="U116" s="71">
        <f t="shared" si="23"/>
        <v>15</v>
      </c>
      <c r="V116" s="72">
        <f t="shared" si="24"/>
        <v>15</v>
      </c>
      <c r="W116" s="99"/>
      <c r="X116" s="100"/>
      <c r="Y116" s="85"/>
      <c r="Z116" s="73"/>
      <c r="AA116" s="74"/>
      <c r="AB116" s="75">
        <f t="shared" si="25"/>
        <v>0</v>
      </c>
      <c r="AC116" s="72">
        <f t="shared" si="26"/>
        <v>0</v>
      </c>
      <c r="AD116" s="52">
        <v>2</v>
      </c>
      <c r="AE116" s="71">
        <f t="shared" si="27"/>
        <v>2</v>
      </c>
      <c r="AF116" s="76"/>
      <c r="AG116" s="86"/>
      <c r="AH116" s="77">
        <f t="shared" si="28"/>
        <v>17</v>
      </c>
      <c r="AI116" s="56">
        <v>10</v>
      </c>
      <c r="AJ116" s="56">
        <v>10</v>
      </c>
      <c r="AK116" s="56">
        <v>45</v>
      </c>
      <c r="AL116" s="57">
        <f t="shared" si="29"/>
        <v>82</v>
      </c>
      <c r="AM116" s="55">
        <f t="shared" si="30"/>
        <v>82</v>
      </c>
      <c r="AN116" s="78">
        <f t="shared" si="31"/>
        <v>1.02</v>
      </c>
      <c r="AO116" s="79"/>
      <c r="AP116" s="80">
        <f t="shared" si="34"/>
        <v>1</v>
      </c>
      <c r="AQ116" s="80">
        <f t="shared" si="34"/>
        <v>2</v>
      </c>
      <c r="AR116" s="61"/>
      <c r="AS116" s="62"/>
      <c r="AT116" s="81"/>
      <c r="AU116" s="81"/>
      <c r="AV116" s="81"/>
      <c r="AW116" s="81"/>
      <c r="AX116" s="82"/>
      <c r="AY116" s="83">
        <f t="shared" si="32"/>
        <v>0</v>
      </c>
      <c r="AZ116" s="83">
        <f t="shared" si="22"/>
        <v>0</v>
      </c>
    </row>
    <row r="117" spans="1:52" s="66" customFormat="1" ht="39.75" customHeight="1" thickBot="1" x14ac:dyDescent="0.2">
      <c r="A117" s="101"/>
      <c r="B117" s="101"/>
      <c r="C117" s="101"/>
      <c r="D117" s="101"/>
      <c r="E117" s="101"/>
      <c r="F117" s="101"/>
      <c r="G117" s="90"/>
      <c r="H117" s="158"/>
      <c r="I117" s="92">
        <v>0.51</v>
      </c>
      <c r="J117" s="41">
        <v>0.49</v>
      </c>
      <c r="K117" s="41"/>
      <c r="L117" s="88"/>
      <c r="M117" s="68"/>
      <c r="N117" s="94">
        <f t="shared" si="19"/>
        <v>1</v>
      </c>
      <c r="O117" s="44">
        <v>1</v>
      </c>
      <c r="P117" s="45">
        <v>15</v>
      </c>
      <c r="Q117" s="46">
        <v>15</v>
      </c>
      <c r="R117" s="46"/>
      <c r="S117" s="46"/>
      <c r="T117" s="70"/>
      <c r="U117" s="71">
        <f t="shared" si="23"/>
        <v>15</v>
      </c>
      <c r="V117" s="72">
        <f t="shared" si="24"/>
        <v>15</v>
      </c>
      <c r="W117" s="99"/>
      <c r="X117" s="100"/>
      <c r="Y117" s="85"/>
      <c r="Z117" s="73"/>
      <c r="AA117" s="74"/>
      <c r="AB117" s="75">
        <f t="shared" si="25"/>
        <v>0</v>
      </c>
      <c r="AC117" s="72">
        <f t="shared" si="26"/>
        <v>0</v>
      </c>
      <c r="AD117" s="52">
        <v>2</v>
      </c>
      <c r="AE117" s="71">
        <f t="shared" si="27"/>
        <v>2</v>
      </c>
      <c r="AF117" s="76"/>
      <c r="AG117" s="86"/>
      <c r="AH117" s="77">
        <f t="shared" si="28"/>
        <v>17</v>
      </c>
      <c r="AI117" s="56">
        <v>10</v>
      </c>
      <c r="AJ117" s="56">
        <v>10</v>
      </c>
      <c r="AK117" s="56">
        <v>45</v>
      </c>
      <c r="AL117" s="57">
        <f t="shared" si="29"/>
        <v>82</v>
      </c>
      <c r="AM117" s="55">
        <f t="shared" si="30"/>
        <v>82</v>
      </c>
      <c r="AN117" s="78">
        <f t="shared" si="31"/>
        <v>1.02</v>
      </c>
      <c r="AO117" s="79"/>
      <c r="AP117" s="80">
        <f t="shared" si="34"/>
        <v>1</v>
      </c>
      <c r="AQ117" s="80">
        <f t="shared" si="34"/>
        <v>2</v>
      </c>
      <c r="AR117" s="61"/>
      <c r="AS117" s="62"/>
      <c r="AT117" s="81"/>
      <c r="AU117" s="81"/>
      <c r="AV117" s="81"/>
      <c r="AW117" s="81"/>
      <c r="AX117" s="82"/>
      <c r="AY117" s="83">
        <f t="shared" si="32"/>
        <v>0</v>
      </c>
      <c r="AZ117" s="83">
        <f t="shared" si="22"/>
        <v>0</v>
      </c>
    </row>
    <row r="118" spans="1:52" s="66" customFormat="1" ht="39.75" customHeight="1" thickBot="1" x14ac:dyDescent="0.2">
      <c r="A118" s="101"/>
      <c r="B118" s="101"/>
      <c r="C118" s="101"/>
      <c r="D118" s="101"/>
      <c r="E118" s="101"/>
      <c r="F118" s="101"/>
      <c r="G118" s="90"/>
      <c r="H118" s="158"/>
      <c r="I118" s="92">
        <v>0.51</v>
      </c>
      <c r="J118" s="41">
        <v>0.49</v>
      </c>
      <c r="K118" s="41"/>
      <c r="L118" s="88"/>
      <c r="M118" s="68"/>
      <c r="N118" s="94">
        <f t="shared" si="19"/>
        <v>1</v>
      </c>
      <c r="O118" s="44">
        <v>1</v>
      </c>
      <c r="P118" s="45">
        <v>15</v>
      </c>
      <c r="Q118" s="46">
        <v>15</v>
      </c>
      <c r="R118" s="46"/>
      <c r="S118" s="46"/>
      <c r="T118" s="70"/>
      <c r="U118" s="71">
        <f t="shared" si="23"/>
        <v>15</v>
      </c>
      <c r="V118" s="72">
        <f t="shared" si="24"/>
        <v>15</v>
      </c>
      <c r="W118" s="99"/>
      <c r="X118" s="100"/>
      <c r="Y118" s="85"/>
      <c r="Z118" s="73"/>
      <c r="AA118" s="74"/>
      <c r="AB118" s="75">
        <f t="shared" si="25"/>
        <v>0</v>
      </c>
      <c r="AC118" s="72">
        <f t="shared" si="26"/>
        <v>0</v>
      </c>
      <c r="AD118" s="52">
        <v>2</v>
      </c>
      <c r="AE118" s="71">
        <f t="shared" si="27"/>
        <v>2</v>
      </c>
      <c r="AF118" s="76"/>
      <c r="AG118" s="86"/>
      <c r="AH118" s="77">
        <f t="shared" si="28"/>
        <v>17</v>
      </c>
      <c r="AI118" s="56">
        <v>10</v>
      </c>
      <c r="AJ118" s="56">
        <v>10</v>
      </c>
      <c r="AK118" s="56">
        <v>45</v>
      </c>
      <c r="AL118" s="57">
        <f t="shared" si="29"/>
        <v>82</v>
      </c>
      <c r="AM118" s="55">
        <f t="shared" si="30"/>
        <v>82</v>
      </c>
      <c r="AN118" s="78">
        <f t="shared" si="31"/>
        <v>1.02</v>
      </c>
      <c r="AO118" s="79"/>
      <c r="AP118" s="80">
        <f t="shared" si="34"/>
        <v>1</v>
      </c>
      <c r="AQ118" s="80">
        <f t="shared" si="34"/>
        <v>2</v>
      </c>
      <c r="AR118" s="61"/>
      <c r="AS118" s="62"/>
      <c r="AT118" s="81"/>
      <c r="AU118" s="81"/>
      <c r="AV118" s="81"/>
      <c r="AW118" s="81"/>
      <c r="AX118" s="82"/>
      <c r="AY118" s="83">
        <f t="shared" si="32"/>
        <v>0</v>
      </c>
      <c r="AZ118" s="83">
        <f t="shared" si="22"/>
        <v>0</v>
      </c>
    </row>
    <row r="119" spans="1:52" s="66" customFormat="1" ht="39.75" customHeight="1" thickBot="1" x14ac:dyDescent="0.2">
      <c r="A119" s="101"/>
      <c r="B119" s="101"/>
      <c r="C119" s="101"/>
      <c r="D119" s="101"/>
      <c r="E119" s="101"/>
      <c r="F119" s="101"/>
      <c r="G119" s="90"/>
      <c r="H119" s="158"/>
      <c r="I119" s="92">
        <v>0.51</v>
      </c>
      <c r="J119" s="41">
        <v>0.49</v>
      </c>
      <c r="K119" s="41"/>
      <c r="L119" s="88"/>
      <c r="M119" s="68"/>
      <c r="N119" s="94">
        <f t="shared" ref="N119:N142" si="35">SUM(I119:M119)</f>
        <v>1</v>
      </c>
      <c r="O119" s="44">
        <v>1</v>
      </c>
      <c r="P119" s="45">
        <v>15</v>
      </c>
      <c r="Q119" s="46">
        <v>15</v>
      </c>
      <c r="R119" s="46"/>
      <c r="S119" s="46"/>
      <c r="T119" s="70"/>
      <c r="U119" s="71">
        <f t="shared" si="23"/>
        <v>15</v>
      </c>
      <c r="V119" s="72">
        <f t="shared" si="24"/>
        <v>15</v>
      </c>
      <c r="W119" s="99"/>
      <c r="X119" s="100"/>
      <c r="Y119" s="85"/>
      <c r="Z119" s="73"/>
      <c r="AA119" s="74"/>
      <c r="AB119" s="75">
        <f t="shared" si="25"/>
        <v>0</v>
      </c>
      <c r="AC119" s="72">
        <f t="shared" si="26"/>
        <v>0</v>
      </c>
      <c r="AD119" s="52">
        <v>2</v>
      </c>
      <c r="AE119" s="71">
        <f t="shared" si="27"/>
        <v>2</v>
      </c>
      <c r="AF119" s="76"/>
      <c r="AG119" s="86"/>
      <c r="AH119" s="77">
        <f t="shared" si="28"/>
        <v>17</v>
      </c>
      <c r="AI119" s="56">
        <v>10</v>
      </c>
      <c r="AJ119" s="56">
        <v>10</v>
      </c>
      <c r="AK119" s="56">
        <v>45</v>
      </c>
      <c r="AL119" s="57">
        <f t="shared" si="29"/>
        <v>82</v>
      </c>
      <c r="AM119" s="55">
        <f t="shared" si="30"/>
        <v>82</v>
      </c>
      <c r="AN119" s="78">
        <f t="shared" si="31"/>
        <v>1.02</v>
      </c>
      <c r="AO119" s="79"/>
      <c r="AP119" s="80">
        <f t="shared" si="34"/>
        <v>1</v>
      </c>
      <c r="AQ119" s="80">
        <f t="shared" si="34"/>
        <v>2</v>
      </c>
      <c r="AR119" s="61"/>
      <c r="AS119" s="62"/>
      <c r="AT119" s="81"/>
      <c r="AU119" s="81"/>
      <c r="AV119" s="81"/>
      <c r="AW119" s="81"/>
      <c r="AX119" s="82"/>
      <c r="AY119" s="83">
        <f t="shared" si="32"/>
        <v>0</v>
      </c>
      <c r="AZ119" s="83">
        <f t="shared" si="22"/>
        <v>0</v>
      </c>
    </row>
    <row r="120" spans="1:52" s="66" customFormat="1" ht="39.75" customHeight="1" thickBot="1" x14ac:dyDescent="0.2">
      <c r="A120" s="101"/>
      <c r="B120" s="101"/>
      <c r="C120" s="101"/>
      <c r="D120" s="101"/>
      <c r="E120" s="101"/>
      <c r="F120" s="101"/>
      <c r="G120" s="90"/>
      <c r="H120" s="158"/>
      <c r="I120" s="92">
        <v>0.51</v>
      </c>
      <c r="J120" s="41">
        <v>0.49</v>
      </c>
      <c r="K120" s="41"/>
      <c r="L120" s="88"/>
      <c r="M120" s="68"/>
      <c r="N120" s="94">
        <f t="shared" si="35"/>
        <v>1</v>
      </c>
      <c r="O120" s="44">
        <v>1</v>
      </c>
      <c r="P120" s="45">
        <v>15</v>
      </c>
      <c r="Q120" s="46">
        <v>15</v>
      </c>
      <c r="R120" s="46"/>
      <c r="S120" s="46"/>
      <c r="T120" s="70"/>
      <c r="U120" s="71">
        <f t="shared" si="23"/>
        <v>15</v>
      </c>
      <c r="V120" s="72">
        <f t="shared" si="24"/>
        <v>15</v>
      </c>
      <c r="W120" s="99"/>
      <c r="X120" s="100"/>
      <c r="Y120" s="85"/>
      <c r="Z120" s="73"/>
      <c r="AA120" s="74"/>
      <c r="AB120" s="75">
        <f t="shared" si="25"/>
        <v>0</v>
      </c>
      <c r="AC120" s="72">
        <f t="shared" si="26"/>
        <v>0</v>
      </c>
      <c r="AD120" s="52">
        <v>2</v>
      </c>
      <c r="AE120" s="71">
        <f t="shared" si="27"/>
        <v>2</v>
      </c>
      <c r="AF120" s="76"/>
      <c r="AG120" s="86"/>
      <c r="AH120" s="77">
        <f t="shared" si="28"/>
        <v>17</v>
      </c>
      <c r="AI120" s="56">
        <v>10</v>
      </c>
      <c r="AJ120" s="56">
        <v>10</v>
      </c>
      <c r="AK120" s="56">
        <v>45</v>
      </c>
      <c r="AL120" s="57">
        <f t="shared" si="29"/>
        <v>82</v>
      </c>
      <c r="AM120" s="55">
        <f t="shared" si="30"/>
        <v>82</v>
      </c>
      <c r="AN120" s="78">
        <f t="shared" si="31"/>
        <v>1.02</v>
      </c>
      <c r="AO120" s="79"/>
      <c r="AP120" s="80">
        <f t="shared" si="34"/>
        <v>1</v>
      </c>
      <c r="AQ120" s="80">
        <f t="shared" si="34"/>
        <v>2</v>
      </c>
      <c r="AR120" s="61"/>
      <c r="AS120" s="62"/>
      <c r="AT120" s="81"/>
      <c r="AU120" s="81"/>
      <c r="AV120" s="81"/>
      <c r="AW120" s="81"/>
      <c r="AX120" s="82"/>
      <c r="AY120" s="83">
        <f t="shared" si="32"/>
        <v>0</v>
      </c>
      <c r="AZ120" s="83">
        <f t="shared" si="22"/>
        <v>0</v>
      </c>
    </row>
    <row r="121" spans="1:52" s="66" customFormat="1" ht="39.75" customHeight="1" thickBot="1" x14ac:dyDescent="0.2">
      <c r="A121" s="101"/>
      <c r="B121" s="101"/>
      <c r="C121" s="101"/>
      <c r="D121" s="101"/>
      <c r="E121" s="101"/>
      <c r="F121" s="101"/>
      <c r="G121" s="90"/>
      <c r="H121" s="158"/>
      <c r="I121" s="92">
        <v>0.51</v>
      </c>
      <c r="J121" s="41">
        <v>0.49</v>
      </c>
      <c r="K121" s="41"/>
      <c r="L121" s="88"/>
      <c r="M121" s="68"/>
      <c r="N121" s="94">
        <f t="shared" si="35"/>
        <v>1</v>
      </c>
      <c r="O121" s="44">
        <v>1</v>
      </c>
      <c r="P121" s="45">
        <v>15</v>
      </c>
      <c r="Q121" s="46">
        <v>15</v>
      </c>
      <c r="R121" s="46"/>
      <c r="S121" s="46"/>
      <c r="T121" s="70"/>
      <c r="U121" s="71">
        <f t="shared" si="23"/>
        <v>15</v>
      </c>
      <c r="V121" s="72">
        <f t="shared" si="24"/>
        <v>15</v>
      </c>
      <c r="W121" s="99"/>
      <c r="X121" s="100"/>
      <c r="Y121" s="85"/>
      <c r="Z121" s="73"/>
      <c r="AA121" s="74"/>
      <c r="AB121" s="75">
        <f t="shared" si="25"/>
        <v>0</v>
      </c>
      <c r="AC121" s="72">
        <f t="shared" si="26"/>
        <v>0</v>
      </c>
      <c r="AD121" s="52">
        <v>2</v>
      </c>
      <c r="AE121" s="71">
        <f t="shared" si="27"/>
        <v>2</v>
      </c>
      <c r="AF121" s="76"/>
      <c r="AG121" s="86"/>
      <c r="AH121" s="77">
        <f t="shared" si="28"/>
        <v>17</v>
      </c>
      <c r="AI121" s="56">
        <v>10</v>
      </c>
      <c r="AJ121" s="56">
        <v>10</v>
      </c>
      <c r="AK121" s="56">
        <v>45</v>
      </c>
      <c r="AL121" s="57">
        <f t="shared" si="29"/>
        <v>82</v>
      </c>
      <c r="AM121" s="55">
        <f t="shared" si="30"/>
        <v>82</v>
      </c>
      <c r="AN121" s="78">
        <f t="shared" si="31"/>
        <v>1.02</v>
      </c>
      <c r="AO121" s="79"/>
      <c r="AP121" s="80">
        <f t="shared" si="34"/>
        <v>1</v>
      </c>
      <c r="AQ121" s="80">
        <f t="shared" si="34"/>
        <v>2</v>
      </c>
      <c r="AR121" s="61"/>
      <c r="AS121" s="62"/>
      <c r="AT121" s="81"/>
      <c r="AU121" s="81"/>
      <c r="AV121" s="81"/>
      <c r="AW121" s="81"/>
      <c r="AX121" s="82"/>
      <c r="AY121" s="83">
        <f t="shared" si="32"/>
        <v>0</v>
      </c>
      <c r="AZ121" s="83">
        <f t="shared" si="22"/>
        <v>0</v>
      </c>
    </row>
    <row r="122" spans="1:52" s="66" customFormat="1" ht="39.75" customHeight="1" thickBot="1" x14ac:dyDescent="0.2">
      <c r="A122" s="101"/>
      <c r="B122" s="101"/>
      <c r="C122" s="101"/>
      <c r="D122" s="101"/>
      <c r="E122" s="101"/>
      <c r="F122" s="101"/>
      <c r="G122" s="90"/>
      <c r="H122" s="158"/>
      <c r="I122" s="92">
        <v>0.51</v>
      </c>
      <c r="J122" s="41">
        <v>0.49</v>
      </c>
      <c r="K122" s="41"/>
      <c r="L122" s="41"/>
      <c r="M122" s="93"/>
      <c r="N122" s="94">
        <f t="shared" si="35"/>
        <v>1</v>
      </c>
      <c r="O122" s="44">
        <v>1</v>
      </c>
      <c r="P122" s="45">
        <v>15</v>
      </c>
      <c r="Q122" s="46">
        <v>15</v>
      </c>
      <c r="R122" s="46"/>
      <c r="S122" s="46"/>
      <c r="T122" s="70"/>
      <c r="U122" s="71">
        <f t="shared" si="23"/>
        <v>15</v>
      </c>
      <c r="V122" s="72">
        <f t="shared" si="24"/>
        <v>15</v>
      </c>
      <c r="W122" s="99"/>
      <c r="X122" s="100"/>
      <c r="Y122" s="85"/>
      <c r="Z122" s="73"/>
      <c r="AA122" s="74"/>
      <c r="AB122" s="75">
        <f t="shared" si="25"/>
        <v>0</v>
      </c>
      <c r="AC122" s="72">
        <f t="shared" si="26"/>
        <v>0</v>
      </c>
      <c r="AD122" s="52">
        <v>2</v>
      </c>
      <c r="AE122" s="71">
        <f t="shared" si="27"/>
        <v>2</v>
      </c>
      <c r="AF122" s="76"/>
      <c r="AG122" s="86"/>
      <c r="AH122" s="77">
        <f t="shared" si="28"/>
        <v>17</v>
      </c>
      <c r="AI122" s="56">
        <v>10</v>
      </c>
      <c r="AJ122" s="56">
        <v>10</v>
      </c>
      <c r="AK122" s="56">
        <v>45</v>
      </c>
      <c r="AL122" s="57">
        <f t="shared" si="29"/>
        <v>82</v>
      </c>
      <c r="AM122" s="55">
        <f t="shared" si="30"/>
        <v>82</v>
      </c>
      <c r="AN122" s="78">
        <f t="shared" si="31"/>
        <v>1.02</v>
      </c>
      <c r="AO122" s="79"/>
      <c r="AP122" s="80">
        <f t="shared" si="34"/>
        <v>1</v>
      </c>
      <c r="AQ122" s="80">
        <f t="shared" si="34"/>
        <v>2</v>
      </c>
      <c r="AR122" s="61"/>
      <c r="AS122" s="62"/>
      <c r="AT122" s="81"/>
      <c r="AU122" s="81"/>
      <c r="AV122" s="81"/>
      <c r="AW122" s="81"/>
      <c r="AX122" s="82"/>
      <c r="AY122" s="83">
        <f t="shared" si="32"/>
        <v>0</v>
      </c>
      <c r="AZ122" s="83">
        <f t="shared" si="22"/>
        <v>0</v>
      </c>
    </row>
    <row r="123" spans="1:52" s="66" customFormat="1" ht="39.75" customHeight="1" thickBot="1" x14ac:dyDescent="0.2">
      <c r="A123" s="101"/>
      <c r="B123" s="101"/>
      <c r="C123" s="101"/>
      <c r="D123" s="101"/>
      <c r="E123" s="101"/>
      <c r="F123" s="101"/>
      <c r="G123" s="90"/>
      <c r="H123" s="158"/>
      <c r="I123" s="92">
        <v>0.51</v>
      </c>
      <c r="J123" s="41">
        <v>0.49</v>
      </c>
      <c r="K123" s="41"/>
      <c r="L123" s="41"/>
      <c r="M123" s="93"/>
      <c r="N123" s="94">
        <f t="shared" si="35"/>
        <v>1</v>
      </c>
      <c r="O123" s="44">
        <v>1</v>
      </c>
      <c r="P123" s="45">
        <v>15</v>
      </c>
      <c r="Q123" s="46">
        <v>15</v>
      </c>
      <c r="R123" s="46"/>
      <c r="S123" s="46"/>
      <c r="T123" s="70"/>
      <c r="U123" s="71">
        <f t="shared" si="23"/>
        <v>15</v>
      </c>
      <c r="V123" s="72">
        <f t="shared" si="24"/>
        <v>15</v>
      </c>
      <c r="W123" s="99"/>
      <c r="X123" s="100"/>
      <c r="Y123" s="85"/>
      <c r="Z123" s="73"/>
      <c r="AA123" s="74"/>
      <c r="AB123" s="75">
        <f t="shared" si="25"/>
        <v>0</v>
      </c>
      <c r="AC123" s="72">
        <f t="shared" si="26"/>
        <v>0</v>
      </c>
      <c r="AD123" s="52">
        <v>2</v>
      </c>
      <c r="AE123" s="71">
        <f t="shared" si="27"/>
        <v>2</v>
      </c>
      <c r="AF123" s="76"/>
      <c r="AG123" s="86"/>
      <c r="AH123" s="77">
        <f t="shared" si="28"/>
        <v>17</v>
      </c>
      <c r="AI123" s="56">
        <v>10</v>
      </c>
      <c r="AJ123" s="56">
        <v>10</v>
      </c>
      <c r="AK123" s="56">
        <v>45</v>
      </c>
      <c r="AL123" s="57">
        <f t="shared" si="29"/>
        <v>82</v>
      </c>
      <c r="AM123" s="55">
        <f t="shared" si="30"/>
        <v>82</v>
      </c>
      <c r="AN123" s="78">
        <f t="shared" si="31"/>
        <v>1.02</v>
      </c>
      <c r="AO123" s="79"/>
      <c r="AP123" s="80">
        <f t="shared" si="34"/>
        <v>1</v>
      </c>
      <c r="AQ123" s="80">
        <f t="shared" si="34"/>
        <v>2</v>
      </c>
      <c r="AR123" s="61"/>
      <c r="AS123" s="62"/>
      <c r="AT123" s="81"/>
      <c r="AU123" s="81"/>
      <c r="AV123" s="81"/>
      <c r="AW123" s="81"/>
      <c r="AX123" s="82"/>
      <c r="AY123" s="83">
        <f t="shared" si="32"/>
        <v>0</v>
      </c>
      <c r="AZ123" s="83">
        <f t="shared" si="22"/>
        <v>0</v>
      </c>
    </row>
    <row r="124" spans="1:52" s="23" customFormat="1" ht="39.75" customHeight="1" thickBot="1" x14ac:dyDescent="0.2">
      <c r="A124" s="101"/>
      <c r="B124" s="101"/>
      <c r="C124" s="101"/>
      <c r="D124" s="101"/>
      <c r="E124" s="101"/>
      <c r="F124" s="101"/>
      <c r="G124" s="90"/>
      <c r="H124" s="158"/>
      <c r="I124" s="92">
        <v>0.51</v>
      </c>
      <c r="J124" s="41">
        <v>0.49</v>
      </c>
      <c r="K124" s="41"/>
      <c r="L124" s="41"/>
      <c r="M124" s="93"/>
      <c r="N124" s="94">
        <f t="shared" si="35"/>
        <v>1</v>
      </c>
      <c r="O124" s="44">
        <v>1</v>
      </c>
      <c r="P124" s="45">
        <v>15</v>
      </c>
      <c r="Q124" s="46">
        <v>15</v>
      </c>
      <c r="R124" s="46"/>
      <c r="S124" s="46"/>
      <c r="T124" s="70"/>
      <c r="U124" s="71">
        <f t="shared" si="23"/>
        <v>15</v>
      </c>
      <c r="V124" s="72">
        <f t="shared" si="24"/>
        <v>15</v>
      </c>
      <c r="W124" s="99"/>
      <c r="X124" s="100"/>
      <c r="Y124" s="85"/>
      <c r="Z124" s="73"/>
      <c r="AA124" s="74"/>
      <c r="AB124" s="75">
        <f t="shared" si="25"/>
        <v>0</v>
      </c>
      <c r="AC124" s="72">
        <f t="shared" si="26"/>
        <v>0</v>
      </c>
      <c r="AD124" s="52">
        <v>2</v>
      </c>
      <c r="AE124" s="71">
        <f t="shared" si="27"/>
        <v>2</v>
      </c>
      <c r="AF124" s="76"/>
      <c r="AG124" s="86"/>
      <c r="AH124" s="77">
        <f t="shared" si="28"/>
        <v>17</v>
      </c>
      <c r="AI124" s="56">
        <v>10</v>
      </c>
      <c r="AJ124" s="56">
        <v>10</v>
      </c>
      <c r="AK124" s="56">
        <v>45</v>
      </c>
      <c r="AL124" s="57">
        <f t="shared" si="29"/>
        <v>82</v>
      </c>
      <c r="AM124" s="55">
        <f t="shared" si="30"/>
        <v>82</v>
      </c>
      <c r="AN124" s="78">
        <f t="shared" si="31"/>
        <v>1.02</v>
      </c>
      <c r="AO124" s="79"/>
      <c r="AP124" s="80">
        <f t="shared" si="34"/>
        <v>1</v>
      </c>
      <c r="AQ124" s="80">
        <f t="shared" si="34"/>
        <v>2</v>
      </c>
      <c r="AR124" s="61"/>
      <c r="AS124" s="62"/>
      <c r="AT124" s="81"/>
      <c r="AU124" s="81"/>
      <c r="AV124" s="81"/>
      <c r="AW124" s="81"/>
      <c r="AX124" s="82"/>
      <c r="AY124" s="83">
        <f t="shared" si="32"/>
        <v>0</v>
      </c>
      <c r="AZ124" s="83">
        <f t="shared" si="22"/>
        <v>0</v>
      </c>
    </row>
    <row r="125" spans="1:52" s="23" customFormat="1" ht="39.75" customHeight="1" thickBot="1" x14ac:dyDescent="0.2">
      <c r="A125" s="101"/>
      <c r="B125" s="101"/>
      <c r="C125" s="101"/>
      <c r="D125" s="101"/>
      <c r="E125" s="101"/>
      <c r="F125" s="101"/>
      <c r="G125" s="90"/>
      <c r="H125" s="158"/>
      <c r="I125" s="92">
        <v>0.51</v>
      </c>
      <c r="J125" s="41">
        <v>0.49</v>
      </c>
      <c r="K125" s="41"/>
      <c r="L125" s="41"/>
      <c r="M125" s="93"/>
      <c r="N125" s="94">
        <f t="shared" si="35"/>
        <v>1</v>
      </c>
      <c r="O125" s="44">
        <v>1</v>
      </c>
      <c r="P125" s="45">
        <v>15</v>
      </c>
      <c r="Q125" s="46">
        <v>15</v>
      </c>
      <c r="R125" s="46"/>
      <c r="S125" s="46"/>
      <c r="T125" s="70"/>
      <c r="U125" s="71">
        <f t="shared" si="23"/>
        <v>15</v>
      </c>
      <c r="V125" s="72">
        <f t="shared" si="24"/>
        <v>15</v>
      </c>
      <c r="W125" s="99"/>
      <c r="X125" s="100"/>
      <c r="Y125" s="85"/>
      <c r="Z125" s="73"/>
      <c r="AA125" s="74"/>
      <c r="AB125" s="75">
        <f t="shared" si="25"/>
        <v>0</v>
      </c>
      <c r="AC125" s="72">
        <f t="shared" si="26"/>
        <v>0</v>
      </c>
      <c r="AD125" s="52">
        <v>2</v>
      </c>
      <c r="AE125" s="71">
        <f t="shared" si="27"/>
        <v>2</v>
      </c>
      <c r="AF125" s="76"/>
      <c r="AG125" s="86"/>
      <c r="AH125" s="77">
        <f t="shared" si="28"/>
        <v>17</v>
      </c>
      <c r="AI125" s="56">
        <v>10</v>
      </c>
      <c r="AJ125" s="56">
        <v>10</v>
      </c>
      <c r="AK125" s="56">
        <v>45</v>
      </c>
      <c r="AL125" s="57">
        <f t="shared" si="29"/>
        <v>82</v>
      </c>
      <c r="AM125" s="55">
        <f t="shared" si="30"/>
        <v>82</v>
      </c>
      <c r="AN125" s="78">
        <f t="shared" si="31"/>
        <v>1.02</v>
      </c>
      <c r="AO125" s="79"/>
      <c r="AP125" s="80">
        <f t="shared" si="34"/>
        <v>1</v>
      </c>
      <c r="AQ125" s="80">
        <f t="shared" si="34"/>
        <v>2</v>
      </c>
      <c r="AR125" s="61"/>
      <c r="AS125" s="62"/>
      <c r="AT125" s="81"/>
      <c r="AU125" s="81"/>
      <c r="AV125" s="81"/>
      <c r="AW125" s="81"/>
      <c r="AX125" s="82"/>
      <c r="AY125" s="83">
        <f t="shared" si="32"/>
        <v>0</v>
      </c>
      <c r="AZ125" s="83">
        <f t="shared" si="22"/>
        <v>0</v>
      </c>
    </row>
    <row r="126" spans="1:52" s="66" customFormat="1" ht="39.75" customHeight="1" thickBot="1" x14ac:dyDescent="0.2">
      <c r="A126" s="101"/>
      <c r="B126" s="101"/>
      <c r="C126" s="101"/>
      <c r="D126" s="101"/>
      <c r="E126" s="101"/>
      <c r="F126" s="101"/>
      <c r="G126" s="90"/>
      <c r="H126" s="158"/>
      <c r="I126" s="92">
        <v>0.51</v>
      </c>
      <c r="J126" s="41">
        <v>0.49</v>
      </c>
      <c r="K126" s="41"/>
      <c r="L126" s="41"/>
      <c r="M126" s="93"/>
      <c r="N126" s="94">
        <f t="shared" si="35"/>
        <v>1</v>
      </c>
      <c r="O126" s="44">
        <v>1</v>
      </c>
      <c r="P126" s="45">
        <v>15</v>
      </c>
      <c r="Q126" s="46">
        <v>15</v>
      </c>
      <c r="R126" s="46"/>
      <c r="S126" s="46"/>
      <c r="T126" s="70"/>
      <c r="U126" s="71">
        <f t="shared" si="23"/>
        <v>15</v>
      </c>
      <c r="V126" s="72">
        <f t="shared" si="24"/>
        <v>15</v>
      </c>
      <c r="W126" s="99"/>
      <c r="X126" s="100"/>
      <c r="Y126" s="85"/>
      <c r="Z126" s="73"/>
      <c r="AA126" s="74"/>
      <c r="AB126" s="75">
        <f t="shared" si="25"/>
        <v>0</v>
      </c>
      <c r="AC126" s="72">
        <f t="shared" si="26"/>
        <v>0</v>
      </c>
      <c r="AD126" s="52">
        <v>2</v>
      </c>
      <c r="AE126" s="71">
        <f t="shared" si="27"/>
        <v>2</v>
      </c>
      <c r="AF126" s="76"/>
      <c r="AG126" s="86"/>
      <c r="AH126" s="77">
        <f t="shared" si="28"/>
        <v>17</v>
      </c>
      <c r="AI126" s="56">
        <v>10</v>
      </c>
      <c r="AJ126" s="56">
        <v>10</v>
      </c>
      <c r="AK126" s="56">
        <v>45</v>
      </c>
      <c r="AL126" s="57">
        <f t="shared" si="29"/>
        <v>82</v>
      </c>
      <c r="AM126" s="55">
        <f t="shared" si="30"/>
        <v>82</v>
      </c>
      <c r="AN126" s="78">
        <f t="shared" si="31"/>
        <v>1.02</v>
      </c>
      <c r="AO126" s="79"/>
      <c r="AP126" s="80">
        <f t="shared" si="34"/>
        <v>1</v>
      </c>
      <c r="AQ126" s="80">
        <f t="shared" si="34"/>
        <v>2</v>
      </c>
      <c r="AR126" s="61"/>
      <c r="AS126" s="62"/>
      <c r="AT126" s="81"/>
      <c r="AU126" s="81"/>
      <c r="AV126" s="81"/>
      <c r="AW126" s="81"/>
      <c r="AX126" s="82"/>
      <c r="AY126" s="83">
        <f t="shared" si="32"/>
        <v>0</v>
      </c>
      <c r="AZ126" s="83">
        <f t="shared" si="22"/>
        <v>0</v>
      </c>
    </row>
    <row r="127" spans="1:52" s="23" customFormat="1" ht="39.75" customHeight="1" thickBot="1" x14ac:dyDescent="0.2">
      <c r="A127" s="101"/>
      <c r="B127" s="101"/>
      <c r="C127" s="101"/>
      <c r="D127" s="101"/>
      <c r="E127" s="101"/>
      <c r="F127" s="101"/>
      <c r="G127" s="90"/>
      <c r="H127" s="158"/>
      <c r="I127" s="92">
        <v>0.51</v>
      </c>
      <c r="J127" s="41">
        <v>0.49</v>
      </c>
      <c r="K127" s="41"/>
      <c r="L127" s="41"/>
      <c r="M127" s="93"/>
      <c r="N127" s="94">
        <f t="shared" si="35"/>
        <v>1</v>
      </c>
      <c r="O127" s="44">
        <v>1</v>
      </c>
      <c r="P127" s="45">
        <v>15</v>
      </c>
      <c r="Q127" s="46">
        <v>15</v>
      </c>
      <c r="R127" s="46"/>
      <c r="S127" s="46"/>
      <c r="T127" s="70"/>
      <c r="U127" s="71">
        <f t="shared" si="23"/>
        <v>15</v>
      </c>
      <c r="V127" s="72">
        <f t="shared" si="24"/>
        <v>15</v>
      </c>
      <c r="W127" s="99"/>
      <c r="X127" s="100"/>
      <c r="Y127" s="85"/>
      <c r="Z127" s="73"/>
      <c r="AA127" s="74"/>
      <c r="AB127" s="75">
        <f t="shared" si="25"/>
        <v>0</v>
      </c>
      <c r="AC127" s="72">
        <f t="shared" si="26"/>
        <v>0</v>
      </c>
      <c r="AD127" s="52">
        <v>2</v>
      </c>
      <c r="AE127" s="71">
        <f t="shared" si="27"/>
        <v>2</v>
      </c>
      <c r="AF127" s="76"/>
      <c r="AG127" s="86"/>
      <c r="AH127" s="77">
        <f t="shared" si="28"/>
        <v>17</v>
      </c>
      <c r="AI127" s="56">
        <v>10</v>
      </c>
      <c r="AJ127" s="56">
        <v>10</v>
      </c>
      <c r="AK127" s="56">
        <v>45</v>
      </c>
      <c r="AL127" s="57">
        <f t="shared" si="29"/>
        <v>82</v>
      </c>
      <c r="AM127" s="55">
        <f t="shared" si="30"/>
        <v>82</v>
      </c>
      <c r="AN127" s="78">
        <f t="shared" si="31"/>
        <v>1.02</v>
      </c>
      <c r="AO127" s="79"/>
      <c r="AP127" s="80">
        <f t="shared" si="34"/>
        <v>1</v>
      </c>
      <c r="AQ127" s="80">
        <f t="shared" si="34"/>
        <v>2</v>
      </c>
      <c r="AR127" s="61"/>
      <c r="AS127" s="62"/>
      <c r="AT127" s="81"/>
      <c r="AU127" s="81"/>
      <c r="AV127" s="81"/>
      <c r="AW127" s="81"/>
      <c r="AX127" s="82"/>
      <c r="AY127" s="83">
        <f t="shared" si="32"/>
        <v>0</v>
      </c>
      <c r="AZ127" s="83">
        <f t="shared" si="22"/>
        <v>0</v>
      </c>
    </row>
    <row r="128" spans="1:52" s="66" customFormat="1" ht="39.75" customHeight="1" thickBot="1" x14ac:dyDescent="0.2">
      <c r="A128" s="101"/>
      <c r="B128" s="101"/>
      <c r="C128" s="101"/>
      <c r="D128" s="101"/>
      <c r="E128" s="101"/>
      <c r="F128" s="101"/>
      <c r="G128" s="90"/>
      <c r="H128" s="158"/>
      <c r="I128" s="92">
        <v>0.51</v>
      </c>
      <c r="J128" s="41">
        <v>0.49</v>
      </c>
      <c r="K128" s="41"/>
      <c r="L128" s="41"/>
      <c r="M128" s="93"/>
      <c r="N128" s="94">
        <f t="shared" si="35"/>
        <v>1</v>
      </c>
      <c r="O128" s="44">
        <v>1</v>
      </c>
      <c r="P128" s="45">
        <v>15</v>
      </c>
      <c r="Q128" s="46">
        <v>15</v>
      </c>
      <c r="R128" s="46"/>
      <c r="S128" s="46"/>
      <c r="T128" s="70"/>
      <c r="U128" s="71">
        <f t="shared" si="23"/>
        <v>15</v>
      </c>
      <c r="V128" s="72">
        <f t="shared" si="24"/>
        <v>15</v>
      </c>
      <c r="W128" s="99"/>
      <c r="X128" s="100"/>
      <c r="Y128" s="85"/>
      <c r="Z128" s="73"/>
      <c r="AA128" s="74"/>
      <c r="AB128" s="75">
        <f t="shared" si="25"/>
        <v>0</v>
      </c>
      <c r="AC128" s="72">
        <f t="shared" si="26"/>
        <v>0</v>
      </c>
      <c r="AD128" s="52">
        <v>2</v>
      </c>
      <c r="AE128" s="71">
        <f t="shared" si="27"/>
        <v>2</v>
      </c>
      <c r="AF128" s="76"/>
      <c r="AG128" s="86"/>
      <c r="AH128" s="77">
        <f t="shared" si="28"/>
        <v>17</v>
      </c>
      <c r="AI128" s="56">
        <v>10</v>
      </c>
      <c r="AJ128" s="56">
        <v>10</v>
      </c>
      <c r="AK128" s="56">
        <v>45</v>
      </c>
      <c r="AL128" s="57">
        <f t="shared" si="29"/>
        <v>82</v>
      </c>
      <c r="AM128" s="55">
        <f t="shared" si="30"/>
        <v>82</v>
      </c>
      <c r="AN128" s="78">
        <f t="shared" si="31"/>
        <v>1.02</v>
      </c>
      <c r="AO128" s="79"/>
      <c r="AP128" s="80">
        <f t="shared" si="34"/>
        <v>1</v>
      </c>
      <c r="AQ128" s="80">
        <f t="shared" si="34"/>
        <v>2</v>
      </c>
      <c r="AR128" s="61"/>
      <c r="AS128" s="62"/>
      <c r="AT128" s="81"/>
      <c r="AU128" s="81"/>
      <c r="AV128" s="81"/>
      <c r="AW128" s="81"/>
      <c r="AX128" s="82"/>
      <c r="AY128" s="83">
        <f t="shared" si="32"/>
        <v>0</v>
      </c>
      <c r="AZ128" s="83">
        <f t="shared" si="22"/>
        <v>0</v>
      </c>
    </row>
    <row r="129" spans="1:52" s="66" customFormat="1" ht="39.75" customHeight="1" thickBot="1" x14ac:dyDescent="0.2">
      <c r="A129" s="101"/>
      <c r="B129" s="101"/>
      <c r="C129" s="101"/>
      <c r="D129" s="101"/>
      <c r="E129" s="101"/>
      <c r="F129" s="101"/>
      <c r="G129" s="90"/>
      <c r="H129" s="158"/>
      <c r="I129" s="92">
        <v>0.51</v>
      </c>
      <c r="J129" s="41">
        <v>0.49</v>
      </c>
      <c r="K129" s="41"/>
      <c r="L129" s="41"/>
      <c r="M129" s="93"/>
      <c r="N129" s="94">
        <f t="shared" si="35"/>
        <v>1</v>
      </c>
      <c r="O129" s="44">
        <v>1</v>
      </c>
      <c r="P129" s="45">
        <v>15</v>
      </c>
      <c r="Q129" s="46">
        <v>15</v>
      </c>
      <c r="R129" s="46"/>
      <c r="S129" s="46"/>
      <c r="T129" s="70"/>
      <c r="U129" s="71">
        <f t="shared" si="23"/>
        <v>15</v>
      </c>
      <c r="V129" s="72">
        <f t="shared" si="24"/>
        <v>15</v>
      </c>
      <c r="W129" s="99"/>
      <c r="X129" s="100"/>
      <c r="Y129" s="85"/>
      <c r="Z129" s="73"/>
      <c r="AA129" s="74"/>
      <c r="AB129" s="75">
        <f t="shared" si="25"/>
        <v>0</v>
      </c>
      <c r="AC129" s="72">
        <f t="shared" si="26"/>
        <v>0</v>
      </c>
      <c r="AD129" s="52">
        <v>2</v>
      </c>
      <c r="AE129" s="71">
        <f t="shared" si="27"/>
        <v>2</v>
      </c>
      <c r="AF129" s="76"/>
      <c r="AG129" s="86"/>
      <c r="AH129" s="77">
        <f t="shared" si="28"/>
        <v>17</v>
      </c>
      <c r="AI129" s="56">
        <v>10</v>
      </c>
      <c r="AJ129" s="56">
        <v>10</v>
      </c>
      <c r="AK129" s="56">
        <v>45</v>
      </c>
      <c r="AL129" s="57">
        <f t="shared" si="29"/>
        <v>82</v>
      </c>
      <c r="AM129" s="55">
        <f t="shared" si="30"/>
        <v>82</v>
      </c>
      <c r="AN129" s="78">
        <f t="shared" si="31"/>
        <v>1.02</v>
      </c>
      <c r="AO129" s="79"/>
      <c r="AP129" s="80">
        <f t="shared" si="34"/>
        <v>1</v>
      </c>
      <c r="AQ129" s="80">
        <f t="shared" si="34"/>
        <v>2</v>
      </c>
      <c r="AR129" s="61"/>
      <c r="AS129" s="62"/>
      <c r="AT129" s="81"/>
      <c r="AU129" s="81"/>
      <c r="AV129" s="81"/>
      <c r="AW129" s="81"/>
      <c r="AX129" s="82"/>
      <c r="AY129" s="83">
        <f t="shared" si="32"/>
        <v>0</v>
      </c>
      <c r="AZ129" s="83">
        <f t="shared" si="22"/>
        <v>0</v>
      </c>
    </row>
    <row r="130" spans="1:52" s="66" customFormat="1" ht="39.75" customHeight="1" thickBot="1" x14ac:dyDescent="0.2">
      <c r="A130" s="101"/>
      <c r="B130" s="101"/>
      <c r="C130" s="101"/>
      <c r="D130" s="101"/>
      <c r="E130" s="101"/>
      <c r="F130" s="101"/>
      <c r="G130" s="90"/>
      <c r="H130" s="158"/>
      <c r="I130" s="92">
        <v>0.51</v>
      </c>
      <c r="J130" s="41">
        <v>0.49</v>
      </c>
      <c r="K130" s="41"/>
      <c r="L130" s="41"/>
      <c r="M130" s="93"/>
      <c r="N130" s="94">
        <f t="shared" si="35"/>
        <v>1</v>
      </c>
      <c r="O130" s="44">
        <v>1</v>
      </c>
      <c r="P130" s="45">
        <v>15</v>
      </c>
      <c r="Q130" s="46">
        <v>15</v>
      </c>
      <c r="R130" s="46"/>
      <c r="S130" s="46"/>
      <c r="T130" s="47"/>
      <c r="U130" s="71">
        <f t="shared" si="23"/>
        <v>15</v>
      </c>
      <c r="V130" s="72">
        <f t="shared" si="24"/>
        <v>15</v>
      </c>
      <c r="W130" s="99"/>
      <c r="X130" s="100"/>
      <c r="Y130" s="85"/>
      <c r="Z130" s="73"/>
      <c r="AA130" s="74"/>
      <c r="AB130" s="75">
        <f t="shared" si="25"/>
        <v>0</v>
      </c>
      <c r="AC130" s="72">
        <f t="shared" si="26"/>
        <v>0</v>
      </c>
      <c r="AD130" s="52">
        <v>2</v>
      </c>
      <c r="AE130" s="71">
        <f t="shared" si="27"/>
        <v>2</v>
      </c>
      <c r="AF130" s="76"/>
      <c r="AG130" s="86"/>
      <c r="AH130" s="77">
        <f t="shared" si="28"/>
        <v>17</v>
      </c>
      <c r="AI130" s="56">
        <v>10</v>
      </c>
      <c r="AJ130" s="56">
        <v>10</v>
      </c>
      <c r="AK130" s="56">
        <v>45</v>
      </c>
      <c r="AL130" s="57">
        <f t="shared" si="29"/>
        <v>82</v>
      </c>
      <c r="AM130" s="55">
        <f t="shared" si="30"/>
        <v>82</v>
      </c>
      <c r="AN130" s="78">
        <f t="shared" si="31"/>
        <v>1.02</v>
      </c>
      <c r="AO130" s="79"/>
      <c r="AP130" s="80">
        <f t="shared" si="34"/>
        <v>1</v>
      </c>
      <c r="AQ130" s="80">
        <f t="shared" si="34"/>
        <v>2</v>
      </c>
      <c r="AR130" s="61"/>
      <c r="AS130" s="62"/>
      <c r="AT130" s="81"/>
      <c r="AU130" s="81"/>
      <c r="AV130" s="81"/>
      <c r="AW130" s="81"/>
      <c r="AX130" s="82"/>
      <c r="AY130" s="83">
        <f t="shared" si="32"/>
        <v>0</v>
      </c>
      <c r="AZ130" s="83">
        <f t="shared" si="22"/>
        <v>0</v>
      </c>
    </row>
    <row r="131" spans="1:52" s="66" customFormat="1" ht="39.75" customHeight="1" thickBot="1" x14ac:dyDescent="0.2">
      <c r="A131" s="101"/>
      <c r="B131" s="101"/>
      <c r="C131" s="101"/>
      <c r="D131" s="101"/>
      <c r="E131" s="101"/>
      <c r="F131" s="101"/>
      <c r="G131" s="90"/>
      <c r="H131" s="158"/>
      <c r="I131" s="92">
        <v>0.51</v>
      </c>
      <c r="J131" s="41">
        <v>0.49</v>
      </c>
      <c r="K131" s="41"/>
      <c r="L131" s="41"/>
      <c r="M131" s="93"/>
      <c r="N131" s="94">
        <f t="shared" si="35"/>
        <v>1</v>
      </c>
      <c r="O131" s="44">
        <v>1</v>
      </c>
      <c r="P131" s="45">
        <v>15</v>
      </c>
      <c r="Q131" s="46">
        <v>15</v>
      </c>
      <c r="R131" s="46"/>
      <c r="S131" s="46"/>
      <c r="T131" s="47"/>
      <c r="U131" s="71">
        <f t="shared" si="23"/>
        <v>15</v>
      </c>
      <c r="V131" s="72">
        <f t="shared" si="24"/>
        <v>15</v>
      </c>
      <c r="W131" s="99"/>
      <c r="X131" s="100"/>
      <c r="Y131" s="85"/>
      <c r="Z131" s="73"/>
      <c r="AA131" s="74"/>
      <c r="AB131" s="75">
        <f t="shared" si="25"/>
        <v>0</v>
      </c>
      <c r="AC131" s="72">
        <f t="shared" si="26"/>
        <v>0</v>
      </c>
      <c r="AD131" s="52">
        <v>2</v>
      </c>
      <c r="AE131" s="71">
        <f t="shared" si="27"/>
        <v>2</v>
      </c>
      <c r="AF131" s="76"/>
      <c r="AG131" s="86"/>
      <c r="AH131" s="77">
        <f t="shared" si="28"/>
        <v>17</v>
      </c>
      <c r="AI131" s="56">
        <v>10</v>
      </c>
      <c r="AJ131" s="56">
        <v>10</v>
      </c>
      <c r="AK131" s="56">
        <v>45</v>
      </c>
      <c r="AL131" s="57">
        <f t="shared" si="29"/>
        <v>82</v>
      </c>
      <c r="AM131" s="55">
        <f t="shared" si="30"/>
        <v>82</v>
      </c>
      <c r="AN131" s="78">
        <f t="shared" si="31"/>
        <v>1.02</v>
      </c>
      <c r="AO131" s="79"/>
      <c r="AP131" s="80">
        <f t="shared" si="34"/>
        <v>1</v>
      </c>
      <c r="AQ131" s="80">
        <f t="shared" si="34"/>
        <v>2</v>
      </c>
      <c r="AR131" s="61"/>
      <c r="AS131" s="62"/>
      <c r="AT131" s="81"/>
      <c r="AU131" s="81"/>
      <c r="AV131" s="81"/>
      <c r="AW131" s="81"/>
      <c r="AX131" s="82"/>
      <c r="AY131" s="83">
        <f t="shared" si="32"/>
        <v>0</v>
      </c>
      <c r="AZ131" s="83">
        <f t="shared" si="22"/>
        <v>0</v>
      </c>
    </row>
    <row r="132" spans="1:52" s="23" customFormat="1" ht="39.75" customHeight="1" thickBot="1" x14ac:dyDescent="0.2">
      <c r="A132" s="101"/>
      <c r="B132" s="101"/>
      <c r="C132" s="101"/>
      <c r="D132" s="101"/>
      <c r="E132" s="101"/>
      <c r="F132" s="101"/>
      <c r="G132" s="90"/>
      <c r="H132" s="158"/>
      <c r="I132" s="92">
        <v>0.51</v>
      </c>
      <c r="J132" s="41">
        <v>0.49</v>
      </c>
      <c r="K132" s="41"/>
      <c r="L132" s="41"/>
      <c r="M132" s="93"/>
      <c r="N132" s="94">
        <f t="shared" si="35"/>
        <v>1</v>
      </c>
      <c r="O132" s="44">
        <v>1</v>
      </c>
      <c r="P132" s="45">
        <v>15</v>
      </c>
      <c r="Q132" s="46">
        <v>15</v>
      </c>
      <c r="R132" s="46"/>
      <c r="S132" s="46"/>
      <c r="T132" s="47"/>
      <c r="U132" s="71">
        <f t="shared" si="23"/>
        <v>15</v>
      </c>
      <c r="V132" s="72">
        <f t="shared" si="24"/>
        <v>15</v>
      </c>
      <c r="W132" s="99"/>
      <c r="X132" s="100"/>
      <c r="Y132" s="85"/>
      <c r="Z132" s="73"/>
      <c r="AA132" s="74"/>
      <c r="AB132" s="75">
        <f t="shared" si="25"/>
        <v>0</v>
      </c>
      <c r="AC132" s="72">
        <f t="shared" si="26"/>
        <v>0</v>
      </c>
      <c r="AD132" s="52">
        <v>2</v>
      </c>
      <c r="AE132" s="71">
        <f t="shared" si="27"/>
        <v>2</v>
      </c>
      <c r="AF132" s="76"/>
      <c r="AG132" s="86"/>
      <c r="AH132" s="77">
        <f t="shared" si="28"/>
        <v>17</v>
      </c>
      <c r="AI132" s="56">
        <v>10</v>
      </c>
      <c r="AJ132" s="56">
        <v>10</v>
      </c>
      <c r="AK132" s="56">
        <v>45</v>
      </c>
      <c r="AL132" s="57">
        <f t="shared" si="29"/>
        <v>82</v>
      </c>
      <c r="AM132" s="55">
        <f t="shared" si="30"/>
        <v>82</v>
      </c>
      <c r="AN132" s="78">
        <f t="shared" si="31"/>
        <v>1.02</v>
      </c>
      <c r="AO132" s="79"/>
      <c r="AP132" s="80">
        <f t="shared" si="34"/>
        <v>1</v>
      </c>
      <c r="AQ132" s="80">
        <f t="shared" si="34"/>
        <v>2</v>
      </c>
      <c r="AR132" s="61"/>
      <c r="AS132" s="62"/>
      <c r="AT132" s="81"/>
      <c r="AU132" s="81"/>
      <c r="AV132" s="81"/>
      <c r="AW132" s="81"/>
      <c r="AX132" s="82"/>
      <c r="AY132" s="83">
        <f t="shared" si="32"/>
        <v>0</v>
      </c>
      <c r="AZ132" s="83">
        <f t="shared" si="22"/>
        <v>0</v>
      </c>
    </row>
    <row r="133" spans="1:52" s="66" customFormat="1" ht="39.75" customHeight="1" thickBot="1" x14ac:dyDescent="0.2">
      <c r="A133" s="101"/>
      <c r="B133" s="101"/>
      <c r="C133" s="101"/>
      <c r="D133" s="101"/>
      <c r="E133" s="101"/>
      <c r="F133" s="101"/>
      <c r="G133" s="90"/>
      <c r="H133" s="158"/>
      <c r="I133" s="92">
        <v>0.51</v>
      </c>
      <c r="J133" s="41">
        <v>0.49</v>
      </c>
      <c r="K133" s="41"/>
      <c r="L133" s="41"/>
      <c r="M133" s="93"/>
      <c r="N133" s="94">
        <f t="shared" si="35"/>
        <v>1</v>
      </c>
      <c r="O133" s="44">
        <v>1</v>
      </c>
      <c r="P133" s="45">
        <v>15</v>
      </c>
      <c r="Q133" s="46">
        <v>15</v>
      </c>
      <c r="R133" s="46"/>
      <c r="S133" s="46"/>
      <c r="T133" s="47"/>
      <c r="U133" s="71">
        <f t="shared" si="23"/>
        <v>15</v>
      </c>
      <c r="V133" s="72">
        <f t="shared" si="24"/>
        <v>15</v>
      </c>
      <c r="W133" s="99"/>
      <c r="X133" s="100"/>
      <c r="Y133" s="85"/>
      <c r="Z133" s="73"/>
      <c r="AA133" s="74"/>
      <c r="AB133" s="75">
        <f t="shared" si="25"/>
        <v>0</v>
      </c>
      <c r="AC133" s="72">
        <f t="shared" si="26"/>
        <v>0</v>
      </c>
      <c r="AD133" s="52">
        <v>2</v>
      </c>
      <c r="AE133" s="71">
        <f t="shared" si="27"/>
        <v>2</v>
      </c>
      <c r="AF133" s="76"/>
      <c r="AG133" s="86"/>
      <c r="AH133" s="77">
        <f t="shared" si="28"/>
        <v>17</v>
      </c>
      <c r="AI133" s="56">
        <v>10</v>
      </c>
      <c r="AJ133" s="56">
        <v>10</v>
      </c>
      <c r="AK133" s="56">
        <v>45</v>
      </c>
      <c r="AL133" s="57">
        <f t="shared" si="29"/>
        <v>82</v>
      </c>
      <c r="AM133" s="55">
        <f t="shared" si="30"/>
        <v>82</v>
      </c>
      <c r="AN133" s="78">
        <f t="shared" si="31"/>
        <v>1.02</v>
      </c>
      <c r="AO133" s="79"/>
      <c r="AP133" s="80">
        <f t="shared" si="34"/>
        <v>1</v>
      </c>
      <c r="AQ133" s="80">
        <f t="shared" si="34"/>
        <v>2</v>
      </c>
      <c r="AR133" s="61"/>
      <c r="AS133" s="62"/>
      <c r="AT133" s="81"/>
      <c r="AU133" s="81"/>
      <c r="AV133" s="81"/>
      <c r="AW133" s="81"/>
      <c r="AX133" s="82"/>
      <c r="AY133" s="83">
        <f t="shared" si="32"/>
        <v>0</v>
      </c>
      <c r="AZ133" s="83">
        <f t="shared" si="22"/>
        <v>0</v>
      </c>
    </row>
    <row r="134" spans="1:52" s="23" customFormat="1" ht="39.75" customHeight="1" thickBot="1" x14ac:dyDescent="0.2">
      <c r="A134" s="101"/>
      <c r="B134" s="101"/>
      <c r="C134" s="101"/>
      <c r="D134" s="101"/>
      <c r="E134" s="101"/>
      <c r="F134" s="101"/>
      <c r="G134" s="90"/>
      <c r="H134" s="158"/>
      <c r="I134" s="92">
        <v>0.51</v>
      </c>
      <c r="J134" s="41">
        <v>0.49</v>
      </c>
      <c r="K134" s="41"/>
      <c r="L134" s="41"/>
      <c r="M134" s="93"/>
      <c r="N134" s="94">
        <f t="shared" si="35"/>
        <v>1</v>
      </c>
      <c r="O134" s="44">
        <v>1</v>
      </c>
      <c r="P134" s="45">
        <v>15</v>
      </c>
      <c r="Q134" s="46">
        <v>15</v>
      </c>
      <c r="R134" s="46"/>
      <c r="S134" s="46"/>
      <c r="T134" s="47"/>
      <c r="U134" s="71">
        <f t="shared" si="23"/>
        <v>15</v>
      </c>
      <c r="V134" s="72">
        <f t="shared" si="24"/>
        <v>15</v>
      </c>
      <c r="W134" s="99"/>
      <c r="X134" s="100"/>
      <c r="Y134" s="85"/>
      <c r="Z134" s="73"/>
      <c r="AA134" s="74"/>
      <c r="AB134" s="75">
        <f t="shared" si="25"/>
        <v>0</v>
      </c>
      <c r="AC134" s="72">
        <f t="shared" si="26"/>
        <v>0</v>
      </c>
      <c r="AD134" s="52">
        <v>2</v>
      </c>
      <c r="AE134" s="71">
        <f t="shared" si="27"/>
        <v>2</v>
      </c>
      <c r="AF134" s="76"/>
      <c r="AG134" s="86"/>
      <c r="AH134" s="77">
        <f t="shared" si="28"/>
        <v>17</v>
      </c>
      <c r="AI134" s="56">
        <v>10</v>
      </c>
      <c r="AJ134" s="56">
        <v>10</v>
      </c>
      <c r="AK134" s="56">
        <v>45</v>
      </c>
      <c r="AL134" s="57">
        <f t="shared" si="29"/>
        <v>82</v>
      </c>
      <c r="AM134" s="55">
        <f t="shared" si="30"/>
        <v>82</v>
      </c>
      <c r="AN134" s="78">
        <f t="shared" si="31"/>
        <v>1.02</v>
      </c>
      <c r="AO134" s="79"/>
      <c r="AP134" s="80">
        <f t="shared" si="34"/>
        <v>1</v>
      </c>
      <c r="AQ134" s="80">
        <f t="shared" si="34"/>
        <v>2</v>
      </c>
      <c r="AR134" s="61"/>
      <c r="AS134" s="62"/>
      <c r="AT134" s="81"/>
      <c r="AU134" s="81"/>
      <c r="AV134" s="81"/>
      <c r="AW134" s="81"/>
      <c r="AX134" s="82"/>
      <c r="AY134" s="83">
        <f t="shared" si="32"/>
        <v>0</v>
      </c>
      <c r="AZ134" s="83">
        <f t="shared" si="22"/>
        <v>0</v>
      </c>
    </row>
    <row r="135" spans="1:52" s="66" customFormat="1" ht="39.75" customHeight="1" thickBot="1" x14ac:dyDescent="0.2">
      <c r="A135" s="101"/>
      <c r="B135" s="101"/>
      <c r="C135" s="101"/>
      <c r="D135" s="101"/>
      <c r="E135" s="101"/>
      <c r="F135" s="101"/>
      <c r="G135" s="90"/>
      <c r="H135" s="158"/>
      <c r="I135" s="92">
        <v>0.51</v>
      </c>
      <c r="J135" s="41">
        <v>0.49</v>
      </c>
      <c r="K135" s="41"/>
      <c r="L135" s="41"/>
      <c r="M135" s="93"/>
      <c r="N135" s="94">
        <f t="shared" si="35"/>
        <v>1</v>
      </c>
      <c r="O135" s="44">
        <v>1</v>
      </c>
      <c r="P135" s="45">
        <v>15</v>
      </c>
      <c r="Q135" s="46">
        <v>15</v>
      </c>
      <c r="R135" s="46"/>
      <c r="S135" s="46"/>
      <c r="T135" s="47"/>
      <c r="U135" s="71">
        <f t="shared" si="23"/>
        <v>15</v>
      </c>
      <c r="V135" s="72">
        <f t="shared" si="24"/>
        <v>15</v>
      </c>
      <c r="W135" s="99"/>
      <c r="X135" s="100"/>
      <c r="Y135" s="85"/>
      <c r="Z135" s="73"/>
      <c r="AA135" s="74"/>
      <c r="AB135" s="75">
        <f t="shared" si="25"/>
        <v>0</v>
      </c>
      <c r="AC135" s="72">
        <f t="shared" si="26"/>
        <v>0</v>
      </c>
      <c r="AD135" s="52">
        <v>2</v>
      </c>
      <c r="AE135" s="71">
        <f t="shared" si="27"/>
        <v>2</v>
      </c>
      <c r="AF135" s="76"/>
      <c r="AG135" s="86"/>
      <c r="AH135" s="77">
        <f t="shared" si="28"/>
        <v>17</v>
      </c>
      <c r="AI135" s="56">
        <v>10</v>
      </c>
      <c r="AJ135" s="56">
        <v>10</v>
      </c>
      <c r="AK135" s="56">
        <v>45</v>
      </c>
      <c r="AL135" s="57">
        <f t="shared" si="29"/>
        <v>82</v>
      </c>
      <c r="AM135" s="55">
        <f t="shared" si="30"/>
        <v>82</v>
      </c>
      <c r="AN135" s="78">
        <f t="shared" si="31"/>
        <v>1.02</v>
      </c>
      <c r="AO135" s="79"/>
      <c r="AP135" s="80">
        <f t="shared" ref="AP135:AQ142" si="36">100%+AO135</f>
        <v>1</v>
      </c>
      <c r="AQ135" s="80">
        <f t="shared" si="36"/>
        <v>2</v>
      </c>
      <c r="AR135" s="61"/>
      <c r="AS135" s="62"/>
      <c r="AT135" s="81"/>
      <c r="AU135" s="81"/>
      <c r="AV135" s="81"/>
      <c r="AW135" s="81"/>
      <c r="AX135" s="82"/>
      <c r="AY135" s="83">
        <f t="shared" si="32"/>
        <v>0</v>
      </c>
      <c r="AZ135" s="83">
        <f t="shared" si="22"/>
        <v>0</v>
      </c>
    </row>
    <row r="136" spans="1:52" s="66" customFormat="1" ht="39.75" customHeight="1" thickBot="1" x14ac:dyDescent="0.2">
      <c r="A136" s="101"/>
      <c r="B136" s="101"/>
      <c r="C136" s="101"/>
      <c r="D136" s="101"/>
      <c r="E136" s="101"/>
      <c r="F136" s="101"/>
      <c r="G136" s="90"/>
      <c r="H136" s="158"/>
      <c r="I136" s="92">
        <v>0.51</v>
      </c>
      <c r="J136" s="41">
        <v>0.49</v>
      </c>
      <c r="K136" s="41"/>
      <c r="L136" s="41"/>
      <c r="M136" s="93"/>
      <c r="N136" s="94">
        <f t="shared" si="35"/>
        <v>1</v>
      </c>
      <c r="O136" s="44">
        <v>1</v>
      </c>
      <c r="P136" s="45">
        <v>15</v>
      </c>
      <c r="Q136" s="46">
        <v>15</v>
      </c>
      <c r="R136" s="46"/>
      <c r="S136" s="46"/>
      <c r="T136" s="47"/>
      <c r="U136" s="71">
        <f t="shared" si="23"/>
        <v>15</v>
      </c>
      <c r="V136" s="72">
        <f t="shared" si="24"/>
        <v>15</v>
      </c>
      <c r="W136" s="99"/>
      <c r="X136" s="100"/>
      <c r="Y136" s="85"/>
      <c r="Z136" s="73"/>
      <c r="AA136" s="74"/>
      <c r="AB136" s="75">
        <f t="shared" si="25"/>
        <v>0</v>
      </c>
      <c r="AC136" s="72">
        <f t="shared" si="26"/>
        <v>0</v>
      </c>
      <c r="AD136" s="52">
        <v>2</v>
      </c>
      <c r="AE136" s="71">
        <f t="shared" si="27"/>
        <v>2</v>
      </c>
      <c r="AF136" s="76"/>
      <c r="AG136" s="86"/>
      <c r="AH136" s="77">
        <f t="shared" si="28"/>
        <v>17</v>
      </c>
      <c r="AI136" s="56">
        <v>10</v>
      </c>
      <c r="AJ136" s="56">
        <v>10</v>
      </c>
      <c r="AK136" s="56">
        <v>45</v>
      </c>
      <c r="AL136" s="57">
        <f t="shared" si="29"/>
        <v>82</v>
      </c>
      <c r="AM136" s="55">
        <f t="shared" si="30"/>
        <v>82</v>
      </c>
      <c r="AN136" s="78">
        <f t="shared" si="31"/>
        <v>1.02</v>
      </c>
      <c r="AO136" s="79"/>
      <c r="AP136" s="80">
        <f t="shared" si="36"/>
        <v>1</v>
      </c>
      <c r="AQ136" s="80">
        <f t="shared" si="36"/>
        <v>2</v>
      </c>
      <c r="AR136" s="61"/>
      <c r="AS136" s="62"/>
      <c r="AT136" s="81"/>
      <c r="AU136" s="81"/>
      <c r="AV136" s="81"/>
      <c r="AW136" s="81"/>
      <c r="AX136" s="82"/>
      <c r="AY136" s="83">
        <f t="shared" si="32"/>
        <v>0</v>
      </c>
      <c r="AZ136" s="83">
        <f t="shared" si="22"/>
        <v>0</v>
      </c>
    </row>
    <row r="137" spans="1:52" s="66" customFormat="1" ht="39.75" customHeight="1" thickBot="1" x14ac:dyDescent="0.2">
      <c r="A137" s="101"/>
      <c r="B137" s="101"/>
      <c r="C137" s="101"/>
      <c r="D137" s="101"/>
      <c r="E137" s="101"/>
      <c r="F137" s="101"/>
      <c r="G137" s="90"/>
      <c r="H137" s="158"/>
      <c r="I137" s="92">
        <v>0.51</v>
      </c>
      <c r="J137" s="41">
        <v>0.49</v>
      </c>
      <c r="K137" s="41"/>
      <c r="L137" s="41"/>
      <c r="M137" s="93"/>
      <c r="N137" s="94">
        <f t="shared" si="35"/>
        <v>1</v>
      </c>
      <c r="O137" s="44">
        <v>1</v>
      </c>
      <c r="P137" s="45">
        <v>15</v>
      </c>
      <c r="Q137" s="46">
        <v>15</v>
      </c>
      <c r="R137" s="46"/>
      <c r="S137" s="46"/>
      <c r="T137" s="47"/>
      <c r="U137" s="71">
        <f t="shared" si="23"/>
        <v>15</v>
      </c>
      <c r="V137" s="72">
        <f t="shared" si="24"/>
        <v>15</v>
      </c>
      <c r="W137" s="99"/>
      <c r="X137" s="100"/>
      <c r="Y137" s="85"/>
      <c r="Z137" s="73"/>
      <c r="AA137" s="74"/>
      <c r="AB137" s="75">
        <f t="shared" si="25"/>
        <v>0</v>
      </c>
      <c r="AC137" s="72">
        <f t="shared" si="26"/>
        <v>0</v>
      </c>
      <c r="AD137" s="52">
        <v>2</v>
      </c>
      <c r="AE137" s="71">
        <f t="shared" si="27"/>
        <v>2</v>
      </c>
      <c r="AF137" s="76"/>
      <c r="AG137" s="86"/>
      <c r="AH137" s="77">
        <f t="shared" si="28"/>
        <v>17</v>
      </c>
      <c r="AI137" s="56">
        <v>10</v>
      </c>
      <c r="AJ137" s="56">
        <v>10</v>
      </c>
      <c r="AK137" s="56">
        <v>45</v>
      </c>
      <c r="AL137" s="57">
        <f t="shared" si="29"/>
        <v>82</v>
      </c>
      <c r="AM137" s="55">
        <f t="shared" si="30"/>
        <v>82</v>
      </c>
      <c r="AN137" s="78">
        <f t="shared" si="31"/>
        <v>1.02</v>
      </c>
      <c r="AO137" s="79"/>
      <c r="AP137" s="80">
        <f t="shared" si="36"/>
        <v>1</v>
      </c>
      <c r="AQ137" s="80">
        <f t="shared" si="36"/>
        <v>2</v>
      </c>
      <c r="AR137" s="61"/>
      <c r="AS137" s="62"/>
      <c r="AT137" s="81"/>
      <c r="AU137" s="81"/>
      <c r="AV137" s="81"/>
      <c r="AW137" s="81"/>
      <c r="AX137" s="82"/>
      <c r="AY137" s="83">
        <f t="shared" si="32"/>
        <v>0</v>
      </c>
      <c r="AZ137" s="83">
        <f t="shared" si="22"/>
        <v>0</v>
      </c>
    </row>
    <row r="138" spans="1:52" s="23" customFormat="1" ht="39.75" customHeight="1" thickBot="1" x14ac:dyDescent="0.2">
      <c r="A138" s="101"/>
      <c r="B138" s="101"/>
      <c r="C138" s="101"/>
      <c r="D138" s="101"/>
      <c r="E138" s="101"/>
      <c r="F138" s="101"/>
      <c r="G138" s="90"/>
      <c r="H138" s="158"/>
      <c r="I138" s="92">
        <v>0.51</v>
      </c>
      <c r="J138" s="41">
        <v>0.49</v>
      </c>
      <c r="K138" s="41"/>
      <c r="L138" s="41"/>
      <c r="M138" s="93"/>
      <c r="N138" s="94">
        <f t="shared" si="35"/>
        <v>1</v>
      </c>
      <c r="O138" s="44">
        <v>1</v>
      </c>
      <c r="P138" s="45">
        <v>15</v>
      </c>
      <c r="Q138" s="46">
        <v>15</v>
      </c>
      <c r="R138" s="46"/>
      <c r="S138" s="46"/>
      <c r="T138" s="47"/>
      <c r="U138" s="71">
        <f t="shared" si="23"/>
        <v>15</v>
      </c>
      <c r="V138" s="72">
        <f t="shared" si="24"/>
        <v>15</v>
      </c>
      <c r="W138" s="99"/>
      <c r="X138" s="100"/>
      <c r="Y138" s="85"/>
      <c r="Z138" s="73"/>
      <c r="AA138" s="74"/>
      <c r="AB138" s="75">
        <f t="shared" si="25"/>
        <v>0</v>
      </c>
      <c r="AC138" s="72">
        <f t="shared" si="26"/>
        <v>0</v>
      </c>
      <c r="AD138" s="52">
        <v>2</v>
      </c>
      <c r="AE138" s="71">
        <f t="shared" si="27"/>
        <v>2</v>
      </c>
      <c r="AF138" s="76"/>
      <c r="AG138" s="86"/>
      <c r="AH138" s="77">
        <f t="shared" si="28"/>
        <v>17</v>
      </c>
      <c r="AI138" s="56">
        <v>10</v>
      </c>
      <c r="AJ138" s="56">
        <v>10</v>
      </c>
      <c r="AK138" s="56">
        <v>45</v>
      </c>
      <c r="AL138" s="57">
        <f t="shared" si="29"/>
        <v>82</v>
      </c>
      <c r="AM138" s="55">
        <f t="shared" si="30"/>
        <v>82</v>
      </c>
      <c r="AN138" s="78">
        <f t="shared" si="31"/>
        <v>1.02</v>
      </c>
      <c r="AO138" s="79"/>
      <c r="AP138" s="80">
        <f t="shared" si="36"/>
        <v>1</v>
      </c>
      <c r="AQ138" s="80">
        <f t="shared" si="36"/>
        <v>2</v>
      </c>
      <c r="AR138" s="61"/>
      <c r="AS138" s="62"/>
      <c r="AT138" s="81"/>
      <c r="AU138" s="81"/>
      <c r="AV138" s="81"/>
      <c r="AW138" s="81"/>
      <c r="AX138" s="82"/>
      <c r="AY138" s="83">
        <f t="shared" si="32"/>
        <v>0</v>
      </c>
      <c r="AZ138" s="83">
        <f t="shared" si="22"/>
        <v>0</v>
      </c>
    </row>
    <row r="139" spans="1:52" s="66" customFormat="1" ht="39.75" customHeight="1" thickBot="1" x14ac:dyDescent="0.2">
      <c r="A139" s="101"/>
      <c r="B139" s="101"/>
      <c r="C139" s="101"/>
      <c r="D139" s="101"/>
      <c r="E139" s="101"/>
      <c r="F139" s="101"/>
      <c r="G139" s="90"/>
      <c r="H139" s="158"/>
      <c r="I139" s="92">
        <v>0.51</v>
      </c>
      <c r="J139" s="41">
        <v>0.49</v>
      </c>
      <c r="K139" s="41"/>
      <c r="L139" s="41"/>
      <c r="M139" s="93"/>
      <c r="N139" s="94">
        <f t="shared" si="35"/>
        <v>1</v>
      </c>
      <c r="O139" s="44">
        <v>1</v>
      </c>
      <c r="P139" s="45">
        <v>15</v>
      </c>
      <c r="Q139" s="46">
        <v>15</v>
      </c>
      <c r="R139" s="46"/>
      <c r="S139" s="46"/>
      <c r="T139" s="47"/>
      <c r="U139" s="71">
        <f t="shared" si="23"/>
        <v>15</v>
      </c>
      <c r="V139" s="72">
        <f t="shared" si="24"/>
        <v>15</v>
      </c>
      <c r="W139" s="99"/>
      <c r="X139" s="100"/>
      <c r="Y139" s="85"/>
      <c r="Z139" s="73"/>
      <c r="AA139" s="74"/>
      <c r="AB139" s="75">
        <f t="shared" si="25"/>
        <v>0</v>
      </c>
      <c r="AC139" s="72">
        <f t="shared" si="26"/>
        <v>0</v>
      </c>
      <c r="AD139" s="52">
        <v>2</v>
      </c>
      <c r="AE139" s="71">
        <f t="shared" si="27"/>
        <v>2</v>
      </c>
      <c r="AF139" s="76"/>
      <c r="AG139" s="86"/>
      <c r="AH139" s="77">
        <f t="shared" si="28"/>
        <v>17</v>
      </c>
      <c r="AI139" s="56">
        <v>10</v>
      </c>
      <c r="AJ139" s="56">
        <v>10</v>
      </c>
      <c r="AK139" s="56">
        <v>45</v>
      </c>
      <c r="AL139" s="57">
        <f t="shared" si="29"/>
        <v>82</v>
      </c>
      <c r="AM139" s="55">
        <f t="shared" si="30"/>
        <v>82</v>
      </c>
      <c r="AN139" s="78">
        <f t="shared" si="31"/>
        <v>1.02</v>
      </c>
      <c r="AO139" s="79"/>
      <c r="AP139" s="80">
        <f t="shared" si="36"/>
        <v>1</v>
      </c>
      <c r="AQ139" s="80">
        <f t="shared" si="36"/>
        <v>2</v>
      </c>
      <c r="AR139" s="61"/>
      <c r="AS139" s="62"/>
      <c r="AT139" s="81"/>
      <c r="AU139" s="81"/>
      <c r="AV139" s="81"/>
      <c r="AW139" s="81"/>
      <c r="AX139" s="82"/>
      <c r="AY139" s="83">
        <f t="shared" si="32"/>
        <v>0</v>
      </c>
      <c r="AZ139" s="83">
        <f t="shared" si="22"/>
        <v>0</v>
      </c>
    </row>
    <row r="140" spans="1:52" s="23" customFormat="1" ht="39.75" customHeight="1" thickBot="1" x14ac:dyDescent="0.2">
      <c r="A140" s="101"/>
      <c r="B140" s="101"/>
      <c r="C140" s="101"/>
      <c r="D140" s="101"/>
      <c r="E140" s="101"/>
      <c r="F140" s="101"/>
      <c r="G140" s="90"/>
      <c r="H140" s="158"/>
      <c r="I140" s="92">
        <v>0.51</v>
      </c>
      <c r="J140" s="41">
        <v>0.49</v>
      </c>
      <c r="K140" s="41"/>
      <c r="L140" s="41"/>
      <c r="M140" s="93"/>
      <c r="N140" s="94">
        <f t="shared" si="35"/>
        <v>1</v>
      </c>
      <c r="O140" s="44">
        <v>1</v>
      </c>
      <c r="P140" s="45">
        <v>15</v>
      </c>
      <c r="Q140" s="46">
        <v>15</v>
      </c>
      <c r="R140" s="46"/>
      <c r="S140" s="46"/>
      <c r="T140" s="47"/>
      <c r="U140" s="71">
        <f t="shared" si="23"/>
        <v>15</v>
      </c>
      <c r="V140" s="72">
        <f t="shared" si="24"/>
        <v>15</v>
      </c>
      <c r="W140" s="99"/>
      <c r="X140" s="100"/>
      <c r="Y140" s="85"/>
      <c r="Z140" s="73"/>
      <c r="AA140" s="74"/>
      <c r="AB140" s="75">
        <f t="shared" si="25"/>
        <v>0</v>
      </c>
      <c r="AC140" s="72">
        <f t="shared" si="26"/>
        <v>0</v>
      </c>
      <c r="AD140" s="52">
        <v>2</v>
      </c>
      <c r="AE140" s="71">
        <f t="shared" si="27"/>
        <v>2</v>
      </c>
      <c r="AF140" s="76"/>
      <c r="AG140" s="86"/>
      <c r="AH140" s="77">
        <f t="shared" si="28"/>
        <v>17</v>
      </c>
      <c r="AI140" s="56">
        <v>10</v>
      </c>
      <c r="AJ140" s="56">
        <v>10</v>
      </c>
      <c r="AK140" s="56">
        <v>45</v>
      </c>
      <c r="AL140" s="57">
        <f t="shared" si="29"/>
        <v>82</v>
      </c>
      <c r="AM140" s="55">
        <f t="shared" si="30"/>
        <v>82</v>
      </c>
      <c r="AN140" s="78">
        <f t="shared" si="31"/>
        <v>1.02</v>
      </c>
      <c r="AO140" s="79"/>
      <c r="AP140" s="80">
        <f t="shared" si="36"/>
        <v>1</v>
      </c>
      <c r="AQ140" s="80">
        <f t="shared" si="36"/>
        <v>2</v>
      </c>
      <c r="AR140" s="61"/>
      <c r="AS140" s="62"/>
      <c r="AT140" s="81"/>
      <c r="AU140" s="81"/>
      <c r="AV140" s="81"/>
      <c r="AW140" s="81"/>
      <c r="AX140" s="82"/>
      <c r="AY140" s="83">
        <f t="shared" si="32"/>
        <v>0</v>
      </c>
      <c r="AZ140" s="83">
        <f t="shared" si="22"/>
        <v>0</v>
      </c>
    </row>
    <row r="141" spans="1:52" s="66" customFormat="1" ht="39.75" customHeight="1" thickBot="1" x14ac:dyDescent="0.2">
      <c r="A141" s="101"/>
      <c r="B141" s="101"/>
      <c r="C141" s="101"/>
      <c r="D141" s="101"/>
      <c r="E141" s="101"/>
      <c r="F141" s="101"/>
      <c r="G141" s="90"/>
      <c r="H141" s="158"/>
      <c r="I141" s="92">
        <v>0.51</v>
      </c>
      <c r="J141" s="41">
        <v>0.49</v>
      </c>
      <c r="K141" s="41"/>
      <c r="L141" s="41"/>
      <c r="M141" s="93"/>
      <c r="N141" s="94">
        <f t="shared" si="35"/>
        <v>1</v>
      </c>
      <c r="O141" s="44">
        <v>1</v>
      </c>
      <c r="P141" s="45">
        <v>15</v>
      </c>
      <c r="Q141" s="46">
        <v>15</v>
      </c>
      <c r="R141" s="46"/>
      <c r="S141" s="46"/>
      <c r="T141" s="47"/>
      <c r="U141" s="71">
        <f t="shared" si="23"/>
        <v>15</v>
      </c>
      <c r="V141" s="72">
        <f t="shared" si="24"/>
        <v>15</v>
      </c>
      <c r="W141" s="99"/>
      <c r="X141" s="100"/>
      <c r="Y141" s="85"/>
      <c r="Z141" s="73"/>
      <c r="AA141" s="74"/>
      <c r="AB141" s="75">
        <f t="shared" si="25"/>
        <v>0</v>
      </c>
      <c r="AC141" s="72">
        <f t="shared" si="26"/>
        <v>0</v>
      </c>
      <c r="AD141" s="52">
        <v>2</v>
      </c>
      <c r="AE141" s="71">
        <f t="shared" si="27"/>
        <v>2</v>
      </c>
      <c r="AF141" s="76"/>
      <c r="AG141" s="86"/>
      <c r="AH141" s="77">
        <f t="shared" si="28"/>
        <v>17</v>
      </c>
      <c r="AI141" s="56">
        <v>10</v>
      </c>
      <c r="AJ141" s="56">
        <v>10</v>
      </c>
      <c r="AK141" s="56">
        <v>45</v>
      </c>
      <c r="AL141" s="57">
        <f t="shared" si="29"/>
        <v>82</v>
      </c>
      <c r="AM141" s="55">
        <f t="shared" si="30"/>
        <v>82</v>
      </c>
      <c r="AN141" s="78">
        <f t="shared" si="31"/>
        <v>1.02</v>
      </c>
      <c r="AO141" s="79"/>
      <c r="AP141" s="80">
        <f t="shared" si="36"/>
        <v>1</v>
      </c>
      <c r="AQ141" s="80">
        <f t="shared" si="36"/>
        <v>2</v>
      </c>
      <c r="AR141" s="61"/>
      <c r="AS141" s="62"/>
      <c r="AT141" s="81"/>
      <c r="AU141" s="81"/>
      <c r="AV141" s="81"/>
      <c r="AW141" s="81"/>
      <c r="AX141" s="82"/>
      <c r="AY141" s="83">
        <f t="shared" si="32"/>
        <v>0</v>
      </c>
      <c r="AZ141" s="83">
        <f t="shared" si="22"/>
        <v>0</v>
      </c>
    </row>
    <row r="142" spans="1:52" s="66" customFormat="1" ht="39.75" customHeight="1" thickBot="1" x14ac:dyDescent="0.2">
      <c r="A142" s="101"/>
      <c r="B142" s="101"/>
      <c r="C142" s="101"/>
      <c r="D142" s="101"/>
      <c r="E142" s="101"/>
      <c r="F142" s="101"/>
      <c r="G142" s="90"/>
      <c r="H142" s="158"/>
      <c r="I142" s="92">
        <v>0.51</v>
      </c>
      <c r="J142" s="41">
        <v>0.49</v>
      </c>
      <c r="K142" s="41"/>
      <c r="L142" s="41"/>
      <c r="M142" s="93"/>
      <c r="N142" s="94">
        <f t="shared" si="35"/>
        <v>1</v>
      </c>
      <c r="O142" s="44">
        <v>1</v>
      </c>
      <c r="P142" s="45">
        <v>15</v>
      </c>
      <c r="Q142" s="46">
        <v>15</v>
      </c>
      <c r="R142" s="46"/>
      <c r="S142" s="46"/>
      <c r="T142" s="47"/>
      <c r="U142" s="71">
        <f t="shared" si="23"/>
        <v>15</v>
      </c>
      <c r="V142" s="72">
        <f t="shared" si="24"/>
        <v>15</v>
      </c>
      <c r="W142" s="99"/>
      <c r="X142" s="100"/>
      <c r="Y142" s="85"/>
      <c r="Z142" s="73"/>
      <c r="AA142" s="74"/>
      <c r="AB142" s="75">
        <f t="shared" si="25"/>
        <v>0</v>
      </c>
      <c r="AC142" s="72">
        <f t="shared" si="26"/>
        <v>0</v>
      </c>
      <c r="AD142" s="52">
        <v>2</v>
      </c>
      <c r="AE142" s="71">
        <f t="shared" si="27"/>
        <v>2</v>
      </c>
      <c r="AF142" s="86"/>
      <c r="AG142" s="86"/>
      <c r="AH142" s="77">
        <f t="shared" si="28"/>
        <v>17</v>
      </c>
      <c r="AI142" s="56">
        <v>10</v>
      </c>
      <c r="AJ142" s="56">
        <v>10</v>
      </c>
      <c r="AK142" s="56">
        <v>45</v>
      </c>
      <c r="AL142" s="57">
        <f t="shared" si="29"/>
        <v>82</v>
      </c>
      <c r="AM142" s="55">
        <f t="shared" si="30"/>
        <v>82</v>
      </c>
      <c r="AN142" s="78">
        <f t="shared" si="31"/>
        <v>1.02</v>
      </c>
      <c r="AO142" s="79"/>
      <c r="AP142" s="80">
        <f t="shared" si="36"/>
        <v>1</v>
      </c>
      <c r="AQ142" s="80">
        <f t="shared" si="36"/>
        <v>2</v>
      </c>
      <c r="AR142" s="61"/>
      <c r="AS142" s="62"/>
      <c r="AT142" s="81"/>
      <c r="AU142" s="81"/>
      <c r="AV142" s="81"/>
      <c r="AW142" s="81"/>
      <c r="AX142" s="82"/>
      <c r="AY142" s="83">
        <f t="shared" si="32"/>
        <v>0</v>
      </c>
      <c r="AZ142" s="83">
        <f t="shared" si="22"/>
        <v>0</v>
      </c>
    </row>
  </sheetData>
  <mergeCells count="47">
    <mergeCell ref="AG1:AJ1"/>
    <mergeCell ref="D2:E2"/>
    <mergeCell ref="I2:J2"/>
    <mergeCell ref="M2:P2"/>
    <mergeCell ref="W2:X2"/>
    <mergeCell ref="Y2:Z2"/>
    <mergeCell ref="AA2:AB2"/>
    <mergeCell ref="D1:E1"/>
    <mergeCell ref="I1:J1"/>
    <mergeCell ref="W1:X1"/>
    <mergeCell ref="Y1:Z1"/>
    <mergeCell ref="AA1:AB1"/>
    <mergeCell ref="AE1:AF1"/>
    <mergeCell ref="AS3:AS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AN3:AN4"/>
    <mergeCell ref="AO3:AO4"/>
    <mergeCell ref="AP3:AP4"/>
    <mergeCell ref="AQ3:AQ4"/>
    <mergeCell ref="AR3:AR4"/>
    <mergeCell ref="AZ3:AZ4"/>
    <mergeCell ref="AT3:AT4"/>
    <mergeCell ref="AU3:AU4"/>
    <mergeCell ref="AV3:AV4"/>
    <mergeCell ref="AW3:AW4"/>
    <mergeCell ref="AX3:AX4"/>
    <mergeCell ref="AY3:AY4"/>
    <mergeCell ref="C26:G26"/>
    <mergeCell ref="C28:G28"/>
    <mergeCell ref="C6:G6"/>
    <mergeCell ref="C8:G8"/>
    <mergeCell ref="C10:G10"/>
    <mergeCell ref="C18:G18"/>
    <mergeCell ref="C13:G13"/>
    <mergeCell ref="C16:G16"/>
    <mergeCell ref="C20:G20"/>
    <mergeCell ref="C22:G22"/>
    <mergeCell ref="C24:G24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64" max="51" man="1"/>
  </rowBreaks>
  <colBreaks count="2" manualBreakCount="2">
    <brk id="14" max="132" man="1"/>
    <brk id="40" max="1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Z151"/>
  <sheetViews>
    <sheetView zoomScale="86" zoomScaleNormal="86" workbookViewId="0">
      <selection activeCell="G50" sqref="G50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8.77734375" style="102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103" hidden="1" customWidth="1"/>
    <col min="23" max="27" width="8.33203125" style="1" customWidth="1"/>
    <col min="28" max="28" width="7.6640625" style="1" customWidth="1"/>
    <col min="29" max="29" width="7.6640625" style="103" hidden="1" customWidth="1"/>
    <col min="30" max="31" width="7.6640625" style="103" customWidth="1"/>
    <col min="32" max="33" width="6.109375" style="1" customWidth="1"/>
    <col min="34" max="34" width="7.6640625" style="1" customWidth="1"/>
    <col min="35" max="37" width="4.5546875" style="1" customWidth="1"/>
    <col min="38" max="38" width="6.7773437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58</v>
      </c>
      <c r="D1" s="366">
        <v>6421335000</v>
      </c>
      <c r="E1" s="366"/>
      <c r="F1" s="4"/>
      <c r="G1" s="5"/>
      <c r="H1" s="6" t="s">
        <v>57</v>
      </c>
      <c r="I1" s="367">
        <v>7354922041</v>
      </c>
      <c r="J1" s="368"/>
      <c r="K1" s="7" t="s">
        <v>357</v>
      </c>
      <c r="L1" s="178"/>
      <c r="M1" s="178"/>
      <c r="N1" s="8"/>
      <c r="O1" s="8"/>
      <c r="P1" s="8"/>
      <c r="Q1" s="8"/>
      <c r="R1" s="8"/>
      <c r="S1" s="8"/>
      <c r="T1" s="8"/>
      <c r="U1" s="8"/>
      <c r="V1" s="8"/>
      <c r="W1" s="369" t="s">
        <v>56</v>
      </c>
      <c r="X1" s="369"/>
      <c r="Y1" s="370" t="s">
        <v>55</v>
      </c>
      <c r="Z1" s="371"/>
      <c r="AA1" s="372" t="s">
        <v>0</v>
      </c>
      <c r="AB1" s="373"/>
      <c r="AC1" s="11"/>
      <c r="AD1" s="11"/>
      <c r="AE1" s="374" t="s">
        <v>54</v>
      </c>
      <c r="AF1" s="375"/>
      <c r="AG1" s="355">
        <f>D1</f>
        <v>6421335000</v>
      </c>
      <c r="AH1" s="355"/>
      <c r="AI1" s="355"/>
      <c r="AJ1" s="355"/>
      <c r="AK1" s="9" t="s">
        <v>53</v>
      </c>
      <c r="AL1" s="10"/>
      <c r="AM1" s="10"/>
      <c r="AN1" s="8"/>
      <c r="AQ1" s="104"/>
    </row>
    <row r="2" spans="1:52" s="19" customFormat="1" ht="29.25" customHeight="1" thickBot="1" x14ac:dyDescent="0.2">
      <c r="A2" s="11"/>
      <c r="B2" s="12"/>
      <c r="C2" s="13" t="s">
        <v>52</v>
      </c>
      <c r="D2" s="356">
        <v>6540903000</v>
      </c>
      <c r="E2" s="356"/>
      <c r="F2" s="14"/>
      <c r="G2" s="15"/>
      <c r="H2" s="3" t="s">
        <v>51</v>
      </c>
      <c r="I2" s="357">
        <f>D2*2</f>
        <v>13081806000</v>
      </c>
      <c r="J2" s="358"/>
      <c r="K2" s="16" t="s">
        <v>50</v>
      </c>
      <c r="L2" s="177" t="s">
        <v>49</v>
      </c>
      <c r="M2" s="359">
        <v>45989.583333333336</v>
      </c>
      <c r="N2" s="359"/>
      <c r="O2" s="359"/>
      <c r="P2" s="359"/>
      <c r="Q2" s="176" t="s">
        <v>297</v>
      </c>
      <c r="R2" s="176"/>
      <c r="S2" s="176"/>
      <c r="T2" s="17"/>
      <c r="U2" s="175"/>
      <c r="V2" s="175"/>
      <c r="W2" s="360">
        <v>9387660000</v>
      </c>
      <c r="X2" s="360"/>
      <c r="Y2" s="361">
        <f>I1</f>
        <v>7354922041</v>
      </c>
      <c r="Z2" s="362"/>
      <c r="AA2" s="363">
        <f>TRUNC(W2/Y2,4)</f>
        <v>1.2763</v>
      </c>
      <c r="AB2" s="364"/>
      <c r="AC2" s="18"/>
      <c r="AD2" s="260"/>
      <c r="AE2" s="145"/>
      <c r="AF2" s="145"/>
      <c r="AG2" s="145"/>
      <c r="AH2" s="145"/>
      <c r="AI2" s="145"/>
      <c r="AJ2" s="145"/>
      <c r="AK2" s="145"/>
      <c r="AL2" s="145"/>
      <c r="AM2" s="145"/>
      <c r="AN2" s="104" t="s">
        <v>61</v>
      </c>
      <c r="AO2" s="20"/>
      <c r="AP2" s="104"/>
      <c r="AQ2" s="104"/>
      <c r="AR2" s="104"/>
      <c r="AS2" s="1"/>
      <c r="AT2" s="21" t="s">
        <v>48</v>
      </c>
      <c r="AU2" s="377">
        <f>AG1</f>
        <v>6421335000</v>
      </c>
      <c r="AV2" s="378"/>
      <c r="AY2" s="22"/>
    </row>
    <row r="3" spans="1:52" s="23" customFormat="1" ht="24.95" customHeight="1" thickBot="1" x14ac:dyDescent="0.2">
      <c r="A3" s="379" t="s">
        <v>47</v>
      </c>
      <c r="B3" s="381" t="s">
        <v>46</v>
      </c>
      <c r="C3" s="383" t="s">
        <v>45</v>
      </c>
      <c r="D3" s="384"/>
      <c r="E3" s="384"/>
      <c r="F3" s="384"/>
      <c r="G3" s="384"/>
      <c r="H3" s="385"/>
      <c r="I3" s="383" t="s">
        <v>19</v>
      </c>
      <c r="J3" s="384"/>
      <c r="K3" s="384"/>
      <c r="L3" s="384"/>
      <c r="M3" s="385"/>
      <c r="N3" s="386" t="s">
        <v>18</v>
      </c>
      <c r="O3" s="388" t="s">
        <v>17</v>
      </c>
      <c r="P3" s="383" t="s">
        <v>44</v>
      </c>
      <c r="Q3" s="384"/>
      <c r="R3" s="390"/>
      <c r="S3" s="390"/>
      <c r="T3" s="384"/>
      <c r="U3" s="385"/>
      <c r="V3" s="264"/>
      <c r="W3" s="383" t="s">
        <v>4</v>
      </c>
      <c r="X3" s="384"/>
      <c r="Y3" s="384"/>
      <c r="Z3" s="384"/>
      <c r="AA3" s="384"/>
      <c r="AB3" s="384"/>
      <c r="AC3" s="384"/>
      <c r="AD3" s="384"/>
      <c r="AE3" s="385"/>
      <c r="AF3" s="383"/>
      <c r="AG3" s="384"/>
      <c r="AH3" s="384"/>
      <c r="AI3" s="384"/>
      <c r="AJ3" s="384"/>
      <c r="AK3" s="384"/>
      <c r="AL3" s="384"/>
      <c r="AM3" s="385"/>
      <c r="AN3" s="391" t="s">
        <v>43</v>
      </c>
      <c r="AO3" s="393" t="s">
        <v>42</v>
      </c>
      <c r="AP3" s="395" t="s">
        <v>41</v>
      </c>
      <c r="AQ3" s="397" t="s">
        <v>16</v>
      </c>
      <c r="AR3" s="399" t="s">
        <v>40</v>
      </c>
      <c r="AS3" s="376" t="s">
        <v>39</v>
      </c>
      <c r="AT3" s="393" t="s">
        <v>38</v>
      </c>
      <c r="AU3" s="376" t="s">
        <v>15</v>
      </c>
      <c r="AV3" s="376" t="s">
        <v>37</v>
      </c>
      <c r="AW3" s="376" t="s">
        <v>36</v>
      </c>
      <c r="AX3" s="400" t="s">
        <v>14</v>
      </c>
      <c r="AY3" s="376" t="s">
        <v>13</v>
      </c>
      <c r="AZ3" s="376" t="s">
        <v>12</v>
      </c>
    </row>
    <row r="4" spans="1:52" s="23" customFormat="1" ht="39.75" customHeight="1" thickBot="1" x14ac:dyDescent="0.2">
      <c r="A4" s="380"/>
      <c r="B4" s="382"/>
      <c r="C4" s="24" t="s">
        <v>32</v>
      </c>
      <c r="D4" s="25" t="s">
        <v>31</v>
      </c>
      <c r="E4" s="26" t="s">
        <v>9</v>
      </c>
      <c r="F4" s="26" t="s">
        <v>8</v>
      </c>
      <c r="G4" s="27" t="s">
        <v>10</v>
      </c>
      <c r="H4" s="264" t="s">
        <v>35</v>
      </c>
      <c r="I4" s="28" t="s">
        <v>32</v>
      </c>
      <c r="J4" s="29" t="s">
        <v>31</v>
      </c>
      <c r="K4" s="25" t="s">
        <v>9</v>
      </c>
      <c r="L4" s="25" t="s">
        <v>8</v>
      </c>
      <c r="M4" s="30" t="s">
        <v>7</v>
      </c>
      <c r="N4" s="387"/>
      <c r="O4" s="389"/>
      <c r="P4" s="28" t="s">
        <v>32</v>
      </c>
      <c r="Q4" s="29" t="s">
        <v>31</v>
      </c>
      <c r="R4" s="25" t="s">
        <v>9</v>
      </c>
      <c r="S4" s="25" t="s">
        <v>11</v>
      </c>
      <c r="T4" s="30" t="s">
        <v>7</v>
      </c>
      <c r="U4" s="31" t="s">
        <v>34</v>
      </c>
      <c r="V4" s="32" t="s">
        <v>33</v>
      </c>
      <c r="W4" s="33" t="s">
        <v>32</v>
      </c>
      <c r="X4" s="29" t="s">
        <v>31</v>
      </c>
      <c r="Y4" s="29" t="s">
        <v>30</v>
      </c>
      <c r="Z4" s="29" t="s">
        <v>11</v>
      </c>
      <c r="AA4" s="30" t="s">
        <v>10</v>
      </c>
      <c r="AB4" s="34" t="s">
        <v>29</v>
      </c>
      <c r="AC4" s="35" t="s">
        <v>28</v>
      </c>
      <c r="AD4" s="36" t="s">
        <v>27</v>
      </c>
      <c r="AE4" s="36" t="s">
        <v>26</v>
      </c>
      <c r="AF4" s="37" t="s">
        <v>25</v>
      </c>
      <c r="AG4" s="37" t="s">
        <v>24</v>
      </c>
      <c r="AH4" s="38" t="s">
        <v>23</v>
      </c>
      <c r="AI4" s="38" t="s">
        <v>22</v>
      </c>
      <c r="AJ4" s="38" t="s">
        <v>21</v>
      </c>
      <c r="AK4" s="39" t="s">
        <v>6</v>
      </c>
      <c r="AL4" s="39"/>
      <c r="AM4" s="39" t="s">
        <v>5</v>
      </c>
      <c r="AN4" s="392"/>
      <c r="AO4" s="394"/>
      <c r="AP4" s="396"/>
      <c r="AQ4" s="398"/>
      <c r="AR4" s="399"/>
      <c r="AS4" s="376"/>
      <c r="AT4" s="394"/>
      <c r="AU4" s="376"/>
      <c r="AV4" s="376"/>
      <c r="AW4" s="376"/>
      <c r="AX4" s="401"/>
      <c r="AY4" s="376"/>
      <c r="AZ4" s="376"/>
    </row>
    <row r="5" spans="1:52" s="66" customFormat="1" ht="39.75" customHeight="1" thickBot="1" x14ac:dyDescent="0.2">
      <c r="A5" s="96">
        <v>1</v>
      </c>
      <c r="B5" s="91" t="s">
        <v>294</v>
      </c>
      <c r="C5" s="278" t="s">
        <v>306</v>
      </c>
      <c r="D5" s="284" t="s">
        <v>352</v>
      </c>
      <c r="E5" s="131"/>
      <c r="F5" s="110"/>
      <c r="G5" s="97"/>
      <c r="H5" s="254" t="s">
        <v>301</v>
      </c>
      <c r="I5" s="271">
        <v>0.7</v>
      </c>
      <c r="J5" s="297">
        <v>0.2238</v>
      </c>
      <c r="K5" s="174"/>
      <c r="L5" s="42"/>
      <c r="M5" s="68"/>
      <c r="N5" s="69">
        <f>SUM(I5:M5)</f>
        <v>0.92379999999999995</v>
      </c>
      <c r="O5" s="125">
        <v>1</v>
      </c>
      <c r="P5" s="279">
        <v>15</v>
      </c>
      <c r="Q5" s="287">
        <v>15</v>
      </c>
      <c r="R5" s="113"/>
      <c r="S5" s="120"/>
      <c r="T5" s="70"/>
      <c r="U5" s="71">
        <f>ROUND(((P5*I5)+(Q5*J5)+(R5*K5)+(S5*L5)+(T5*M5))*O5,2)</f>
        <v>13.86</v>
      </c>
      <c r="V5" s="72">
        <f>IF(U5&gt;=15,15,U5)</f>
        <v>13.86</v>
      </c>
      <c r="W5" s="274">
        <v>34748832000</v>
      </c>
      <c r="X5" s="282">
        <v>856275000</v>
      </c>
      <c r="Y5" s="116"/>
      <c r="Z5" s="119"/>
      <c r="AA5" s="74"/>
      <c r="AB5" s="75">
        <f>ROUND((((W5*I5)+(X5*J5)+(Y5*K5)+(Z5*L5)+(AA5*M5))/$I$2),2)*13</f>
        <v>24.310000000000002</v>
      </c>
      <c r="AC5" s="72">
        <f>IF(AB5&gt;=13,13,AB5)</f>
        <v>13</v>
      </c>
      <c r="AD5" s="149">
        <v>0</v>
      </c>
      <c r="AE5" s="71">
        <f>IF((AC5+AD5)&gt;=15,15,(AC5+AD5))</f>
        <v>13</v>
      </c>
      <c r="AF5" s="76">
        <f>0.5*I5</f>
        <v>0.35</v>
      </c>
      <c r="AG5" s="54">
        <v>3.32</v>
      </c>
      <c r="AH5" s="77">
        <f>IF((V5+AE5+AF5)&gt;=30,30,(V5+AE5+AF5))</f>
        <v>27.21</v>
      </c>
      <c r="AI5" s="56">
        <v>10</v>
      </c>
      <c r="AJ5" s="56">
        <v>10</v>
      </c>
      <c r="AK5" s="56">
        <v>45</v>
      </c>
      <c r="AL5" s="57">
        <f>V5+AE5+AF5+AI5+AJ5+AK5+AG5</f>
        <v>95.53</v>
      </c>
      <c r="AM5" s="55">
        <f>IF(AH5+AI5+AJ5+AK5+AG5&gt;=95,95,AH5+AI5+AJ5+AK5+AG5)</f>
        <v>95</v>
      </c>
      <c r="AN5" s="78">
        <f>-((50-((176+(45+(50-AH5)))))/200)</f>
        <v>0.96894999999999998</v>
      </c>
      <c r="AO5" s="79"/>
      <c r="AP5" s="80">
        <f>100%+AO5</f>
        <v>1</v>
      </c>
      <c r="AQ5" s="80">
        <f>100%+AP5</f>
        <v>2</v>
      </c>
      <c r="AR5" s="277"/>
      <c r="AS5" s="289"/>
      <c r="AT5" s="81"/>
      <c r="AU5" s="81"/>
      <c r="AV5" s="81"/>
      <c r="AW5" s="81"/>
      <c r="AX5" s="82"/>
      <c r="AY5" s="83">
        <f>AT5+AU5+AV5+AW5+AX5</f>
        <v>0</v>
      </c>
      <c r="AZ5" s="83">
        <f>(AT5*I5)+(AU5*J5)+(AV5*K5)+(AW5*L5)+(AX5*M5)</f>
        <v>0</v>
      </c>
    </row>
    <row r="6" spans="1:52" s="66" customFormat="1" ht="21.95" customHeight="1" thickBot="1" x14ac:dyDescent="0.2">
      <c r="A6" s="96"/>
      <c r="B6" s="91"/>
      <c r="C6" s="352" t="s">
        <v>3</v>
      </c>
      <c r="D6" s="353"/>
      <c r="E6" s="353"/>
      <c r="F6" s="353"/>
      <c r="G6" s="354"/>
      <c r="H6" s="67"/>
      <c r="I6" s="276">
        <v>85</v>
      </c>
      <c r="J6" s="276">
        <v>85</v>
      </c>
      <c r="K6" s="84"/>
      <c r="L6" s="84"/>
      <c r="M6" s="84"/>
      <c r="N6" s="168">
        <f>I6*I5+J6*J5+K6*K5+L6*L5+M6*M5</f>
        <v>78.522999999999996</v>
      </c>
      <c r="O6" s="44"/>
      <c r="P6" s="45"/>
      <c r="Q6" s="46"/>
      <c r="R6" s="46"/>
      <c r="S6" s="47"/>
      <c r="T6" s="70"/>
      <c r="U6" s="71"/>
      <c r="V6" s="72"/>
      <c r="W6" s="150"/>
      <c r="X6" s="85"/>
      <c r="Y6" s="151"/>
      <c r="Z6" s="85"/>
      <c r="AA6" s="74"/>
      <c r="AB6" s="75"/>
      <c r="AC6" s="72"/>
      <c r="AD6" s="71"/>
      <c r="AE6" s="71"/>
      <c r="AF6" s="152"/>
      <c r="AG6" s="86"/>
      <c r="AH6" s="77"/>
      <c r="AI6" s="87"/>
      <c r="AJ6" s="46"/>
      <c r="AK6" s="77"/>
      <c r="AL6" s="78"/>
      <c r="AM6" s="79"/>
      <c r="AN6" s="80"/>
      <c r="AO6" s="80"/>
      <c r="AP6" s="61"/>
      <c r="AQ6" s="62"/>
      <c r="AR6" s="81"/>
      <c r="AS6" s="81"/>
      <c r="AT6" s="81"/>
      <c r="AU6" s="81"/>
      <c r="AV6" s="82"/>
      <c r="AW6" s="83"/>
      <c r="AX6" s="83"/>
      <c r="AZ6" s="66">
        <f t="shared" ref="AZ6" si="0">(AT6*I6)+(AU6*J6)+(AV6*K6)+(AW6*L6)+(AX6*M6)</f>
        <v>0</v>
      </c>
    </row>
    <row r="7" spans="1:52" s="66" customFormat="1" ht="39.75" customHeight="1" thickBot="1" x14ac:dyDescent="0.2">
      <c r="A7" s="96">
        <v>2</v>
      </c>
      <c r="B7" s="91" t="s">
        <v>294</v>
      </c>
      <c r="C7" s="269" t="s">
        <v>304</v>
      </c>
      <c r="D7" s="134" t="s">
        <v>332</v>
      </c>
      <c r="E7" s="263"/>
      <c r="F7" s="110"/>
      <c r="G7" s="97"/>
      <c r="H7" s="207" t="s">
        <v>300</v>
      </c>
      <c r="I7" s="271">
        <v>0.7</v>
      </c>
      <c r="J7" s="166">
        <v>0.26419999999999999</v>
      </c>
      <c r="K7" s="41"/>
      <c r="L7" s="42"/>
      <c r="M7" s="68"/>
      <c r="N7" s="69">
        <f>SUM(I7:M7)</f>
        <v>0.96419999999999995</v>
      </c>
      <c r="O7" s="125">
        <v>1</v>
      </c>
      <c r="P7" s="272">
        <v>15</v>
      </c>
      <c r="Q7" s="113">
        <v>15</v>
      </c>
      <c r="R7" s="113"/>
      <c r="S7" s="120"/>
      <c r="T7" s="70"/>
      <c r="U7" s="71">
        <f>ROUND(((P7*I7)+(Q7*J7)+(R7*K7)+(S7*L7)+(T7*M7))*O7,2)</f>
        <v>14.46</v>
      </c>
      <c r="V7" s="72">
        <f>IF(U7&gt;=15,15,U7)</f>
        <v>14.46</v>
      </c>
      <c r="W7" s="274">
        <v>57539030000</v>
      </c>
      <c r="X7" s="136">
        <v>2552245000</v>
      </c>
      <c r="Y7" s="116"/>
      <c r="Z7" s="119"/>
      <c r="AA7" s="74"/>
      <c r="AB7" s="75">
        <f>ROUND((((W7*I7)+(X7*J7)+(Y7*K7)+(Z7*L7)+(AA7*M7))/$I$2),2)*13</f>
        <v>40.69</v>
      </c>
      <c r="AC7" s="72">
        <f>IF(AB7&gt;=13,13,AB7)</f>
        <v>13</v>
      </c>
      <c r="AD7" s="149">
        <v>1</v>
      </c>
      <c r="AE7" s="71">
        <f>IF((AC7+AD7)&gt;=15,15,(AC7+AD7))</f>
        <v>14</v>
      </c>
      <c r="AF7" s="76">
        <f>0.5*I7</f>
        <v>0.35</v>
      </c>
      <c r="AG7" s="54">
        <v>3.32</v>
      </c>
      <c r="AH7" s="77">
        <f>IF((V7+AE7+AF7)&gt;=30,30,(V7+AE7+AF7))</f>
        <v>28.810000000000002</v>
      </c>
      <c r="AI7" s="56">
        <v>10</v>
      </c>
      <c r="AJ7" s="56">
        <v>10</v>
      </c>
      <c r="AK7" s="56">
        <v>45</v>
      </c>
      <c r="AL7" s="57">
        <f>V7+AE7+AF7+AI7+AJ7+AK7+AG7</f>
        <v>97.13</v>
      </c>
      <c r="AM7" s="55">
        <f>IF(AH7+AI7+AJ7+AK7+AG7&gt;=95,95,AH7+AI7+AJ7+AK7+AG7)</f>
        <v>95</v>
      </c>
      <c r="AN7" s="78">
        <f>-((50-((176+(45+(50-AH7)))))/200)</f>
        <v>0.96094999999999997</v>
      </c>
      <c r="AO7" s="79"/>
      <c r="AP7" s="80">
        <f>100%+AO7</f>
        <v>1</v>
      </c>
      <c r="AQ7" s="80">
        <f>100%+AP7</f>
        <v>2</v>
      </c>
      <c r="AR7" s="277"/>
      <c r="AS7" s="62"/>
      <c r="AT7" s="81"/>
      <c r="AU7" s="81"/>
      <c r="AV7" s="81"/>
      <c r="AW7" s="81"/>
      <c r="AX7" s="82"/>
      <c r="AY7" s="83">
        <f>AT7+AU7+AV7+AW7+AX7</f>
        <v>0</v>
      </c>
      <c r="AZ7" s="83">
        <f>(AT7*I7)+(AU7*J7)+(AV7*K7)+(AW7*L7)+(AX7*M7)</f>
        <v>0</v>
      </c>
    </row>
    <row r="8" spans="1:52" s="66" customFormat="1" ht="21.95" customHeight="1" thickBot="1" x14ac:dyDescent="0.2">
      <c r="A8" s="96"/>
      <c r="B8" s="91"/>
      <c r="C8" s="352" t="s">
        <v>3</v>
      </c>
      <c r="D8" s="353"/>
      <c r="E8" s="353"/>
      <c r="F8" s="353"/>
      <c r="G8" s="354"/>
      <c r="H8" s="67"/>
      <c r="I8" s="276">
        <v>85</v>
      </c>
      <c r="J8" s="84">
        <v>85</v>
      </c>
      <c r="K8" s="84">
        <v>85</v>
      </c>
      <c r="L8" s="84"/>
      <c r="M8" s="84"/>
      <c r="N8" s="168">
        <f>I8*I7+J8*J7+K8*K7+L8*L7+M8*M7</f>
        <v>81.956999999999994</v>
      </c>
      <c r="O8" s="44"/>
      <c r="P8" s="45"/>
      <c r="Q8" s="46"/>
      <c r="R8" s="46"/>
      <c r="S8" s="47"/>
      <c r="T8" s="70"/>
      <c r="U8" s="71"/>
      <c r="V8" s="72"/>
      <c r="W8" s="150"/>
      <c r="X8" s="85"/>
      <c r="Y8" s="151"/>
      <c r="Z8" s="85"/>
      <c r="AA8" s="74"/>
      <c r="AB8" s="75"/>
      <c r="AC8" s="72"/>
      <c r="AD8" s="71"/>
      <c r="AE8" s="71"/>
      <c r="AF8" s="152"/>
      <c r="AG8" s="86"/>
      <c r="AH8" s="77"/>
      <c r="AI8" s="87"/>
      <c r="AJ8" s="46"/>
      <c r="AK8" s="77"/>
      <c r="AL8" s="78"/>
      <c r="AM8" s="79"/>
      <c r="AN8" s="80"/>
      <c r="AO8" s="80"/>
      <c r="AP8" s="61"/>
      <c r="AQ8" s="62"/>
      <c r="AR8" s="81"/>
      <c r="AS8" s="81"/>
      <c r="AT8" s="81"/>
      <c r="AU8" s="81"/>
      <c r="AV8" s="82"/>
      <c r="AW8" s="83"/>
      <c r="AX8" s="83"/>
      <c r="AZ8" s="66">
        <f t="shared" ref="AZ8" si="1">(AT8*I8)+(AU8*J8)+(AV8*K8)+(AW8*L8)+(AX8*M8)</f>
        <v>0</v>
      </c>
    </row>
    <row r="9" spans="1:52" s="66" customFormat="1" ht="39.75" customHeight="1" thickBot="1" x14ac:dyDescent="0.2">
      <c r="A9" s="96">
        <v>3</v>
      </c>
      <c r="B9" s="91" t="s">
        <v>294</v>
      </c>
      <c r="C9" s="131" t="s">
        <v>20</v>
      </c>
      <c r="D9" s="134" t="s">
        <v>298</v>
      </c>
      <c r="E9" s="263"/>
      <c r="F9" s="110"/>
      <c r="G9" s="97"/>
      <c r="H9" s="254" t="s">
        <v>299</v>
      </c>
      <c r="I9" s="111">
        <v>0.7</v>
      </c>
      <c r="J9" s="166">
        <v>0.20430000000000001</v>
      </c>
      <c r="K9" s="41"/>
      <c r="L9" s="42"/>
      <c r="M9" s="68"/>
      <c r="N9" s="69">
        <f>SUM(I9:M9)</f>
        <v>0.90429999999999999</v>
      </c>
      <c r="O9" s="125">
        <v>1</v>
      </c>
      <c r="P9" s="112">
        <v>15</v>
      </c>
      <c r="Q9" s="113">
        <v>15</v>
      </c>
      <c r="R9" s="113"/>
      <c r="S9" s="120"/>
      <c r="T9" s="70"/>
      <c r="U9" s="71">
        <f>ROUND(((P9*I9)+(Q9*J9)+(R9*K9)+(S9*L9)+(T9*M9))*O9,2)</f>
        <v>13.56</v>
      </c>
      <c r="V9" s="72">
        <f>IF(U9&gt;=15,15,U9)</f>
        <v>13.56</v>
      </c>
      <c r="W9" s="136">
        <v>39361754000</v>
      </c>
      <c r="X9" s="117">
        <v>3357465000</v>
      </c>
      <c r="Y9" s="116"/>
      <c r="Z9" s="136"/>
      <c r="AA9" s="74"/>
      <c r="AB9" s="75">
        <f>ROUND((((W9*I9)+(X9*J9)+(Y9*K9)+(Z9*L9)+(AA9*M9))/$I$2),2)*13</f>
        <v>28.080000000000002</v>
      </c>
      <c r="AC9" s="72">
        <f>IF(AB9&gt;=13,13,AB9)</f>
        <v>13</v>
      </c>
      <c r="AD9" s="149">
        <v>1</v>
      </c>
      <c r="AE9" s="71">
        <f>IF((AC9+AD9)&gt;=15,15,(AC9+AD9))</f>
        <v>14</v>
      </c>
      <c r="AF9" s="76"/>
      <c r="AG9" s="54">
        <v>3.32</v>
      </c>
      <c r="AH9" s="77">
        <f>IF((V9+AE9+AF9)&gt;=30,30,(V9+AE9+AF9))</f>
        <v>27.560000000000002</v>
      </c>
      <c r="AI9" s="56">
        <v>10</v>
      </c>
      <c r="AJ9" s="56">
        <v>10</v>
      </c>
      <c r="AK9" s="56">
        <v>45</v>
      </c>
      <c r="AL9" s="57">
        <f>V9+AE9+AF9+AI9+AJ9+AK9+AG9</f>
        <v>95.88</v>
      </c>
      <c r="AM9" s="55">
        <f>IF(AH9+AI9+AJ9+AK9+AG9&gt;=95,95,AH9+AI9+AJ9+AK9+AG9)</f>
        <v>95</v>
      </c>
      <c r="AN9" s="78">
        <f>-((50-((176+(45+(50-AH9)))))/200)</f>
        <v>0.96719999999999995</v>
      </c>
      <c r="AO9" s="79"/>
      <c r="AP9" s="80">
        <f>100%+AO9</f>
        <v>1</v>
      </c>
      <c r="AQ9" s="80">
        <f>100%+AP9</f>
        <v>2</v>
      </c>
      <c r="AR9" s="61"/>
      <c r="AS9" s="62"/>
      <c r="AT9" s="81"/>
      <c r="AU9" s="81"/>
      <c r="AV9" s="81"/>
      <c r="AW9" s="81"/>
      <c r="AX9" s="82"/>
      <c r="AY9" s="83">
        <f>AT9+AU9+AV9+AW9+AX9</f>
        <v>0</v>
      </c>
      <c r="AZ9" s="83">
        <f>(AT9*I9)+(AU9*J9)+(AV9*K9)+(AW9*L9)+(AX9*M9)</f>
        <v>0</v>
      </c>
    </row>
    <row r="10" spans="1:52" s="66" customFormat="1" ht="21.95" customHeight="1" thickBot="1" x14ac:dyDescent="0.2">
      <c r="A10" s="96"/>
      <c r="B10" s="91"/>
      <c r="C10" s="352" t="s">
        <v>3</v>
      </c>
      <c r="D10" s="353"/>
      <c r="E10" s="353"/>
      <c r="F10" s="353"/>
      <c r="G10" s="354"/>
      <c r="H10" s="67"/>
      <c r="I10" s="167">
        <v>90.73</v>
      </c>
      <c r="J10" s="84">
        <v>85</v>
      </c>
      <c r="K10" s="84">
        <v>85</v>
      </c>
      <c r="L10" s="84"/>
      <c r="M10" s="84"/>
      <c r="N10" s="168">
        <f>I10*I9+J10*J9+K10*K9+L10*L9+M10*M9</f>
        <v>80.876499999999993</v>
      </c>
      <c r="O10" s="44"/>
      <c r="P10" s="45"/>
      <c r="Q10" s="46"/>
      <c r="R10" s="46"/>
      <c r="S10" s="47"/>
      <c r="T10" s="70"/>
      <c r="U10" s="71"/>
      <c r="V10" s="72"/>
      <c r="W10" s="150"/>
      <c r="X10" s="85"/>
      <c r="Y10" s="151"/>
      <c r="Z10" s="85"/>
      <c r="AA10" s="74"/>
      <c r="AB10" s="75"/>
      <c r="AC10" s="72"/>
      <c r="AD10" s="71"/>
      <c r="AE10" s="71"/>
      <c r="AF10" s="152"/>
      <c r="AG10" s="86"/>
      <c r="AH10" s="77"/>
      <c r="AI10" s="87"/>
      <c r="AJ10" s="46"/>
      <c r="AK10" s="77"/>
      <c r="AL10" s="78"/>
      <c r="AM10" s="79"/>
      <c r="AN10" s="80"/>
      <c r="AO10" s="80"/>
      <c r="AP10" s="61"/>
      <c r="AQ10" s="62"/>
      <c r="AR10" s="81"/>
      <c r="AS10" s="81"/>
      <c r="AT10" s="81"/>
      <c r="AU10" s="81"/>
      <c r="AV10" s="82"/>
      <c r="AW10" s="83"/>
      <c r="AX10" s="83"/>
      <c r="AZ10" s="66">
        <f t="shared" ref="AZ10" si="2">(AT10*I10)+(AU10*J10)+(AV10*K10)+(AW10*L10)+(AX10*M10)</f>
        <v>0</v>
      </c>
    </row>
    <row r="11" spans="1:52" s="66" customFormat="1" ht="39.75" customHeight="1" thickBot="1" x14ac:dyDescent="0.2">
      <c r="A11" s="96">
        <v>4</v>
      </c>
      <c r="B11" s="91" t="s">
        <v>294</v>
      </c>
      <c r="C11" s="270" t="s">
        <v>307</v>
      </c>
      <c r="D11" s="284" t="s">
        <v>353</v>
      </c>
      <c r="E11" s="133"/>
      <c r="F11" s="110"/>
      <c r="G11" s="161"/>
      <c r="H11" s="254" t="s">
        <v>354</v>
      </c>
      <c r="I11" s="271">
        <v>0.7</v>
      </c>
      <c r="J11" s="297">
        <v>0.16020000000000001</v>
      </c>
      <c r="K11" s="41"/>
      <c r="L11" s="42"/>
      <c r="M11" s="128"/>
      <c r="N11" s="43">
        <f>SUM(I11:M11)</f>
        <v>0.86019999999999996</v>
      </c>
      <c r="O11" s="125">
        <v>1</v>
      </c>
      <c r="P11" s="273">
        <v>15</v>
      </c>
      <c r="Q11" s="287">
        <v>15</v>
      </c>
      <c r="R11" s="113"/>
      <c r="S11" s="120"/>
      <c r="T11" s="156"/>
      <c r="U11" s="48">
        <f>ROUND(((P11*I11)+(Q11*J11)+(R11*K11)+(S11*L11)+(T11*M11))*O11,2)</f>
        <v>12.9</v>
      </c>
      <c r="V11" s="49">
        <f>IF(U11&gt;=15,15,U11)</f>
        <v>12.9</v>
      </c>
      <c r="W11" s="275">
        <v>39588420000</v>
      </c>
      <c r="X11" s="282"/>
      <c r="Y11" s="162"/>
      <c r="Z11" s="163"/>
      <c r="AA11" s="164"/>
      <c r="AB11" s="50">
        <f>ROUND((((W11*I11)+(X11*J11)+(Y11*K11)+(Z11*L11)+(AA11*M11))/$I$2),2)*13</f>
        <v>27.560000000000002</v>
      </c>
      <c r="AC11" s="51">
        <f>IF(AB11&gt;=13,13,AB11)</f>
        <v>13</v>
      </c>
      <c r="AD11" s="149">
        <v>0</v>
      </c>
      <c r="AE11" s="48">
        <f>IF((AC11+AD11)&gt;=15,15,(AC11+AD11))</f>
        <v>13</v>
      </c>
      <c r="AF11" s="76">
        <f>1.5*I11</f>
        <v>1.0499999999999998</v>
      </c>
      <c r="AG11" s="54">
        <v>3.32</v>
      </c>
      <c r="AH11" s="55">
        <f>IF((V11+AE11+AF11)&gt;=30,30,(V11+AE11+AF11))</f>
        <v>26.95</v>
      </c>
      <c r="AI11" s="56">
        <v>10</v>
      </c>
      <c r="AJ11" s="56">
        <v>10</v>
      </c>
      <c r="AK11" s="56">
        <v>45</v>
      </c>
      <c r="AL11" s="57">
        <f>V11+AE11+AF11+AI11+AJ11+AK11+AG11</f>
        <v>95.27</v>
      </c>
      <c r="AM11" s="55">
        <f>IF(AH11+AI11+AJ11+AK11+AG11&gt;=95,95,AH11+AI11+AJ11+AK11+AG11)</f>
        <v>95</v>
      </c>
      <c r="AN11" s="58">
        <f>-((50-((176+(45+(50-AH11)))))/200)</f>
        <v>0.97025000000000006</v>
      </c>
      <c r="AO11" s="59"/>
      <c r="AP11" s="60">
        <f>100%+AO11</f>
        <v>1</v>
      </c>
      <c r="AQ11" s="60">
        <f>100%+AP11</f>
        <v>2</v>
      </c>
      <c r="AR11" s="277"/>
      <c r="AS11" s="289"/>
      <c r="AT11" s="63"/>
      <c r="AU11" s="63"/>
      <c r="AV11" s="63"/>
      <c r="AW11" s="63"/>
      <c r="AX11" s="64"/>
      <c r="AY11" s="65">
        <f>AT11+AU11+AV11+AW11+AX11</f>
        <v>0</v>
      </c>
      <c r="AZ11" s="65">
        <f>(AT11*I11)+(AU11*J11)+(AV11*K11)+(AW11*L11)+(AX11*M11)</f>
        <v>0</v>
      </c>
    </row>
    <row r="12" spans="1:52" s="66" customFormat="1" ht="21.95" customHeight="1" thickBot="1" x14ac:dyDescent="0.2">
      <c r="A12" s="96"/>
      <c r="B12" s="91"/>
      <c r="C12" s="352" t="s">
        <v>3</v>
      </c>
      <c r="D12" s="353"/>
      <c r="E12" s="353"/>
      <c r="F12" s="353"/>
      <c r="G12" s="354"/>
      <c r="H12" s="67"/>
      <c r="I12" s="276">
        <v>85</v>
      </c>
      <c r="J12" s="276">
        <v>85</v>
      </c>
      <c r="K12" s="84">
        <v>85</v>
      </c>
      <c r="L12" s="84"/>
      <c r="M12" s="84"/>
      <c r="N12" s="168">
        <f>I12*I11+J12*J11+K12*K11+L12*L11+M12*M11</f>
        <v>73.11699999999999</v>
      </c>
      <c r="O12" s="44"/>
      <c r="P12" s="45"/>
      <c r="Q12" s="46"/>
      <c r="R12" s="46"/>
      <c r="S12" s="47"/>
      <c r="T12" s="70"/>
      <c r="U12" s="71"/>
      <c r="V12" s="72"/>
      <c r="W12" s="150"/>
      <c r="X12" s="85"/>
      <c r="Y12" s="151"/>
      <c r="Z12" s="85"/>
      <c r="AA12" s="74"/>
      <c r="AB12" s="75"/>
      <c r="AC12" s="72"/>
      <c r="AD12" s="71"/>
      <c r="AE12" s="71"/>
      <c r="AF12" s="152"/>
      <c r="AG12" s="86"/>
      <c r="AH12" s="77"/>
      <c r="AI12" s="87"/>
      <c r="AJ12" s="46"/>
      <c r="AK12" s="77"/>
      <c r="AL12" s="78"/>
      <c r="AM12" s="79"/>
      <c r="AN12" s="80"/>
      <c r="AO12" s="80"/>
      <c r="AP12" s="61"/>
      <c r="AQ12" s="62"/>
      <c r="AR12" s="81"/>
      <c r="AS12" s="81"/>
      <c r="AT12" s="81"/>
      <c r="AU12" s="81"/>
      <c r="AV12" s="82"/>
      <c r="AW12" s="83"/>
      <c r="AX12" s="83"/>
      <c r="AZ12" s="66">
        <f t="shared" ref="AZ12" si="3">(AT12*I12)+(AU12*J12)+(AV12*K12)+(AW12*L12)+(AX12*M12)</f>
        <v>0</v>
      </c>
    </row>
    <row r="13" spans="1:52" s="66" customFormat="1" ht="39.75" customHeight="1" thickBot="1" x14ac:dyDescent="0.2">
      <c r="A13" s="96">
        <v>5</v>
      </c>
      <c r="B13" s="91" t="s">
        <v>294</v>
      </c>
      <c r="C13" s="270" t="s">
        <v>305</v>
      </c>
      <c r="D13" s="284" t="s">
        <v>359</v>
      </c>
      <c r="E13" s="133"/>
      <c r="F13" s="110"/>
      <c r="G13" s="170"/>
      <c r="H13" s="207" t="s">
        <v>362</v>
      </c>
      <c r="I13" s="271">
        <v>0.7</v>
      </c>
      <c r="J13" s="297">
        <v>0.15179999999999999</v>
      </c>
      <c r="K13" s="41"/>
      <c r="L13" s="42"/>
      <c r="M13" s="147"/>
      <c r="N13" s="94">
        <f>SUM(I13:M13)</f>
        <v>0.85179999999999989</v>
      </c>
      <c r="O13" s="125">
        <v>1</v>
      </c>
      <c r="P13" s="273">
        <v>15</v>
      </c>
      <c r="Q13" s="287">
        <v>15</v>
      </c>
      <c r="R13" s="113"/>
      <c r="S13" s="120"/>
      <c r="T13" s="70"/>
      <c r="U13" s="71">
        <f>ROUND(((P13*I13)+(Q13*J13)+(R13*K13)+(S13*L13)+(T13*M13))*O13,2)</f>
        <v>12.78</v>
      </c>
      <c r="V13" s="72">
        <f>IF(U13&gt;=15,15,U13)</f>
        <v>12.78</v>
      </c>
      <c r="W13" s="275">
        <v>59183685000</v>
      </c>
      <c r="X13" s="282">
        <v>1802414000</v>
      </c>
      <c r="Y13" s="136"/>
      <c r="Z13" s="136"/>
      <c r="AA13" s="74"/>
      <c r="AB13" s="75">
        <f>ROUND((((W13*I13)+(X13*J13)+(Y13*K13)+(Z13*L13)+(AA13*M13))/$I$2),2)*13</f>
        <v>41.47</v>
      </c>
      <c r="AC13" s="72">
        <f>IF(AB13&gt;=13,13,AB13)</f>
        <v>13</v>
      </c>
      <c r="AD13" s="149">
        <v>0</v>
      </c>
      <c r="AE13" s="71">
        <f>IF((AC13+AD13)&gt;=15,15,(AC13+AD13))</f>
        <v>13</v>
      </c>
      <c r="AF13" s="76">
        <f>1.5*I13</f>
        <v>1.0499999999999998</v>
      </c>
      <c r="AG13" s="54">
        <v>3.32</v>
      </c>
      <c r="AH13" s="77">
        <f>IF((V13+AE13+AF13)&gt;=30,30,(V13+AE13+AF13))</f>
        <v>26.830000000000002</v>
      </c>
      <c r="AI13" s="56">
        <v>10</v>
      </c>
      <c r="AJ13" s="56">
        <v>10</v>
      </c>
      <c r="AK13" s="56">
        <v>45</v>
      </c>
      <c r="AL13" s="57">
        <f>V13+AE13+AF13+AI13+AJ13+AK13+AG13</f>
        <v>95.149999999999991</v>
      </c>
      <c r="AM13" s="55">
        <f>IF(AH13+AI13+AJ13+AK13+AG13&gt;=95,95,AH13+AI13+AJ13+AK13+AG13)</f>
        <v>95</v>
      </c>
      <c r="AN13" s="78">
        <f>-((50-((176+(45+(50-AH13)))))/200)</f>
        <v>0.9708500000000001</v>
      </c>
      <c r="AO13" s="79"/>
      <c r="AP13" s="80">
        <f>100%+AO13</f>
        <v>1</v>
      </c>
      <c r="AQ13" s="80">
        <f>100%+AP13</f>
        <v>2</v>
      </c>
      <c r="AR13" s="277"/>
      <c r="AS13" s="289"/>
      <c r="AT13" s="81"/>
      <c r="AU13" s="81"/>
      <c r="AV13" s="81"/>
      <c r="AW13" s="81"/>
      <c r="AX13" s="82"/>
      <c r="AY13" s="83">
        <f>AT13+AU13+AV13+AW13+AX13</f>
        <v>0</v>
      </c>
      <c r="AZ13" s="83">
        <f>(AT13*I13)+(AU13*J13)+(AV13*K13)+(AW13*L13)+(AX13*M13)</f>
        <v>0</v>
      </c>
    </row>
    <row r="14" spans="1:52" s="66" customFormat="1" ht="21.95" customHeight="1" thickBot="1" x14ac:dyDescent="0.2">
      <c r="A14" s="96"/>
      <c r="B14" s="91"/>
      <c r="C14" s="352" t="s">
        <v>3</v>
      </c>
      <c r="D14" s="353"/>
      <c r="E14" s="353"/>
      <c r="F14" s="353"/>
      <c r="G14" s="354"/>
      <c r="H14" s="67"/>
      <c r="I14" s="167">
        <v>93.38</v>
      </c>
      <c r="J14" s="276">
        <v>85</v>
      </c>
      <c r="K14" s="84">
        <v>85</v>
      </c>
      <c r="L14" s="84"/>
      <c r="M14" s="84"/>
      <c r="N14" s="168">
        <f>I14*I13+J14*J13+K14*K13+L14*L13+M14*M13</f>
        <v>78.269000000000005</v>
      </c>
      <c r="O14" s="44"/>
      <c r="P14" s="45"/>
      <c r="Q14" s="46"/>
      <c r="R14" s="46"/>
      <c r="S14" s="47"/>
      <c r="T14" s="70"/>
      <c r="U14" s="71"/>
      <c r="V14" s="72"/>
      <c r="W14" s="150"/>
      <c r="X14" s="85"/>
      <c r="Y14" s="151"/>
      <c r="Z14" s="85"/>
      <c r="AA14" s="74"/>
      <c r="AB14" s="75"/>
      <c r="AC14" s="72"/>
      <c r="AD14" s="71"/>
      <c r="AE14" s="71"/>
      <c r="AF14" s="152"/>
      <c r="AG14" s="86"/>
      <c r="AH14" s="77"/>
      <c r="AI14" s="87"/>
      <c r="AJ14" s="46"/>
      <c r="AK14" s="77"/>
      <c r="AL14" s="78"/>
      <c r="AM14" s="79"/>
      <c r="AN14" s="80"/>
      <c r="AO14" s="80"/>
      <c r="AP14" s="61"/>
      <c r="AQ14" s="62"/>
      <c r="AR14" s="81"/>
      <c r="AS14" s="81"/>
      <c r="AT14" s="81"/>
      <c r="AU14" s="81"/>
      <c r="AV14" s="82"/>
      <c r="AW14" s="83"/>
      <c r="AX14" s="83"/>
      <c r="AZ14" s="66">
        <f t="shared" ref="AZ14" si="4">(AT14*I14)+(AU14*J14)+(AV14*K14)+(AW14*L14)+(AX14*M14)</f>
        <v>0</v>
      </c>
    </row>
    <row r="15" spans="1:52" s="66" customFormat="1" ht="39.75" customHeight="1" thickBot="1" x14ac:dyDescent="0.2">
      <c r="A15" s="96">
        <v>6</v>
      </c>
      <c r="B15" s="91" t="s">
        <v>330</v>
      </c>
      <c r="C15" s="270" t="s">
        <v>317</v>
      </c>
      <c r="D15" s="284" t="s">
        <v>344</v>
      </c>
      <c r="E15" s="131"/>
      <c r="F15" s="110"/>
      <c r="G15" s="97"/>
      <c r="H15" s="207" t="s">
        <v>331</v>
      </c>
      <c r="I15" s="271">
        <v>0.55000000000000004</v>
      </c>
      <c r="J15" s="285">
        <v>0.45</v>
      </c>
      <c r="K15" s="41"/>
      <c r="L15" s="42"/>
      <c r="M15" s="68"/>
      <c r="N15" s="69">
        <f>SUM(I15:M15)</f>
        <v>1</v>
      </c>
      <c r="O15" s="125">
        <v>1</v>
      </c>
      <c r="P15" s="273">
        <v>15</v>
      </c>
      <c r="Q15" s="287">
        <v>15</v>
      </c>
      <c r="R15" s="113"/>
      <c r="S15" s="120"/>
      <c r="T15" s="70"/>
      <c r="U15" s="71">
        <f>ROUND(((P15*I15)+(Q15*J15)+(R15*K15)+(S15*L15)+(T15*M15))*O15,2)</f>
        <v>15</v>
      </c>
      <c r="V15" s="72">
        <f>IF(U15&gt;=15,15,U15)</f>
        <v>15</v>
      </c>
      <c r="W15" s="282">
        <v>39814172000</v>
      </c>
      <c r="X15" s="282">
        <v>4500000000</v>
      </c>
      <c r="Y15" s="136"/>
      <c r="Z15" s="116"/>
      <c r="AA15" s="74"/>
      <c r="AB15" s="75">
        <f>ROUND((((W15*I15)+(X15*J15)+(Y15*K15)+(Z15*L15)+(AA15*M15))/$I$2),2)*13</f>
        <v>23.79</v>
      </c>
      <c r="AC15" s="72">
        <f>IF(AB15&gt;=13,13,AB15)</f>
        <v>13</v>
      </c>
      <c r="AD15" s="124">
        <v>2</v>
      </c>
      <c r="AE15" s="71">
        <f>IF((AC15+AD15)&gt;=15,15,(AC15+AD15))</f>
        <v>15</v>
      </c>
      <c r="AF15" s="76"/>
      <c r="AG15" s="54">
        <v>3.32</v>
      </c>
      <c r="AH15" s="77">
        <f>IF((V15+AE15+AF15)&gt;=30,30,(V15+AE15+AF15))</f>
        <v>30</v>
      </c>
      <c r="AI15" s="56">
        <v>10</v>
      </c>
      <c r="AJ15" s="56">
        <v>10</v>
      </c>
      <c r="AK15" s="56">
        <v>45</v>
      </c>
      <c r="AL15" s="57">
        <f>V15+AE15+AF15+AI15+AJ15+AK15+AG15</f>
        <v>98.32</v>
      </c>
      <c r="AM15" s="55">
        <f>IF(AH15+AI15+AJ15+AK15+AG15&gt;=95,95,AH15+AI15+AJ15+AK15+AG15)</f>
        <v>95</v>
      </c>
      <c r="AN15" s="78">
        <f>-((50-((176+(45+(50-AH15)))))/200)</f>
        <v>0.95499999999999996</v>
      </c>
      <c r="AO15" s="79"/>
      <c r="AP15" s="80">
        <f>100%+AO15</f>
        <v>1</v>
      </c>
      <c r="AQ15" s="80">
        <f>100%+AP15</f>
        <v>2</v>
      </c>
      <c r="AR15" s="277"/>
      <c r="AS15" s="289"/>
      <c r="AT15" s="81">
        <v>6911393000</v>
      </c>
      <c r="AU15" s="81">
        <v>3414248000</v>
      </c>
      <c r="AV15" s="81"/>
      <c r="AW15" s="81"/>
      <c r="AX15" s="82"/>
      <c r="AY15" s="83">
        <f>AT15+AU15+AV15+AW15+AX15</f>
        <v>10325641000</v>
      </c>
      <c r="AZ15" s="83">
        <f>(AT15*I15)+(AU15*J15)+(AV15*K15)+(AW15*L15)+(AX15*M15)</f>
        <v>5337677750</v>
      </c>
    </row>
    <row r="16" spans="1:52" s="66" customFormat="1" ht="39.75" customHeight="1" thickBot="1" x14ac:dyDescent="0.2">
      <c r="A16" s="96">
        <v>7</v>
      </c>
      <c r="B16" s="91" t="s">
        <v>330</v>
      </c>
      <c r="C16" s="270" t="s">
        <v>266</v>
      </c>
      <c r="D16" s="134" t="s">
        <v>355</v>
      </c>
      <c r="E16" s="131"/>
      <c r="F16" s="110"/>
      <c r="G16" s="97"/>
      <c r="H16" s="207" t="s">
        <v>315</v>
      </c>
      <c r="I16" s="283">
        <v>0.7</v>
      </c>
      <c r="J16" s="297">
        <v>0.25829999999999997</v>
      </c>
      <c r="K16" s="41"/>
      <c r="L16" s="42"/>
      <c r="M16" s="68"/>
      <c r="N16" s="69">
        <f>SUM(I16:M16)</f>
        <v>0.95829999999999993</v>
      </c>
      <c r="O16" s="141">
        <v>1.05</v>
      </c>
      <c r="P16" s="273">
        <v>15</v>
      </c>
      <c r="Q16" s="113">
        <v>15</v>
      </c>
      <c r="R16" s="113"/>
      <c r="S16" s="120"/>
      <c r="T16" s="70"/>
      <c r="U16" s="71">
        <f>ROUND(((P16*I16)+(Q16*J16)+(R16*K16)+(S16*L16)+(T16*M16))*O16,2)</f>
        <v>15.09</v>
      </c>
      <c r="V16" s="72">
        <f>IF(U16&gt;=15,15,U16)</f>
        <v>15</v>
      </c>
      <c r="W16" s="282">
        <v>24296161000</v>
      </c>
      <c r="X16" s="136">
        <v>1088554000</v>
      </c>
      <c r="Y16" s="136"/>
      <c r="Z16" s="136"/>
      <c r="AA16" s="74"/>
      <c r="AB16" s="75">
        <f>ROUND((((W16*I16)+(X16*J16)+(Y16*K16)+(Z16*L16)+(AA16*M16))/$I$2),2)*13</f>
        <v>17.16</v>
      </c>
      <c r="AC16" s="72">
        <f>IF(AB16&gt;=13,13,AB16)</f>
        <v>13</v>
      </c>
      <c r="AD16" s="149">
        <v>1</v>
      </c>
      <c r="AE16" s="71">
        <f>IF((AC16+AD16)&gt;=15,15,(AC16+AD16))</f>
        <v>14</v>
      </c>
      <c r="AF16" s="76">
        <f>0.5*I16</f>
        <v>0.35</v>
      </c>
      <c r="AG16" s="54">
        <v>3.32</v>
      </c>
      <c r="AH16" s="77">
        <f>IF((V16+AE16+AF16)&gt;=30,30,(V16+AE16+AF16))</f>
        <v>29.35</v>
      </c>
      <c r="AI16" s="56">
        <v>10</v>
      </c>
      <c r="AJ16" s="56">
        <v>10</v>
      </c>
      <c r="AK16" s="56">
        <v>45</v>
      </c>
      <c r="AL16" s="57">
        <f>V16+AE16+AF16+AI16+AJ16+AK16+AG16</f>
        <v>97.669999999999987</v>
      </c>
      <c r="AM16" s="55">
        <f>IF(AH16+AI16+AJ16+AK16+AG16&gt;=95,95,AH16+AI16+AJ16+AK16+AG16)</f>
        <v>95</v>
      </c>
      <c r="AN16" s="78">
        <f>-((50-((176+(45+(50-AH16)))))/200)</f>
        <v>0.95825000000000005</v>
      </c>
      <c r="AO16" s="79"/>
      <c r="AP16" s="80">
        <f>100%+AO16</f>
        <v>1</v>
      </c>
      <c r="AQ16" s="80">
        <f>100%+AP16</f>
        <v>2</v>
      </c>
      <c r="AR16" s="277"/>
      <c r="AS16" s="62"/>
      <c r="AT16" s="81"/>
      <c r="AU16" s="81"/>
      <c r="AV16" s="81"/>
      <c r="AW16" s="81"/>
      <c r="AX16" s="82"/>
      <c r="AY16" s="83">
        <f>AT16+AU16+AV16+AW16+AX16</f>
        <v>0</v>
      </c>
      <c r="AZ16" s="83">
        <f>(AT16*I16)+(AU16*J16)+(AV16*K16)+(AW16*L16)+(AX16*M16)</f>
        <v>0</v>
      </c>
    </row>
    <row r="17" spans="1:52" s="66" customFormat="1" ht="21.95" customHeight="1" thickBot="1" x14ac:dyDescent="0.2">
      <c r="A17" s="96"/>
      <c r="B17" s="91"/>
      <c r="C17" s="352" t="s">
        <v>3</v>
      </c>
      <c r="D17" s="353"/>
      <c r="E17" s="353"/>
      <c r="F17" s="353"/>
      <c r="G17" s="354"/>
      <c r="H17" s="67"/>
      <c r="I17" s="84">
        <v>85</v>
      </c>
      <c r="J17" s="84">
        <v>85</v>
      </c>
      <c r="K17" s="84">
        <v>85</v>
      </c>
      <c r="L17" s="84"/>
      <c r="M17" s="84"/>
      <c r="N17" s="168">
        <f>I17*I16+J17*J16+K17*K16+L17*L16+M17*M16</f>
        <v>81.455499999999986</v>
      </c>
      <c r="O17" s="44"/>
      <c r="P17" s="45"/>
      <c r="Q17" s="46"/>
      <c r="R17" s="46"/>
      <c r="S17" s="47"/>
      <c r="T17" s="70"/>
      <c r="U17" s="71"/>
      <c r="V17" s="72"/>
      <c r="W17" s="150"/>
      <c r="X17" s="85"/>
      <c r="Y17" s="151"/>
      <c r="Z17" s="85"/>
      <c r="AA17" s="74"/>
      <c r="AB17" s="75"/>
      <c r="AC17" s="72"/>
      <c r="AD17" s="71"/>
      <c r="AE17" s="71"/>
      <c r="AF17" s="152"/>
      <c r="AG17" s="86"/>
      <c r="AH17" s="77"/>
      <c r="AI17" s="87"/>
      <c r="AJ17" s="46"/>
      <c r="AK17" s="77"/>
      <c r="AL17" s="78"/>
      <c r="AM17" s="79"/>
      <c r="AN17" s="80"/>
      <c r="AO17" s="80"/>
      <c r="AP17" s="61"/>
      <c r="AQ17" s="62"/>
      <c r="AR17" s="81"/>
      <c r="AS17" s="81"/>
      <c r="AT17" s="81"/>
      <c r="AU17" s="81"/>
      <c r="AV17" s="82"/>
      <c r="AW17" s="83"/>
      <c r="AX17" s="83"/>
      <c r="AZ17" s="66">
        <f t="shared" ref="AZ17:AZ88" si="5">(AT17*I17)+(AU17*J17)+(AV17*K17)+(AW17*L17)+(AX17*M17)</f>
        <v>0</v>
      </c>
    </row>
    <row r="18" spans="1:52" s="66" customFormat="1" ht="39.75" customHeight="1" thickBot="1" x14ac:dyDescent="0.2">
      <c r="A18" s="96">
        <v>8</v>
      </c>
      <c r="B18" s="91" t="s">
        <v>330</v>
      </c>
      <c r="C18" s="131" t="s">
        <v>302</v>
      </c>
      <c r="D18" s="134" t="s">
        <v>318</v>
      </c>
      <c r="E18" s="131"/>
      <c r="F18" s="131"/>
      <c r="G18" s="170"/>
      <c r="H18" s="207" t="s">
        <v>316</v>
      </c>
      <c r="I18" s="111">
        <v>0.7</v>
      </c>
      <c r="J18" s="166">
        <v>0.27300000000000002</v>
      </c>
      <c r="K18" s="41"/>
      <c r="L18" s="42"/>
      <c r="M18" s="68"/>
      <c r="N18" s="94">
        <f>SUM(I18:M18)</f>
        <v>0.97299999999999998</v>
      </c>
      <c r="O18" s="125">
        <v>1</v>
      </c>
      <c r="P18" s="112">
        <v>15</v>
      </c>
      <c r="Q18" s="113">
        <v>15</v>
      </c>
      <c r="R18" s="113"/>
      <c r="S18" s="120"/>
      <c r="T18" s="70"/>
      <c r="U18" s="71">
        <f>ROUND(((P18*I18)+(Q18*J18)+(R18*K18)+(S18*L18)+(T18*M18))*O18,2)</f>
        <v>14.6</v>
      </c>
      <c r="V18" s="72">
        <f>IF(U18&gt;=15,15,U18)</f>
        <v>14.6</v>
      </c>
      <c r="W18" s="136">
        <v>41028772000</v>
      </c>
      <c r="X18" s="136">
        <v>1152922000</v>
      </c>
      <c r="Y18" s="136"/>
      <c r="Z18" s="136"/>
      <c r="AA18" s="74"/>
      <c r="AB18" s="75">
        <f>ROUND((((W18*I18)+(X18*J18)+(Y18*K18)+(Z18*L18)+(AA18*M18))/$I$2),2)*13</f>
        <v>28.860000000000003</v>
      </c>
      <c r="AC18" s="72">
        <f>IF(AB18&gt;=13,13,AB18)</f>
        <v>13</v>
      </c>
      <c r="AD18" s="124">
        <v>2</v>
      </c>
      <c r="AE18" s="71">
        <f>IF((AC18+AD18)&gt;=15,15,(AC18+AD18))</f>
        <v>15</v>
      </c>
      <c r="AF18" s="76"/>
      <c r="AG18" s="54">
        <v>3.32</v>
      </c>
      <c r="AH18" s="77">
        <f>IF((V18+AE18+AF18)&gt;=30,30,(V18+AE18+AF18))</f>
        <v>29.6</v>
      </c>
      <c r="AI18" s="56">
        <v>10</v>
      </c>
      <c r="AJ18" s="56">
        <v>10</v>
      </c>
      <c r="AK18" s="56">
        <v>45</v>
      </c>
      <c r="AL18" s="57">
        <f>V18+AE18+AF18+AI18+AJ18+AK18+AG18</f>
        <v>97.919999999999987</v>
      </c>
      <c r="AM18" s="55">
        <f>IF(AH18+AI18+AJ18+AK18+AG18&gt;=95,95,AH18+AI18+AJ18+AK18+AG18)</f>
        <v>95</v>
      </c>
      <c r="AN18" s="78">
        <f>-((50-((176+(45+(50-AH18)))))/200)</f>
        <v>0.95700000000000007</v>
      </c>
      <c r="AO18" s="79"/>
      <c r="AP18" s="80">
        <f>100%+AO18</f>
        <v>1</v>
      </c>
      <c r="AQ18" s="80">
        <f>100%+AP18</f>
        <v>2</v>
      </c>
      <c r="AR18" s="61"/>
      <c r="AS18" s="62"/>
      <c r="AT18" s="81"/>
      <c r="AU18" s="81"/>
      <c r="AV18" s="81"/>
      <c r="AW18" s="81"/>
      <c r="AX18" s="82"/>
      <c r="AY18" s="83">
        <f>AT18+AU18+AV18+AW18+AX18</f>
        <v>0</v>
      </c>
      <c r="AZ18" s="83">
        <f t="shared" si="5"/>
        <v>0</v>
      </c>
    </row>
    <row r="19" spans="1:52" s="66" customFormat="1" ht="21.95" customHeight="1" thickBot="1" x14ac:dyDescent="0.2">
      <c r="A19" s="96"/>
      <c r="B19" s="91"/>
      <c r="C19" s="352" t="s">
        <v>3</v>
      </c>
      <c r="D19" s="353"/>
      <c r="E19" s="353"/>
      <c r="F19" s="353"/>
      <c r="G19" s="354"/>
      <c r="H19" s="67"/>
      <c r="I19" s="167">
        <v>88.43</v>
      </c>
      <c r="J19" s="84">
        <v>85</v>
      </c>
      <c r="K19" s="84">
        <v>85</v>
      </c>
      <c r="L19" s="84"/>
      <c r="M19" s="84"/>
      <c r="N19" s="168">
        <f>I19*I18+J19*J18+K19*K18+L19*L18+M19*M18</f>
        <v>85.106000000000009</v>
      </c>
      <c r="O19" s="44"/>
      <c r="P19" s="45"/>
      <c r="Q19" s="46"/>
      <c r="R19" s="46"/>
      <c r="S19" s="47"/>
      <c r="T19" s="70"/>
      <c r="U19" s="71"/>
      <c r="V19" s="72"/>
      <c r="W19" s="150"/>
      <c r="X19" s="85"/>
      <c r="Y19" s="151"/>
      <c r="Z19" s="85"/>
      <c r="AA19" s="74"/>
      <c r="AB19" s="75"/>
      <c r="AC19" s="72"/>
      <c r="AD19" s="71"/>
      <c r="AE19" s="71"/>
      <c r="AF19" s="152"/>
      <c r="AG19" s="86"/>
      <c r="AH19" s="77"/>
      <c r="AI19" s="87"/>
      <c r="AJ19" s="46"/>
      <c r="AK19" s="77"/>
      <c r="AL19" s="78"/>
      <c r="AM19" s="79"/>
      <c r="AN19" s="80"/>
      <c r="AO19" s="80"/>
      <c r="AP19" s="61"/>
      <c r="AQ19" s="62"/>
      <c r="AR19" s="81"/>
      <c r="AS19" s="81"/>
      <c r="AT19" s="81"/>
      <c r="AU19" s="81"/>
      <c r="AV19" s="82"/>
      <c r="AW19" s="83"/>
      <c r="AX19" s="83"/>
      <c r="AZ19" s="66">
        <f t="shared" si="5"/>
        <v>0</v>
      </c>
    </row>
    <row r="20" spans="1:52" s="66" customFormat="1" ht="39.75" customHeight="1" thickBot="1" x14ac:dyDescent="0.2">
      <c r="A20" s="265">
        <v>9</v>
      </c>
      <c r="B20" s="91" t="s">
        <v>294</v>
      </c>
      <c r="C20" s="131" t="s">
        <v>326</v>
      </c>
      <c r="D20" s="284" t="s">
        <v>321</v>
      </c>
      <c r="E20" s="108"/>
      <c r="F20" s="108"/>
      <c r="G20" s="170"/>
      <c r="H20" s="207"/>
      <c r="I20" s="111">
        <v>0.7</v>
      </c>
      <c r="J20" s="285">
        <v>0.3</v>
      </c>
      <c r="K20" s="41"/>
      <c r="L20" s="42"/>
      <c r="M20" s="147"/>
      <c r="N20" s="94">
        <f>SUM(I20:M20)</f>
        <v>1</v>
      </c>
      <c r="O20" s="125">
        <v>1</v>
      </c>
      <c r="P20" s="112">
        <v>15</v>
      </c>
      <c r="Q20" s="287">
        <v>15</v>
      </c>
      <c r="R20" s="113">
        <v>15</v>
      </c>
      <c r="S20" s="120"/>
      <c r="T20" s="70"/>
      <c r="U20" s="71">
        <f>ROUND(((P20*I20)+(Q20*J20)+(R20*K20)+(S20*L20)+(T20*M20))*O20,2)</f>
        <v>15</v>
      </c>
      <c r="V20" s="72">
        <f>IF(U20&gt;=15,15,U20)</f>
        <v>15</v>
      </c>
      <c r="W20" s="139">
        <v>14977246000</v>
      </c>
      <c r="X20" s="282">
        <v>5765429000</v>
      </c>
      <c r="Y20" s="136"/>
      <c r="Z20" s="136"/>
      <c r="AA20" s="74"/>
      <c r="AB20" s="75">
        <f>ROUND((((W20*I20)+(X20*J20)+(Y20*K20)+(Z20*L20)+(AA20*M20))/$I$2),2)*13</f>
        <v>12.09</v>
      </c>
      <c r="AC20" s="72">
        <f>IF(AB20&gt;=13,13,AB20)</f>
        <v>12.09</v>
      </c>
      <c r="AD20" s="124">
        <v>2</v>
      </c>
      <c r="AE20" s="71">
        <f>IF((AC20+AD20)&gt;=15,15,(AC20+AD20))</f>
        <v>14.09</v>
      </c>
      <c r="AF20" s="76">
        <f>0.5*I20</f>
        <v>0.35</v>
      </c>
      <c r="AG20" s="54">
        <v>3.32</v>
      </c>
      <c r="AH20" s="77">
        <f>IF((V20+AE20+AF20)&gt;=30,30,(V20+AE20+AF20))</f>
        <v>29.44</v>
      </c>
      <c r="AI20" s="56">
        <v>10</v>
      </c>
      <c r="AJ20" s="56">
        <v>10</v>
      </c>
      <c r="AK20" s="56">
        <v>45</v>
      </c>
      <c r="AL20" s="57">
        <f>V20+AE20+AF20+AI20+AJ20+AK20+AG20</f>
        <v>97.759999999999991</v>
      </c>
      <c r="AM20" s="55">
        <f>IF(AH20+AI20+AJ20+AK20+AG20&gt;=95,95,AH20+AI20+AJ20+AK20+AG20)</f>
        <v>95</v>
      </c>
      <c r="AN20" s="78">
        <f>-((50-((176+(45+(50-AH20)))))/200)</f>
        <v>0.95779999999999998</v>
      </c>
      <c r="AO20" s="79"/>
      <c r="AP20" s="80">
        <f>100%+AO20</f>
        <v>1</v>
      </c>
      <c r="AQ20" s="80">
        <f>100%+AP20</f>
        <v>2</v>
      </c>
      <c r="AR20" s="61"/>
      <c r="AS20" s="289"/>
      <c r="AT20" s="81"/>
      <c r="AU20" s="81"/>
      <c r="AV20" s="81"/>
      <c r="AW20" s="81"/>
      <c r="AX20" s="82"/>
      <c r="AY20" s="83">
        <f>AT20+AU20+AV20+AW20+AX20</f>
        <v>0</v>
      </c>
      <c r="AZ20" s="83">
        <f t="shared" si="5"/>
        <v>0</v>
      </c>
    </row>
    <row r="21" spans="1:52" s="66" customFormat="1" ht="21.95" customHeight="1" thickBot="1" x14ac:dyDescent="0.2">
      <c r="A21" s="265"/>
      <c r="B21" s="91"/>
      <c r="C21" s="352" t="s">
        <v>3</v>
      </c>
      <c r="D21" s="353"/>
      <c r="E21" s="353"/>
      <c r="F21" s="353"/>
      <c r="G21" s="354"/>
      <c r="H21" s="67"/>
      <c r="I21" s="84">
        <v>85</v>
      </c>
      <c r="J21" s="84">
        <v>85</v>
      </c>
      <c r="K21" s="84">
        <v>85</v>
      </c>
      <c r="L21" s="84"/>
      <c r="M21" s="84"/>
      <c r="N21" s="168">
        <f>I21*I20+J21*J20+K21*K20+L21*L20+M21*M20</f>
        <v>85</v>
      </c>
      <c r="O21" s="44"/>
      <c r="P21" s="45"/>
      <c r="Q21" s="46"/>
      <c r="R21" s="46"/>
      <c r="S21" s="47"/>
      <c r="T21" s="70"/>
      <c r="U21" s="71"/>
      <c r="V21" s="72"/>
      <c r="W21" s="150"/>
      <c r="X21" s="85"/>
      <c r="Y21" s="151"/>
      <c r="Z21" s="85"/>
      <c r="AA21" s="74"/>
      <c r="AB21" s="75"/>
      <c r="AC21" s="72"/>
      <c r="AD21" s="71"/>
      <c r="AE21" s="71"/>
      <c r="AF21" s="152"/>
      <c r="AG21" s="86"/>
      <c r="AH21" s="77"/>
      <c r="AI21" s="87"/>
      <c r="AJ21" s="46"/>
      <c r="AK21" s="77"/>
      <c r="AL21" s="78"/>
      <c r="AM21" s="79"/>
      <c r="AN21" s="80"/>
      <c r="AO21" s="80"/>
      <c r="AP21" s="61"/>
      <c r="AQ21" s="62"/>
      <c r="AR21" s="81"/>
      <c r="AS21" s="81"/>
      <c r="AT21" s="81"/>
      <c r="AU21" s="81"/>
      <c r="AV21" s="82"/>
      <c r="AW21" s="83"/>
      <c r="AX21" s="83"/>
      <c r="AZ21" s="66">
        <f t="shared" si="5"/>
        <v>0</v>
      </c>
    </row>
    <row r="22" spans="1:52" s="66" customFormat="1" ht="39.75" customHeight="1" thickBot="1" x14ac:dyDescent="0.2">
      <c r="A22" s="265">
        <v>10</v>
      </c>
      <c r="B22" s="91" t="s">
        <v>294</v>
      </c>
      <c r="C22" s="131" t="s">
        <v>309</v>
      </c>
      <c r="D22" s="284" t="s">
        <v>320</v>
      </c>
      <c r="E22" s="108"/>
      <c r="F22" s="108"/>
      <c r="G22" s="97"/>
      <c r="H22" s="158"/>
      <c r="I22" s="111">
        <v>0.6</v>
      </c>
      <c r="J22" s="286">
        <v>0.4</v>
      </c>
      <c r="K22" s="41"/>
      <c r="L22" s="42"/>
      <c r="M22" s="147"/>
      <c r="N22" s="69">
        <f>SUM(I22:M22)</f>
        <v>1</v>
      </c>
      <c r="O22" s="125">
        <v>1</v>
      </c>
      <c r="P22" s="112">
        <v>15</v>
      </c>
      <c r="Q22" s="287">
        <v>15</v>
      </c>
      <c r="R22" s="113"/>
      <c r="S22" s="120"/>
      <c r="T22" s="70"/>
      <c r="U22" s="71">
        <f>ROUND(((P22*I22)+(Q22*J22)+(R22*K22)+(S22*L22)+(T22*M22))*O22,2)</f>
        <v>15</v>
      </c>
      <c r="V22" s="72">
        <f>IF(U22&gt;=15,15,U22)</f>
        <v>15</v>
      </c>
      <c r="W22" s="139">
        <v>227887155000</v>
      </c>
      <c r="X22" s="288">
        <v>8327316000</v>
      </c>
      <c r="Y22" s="119"/>
      <c r="Z22" s="119"/>
      <c r="AA22" s="74"/>
      <c r="AB22" s="75">
        <f>ROUND((((W22*I22)+(X22*J22)+(Y22*K22)+(Z22*L22)+(AA22*M22))/$I$2),2)*13</f>
        <v>139.23000000000002</v>
      </c>
      <c r="AC22" s="72">
        <f>IF(AB22&gt;=13,13,AB22)</f>
        <v>13</v>
      </c>
      <c r="AD22" s="124">
        <v>2</v>
      </c>
      <c r="AE22" s="71">
        <f>IF((AC22+AD22)&gt;=15,15,(AC22+AD22))</f>
        <v>15</v>
      </c>
      <c r="AF22" s="76"/>
      <c r="AG22" s="54">
        <v>3.32</v>
      </c>
      <c r="AH22" s="77">
        <f>IF((V22+AE22+AF22)&gt;=30,30,(V22+AE22+AF22))</f>
        <v>30</v>
      </c>
      <c r="AI22" s="56">
        <v>10</v>
      </c>
      <c r="AJ22" s="56">
        <v>10</v>
      </c>
      <c r="AK22" s="56">
        <v>45</v>
      </c>
      <c r="AL22" s="57">
        <f>V22+AE22+AF22+AI22+AJ22+AK22+AG22</f>
        <v>98.32</v>
      </c>
      <c r="AM22" s="55">
        <f>IF(AH22+AI22+AJ22+AK22+AG22&gt;=95,95,AH22+AI22+AJ22+AK22+AG22)</f>
        <v>95</v>
      </c>
      <c r="AN22" s="78">
        <f>-((50-((176+(45+(50-AH22)))))/200)</f>
        <v>0.95499999999999996</v>
      </c>
      <c r="AO22" s="79"/>
      <c r="AP22" s="80">
        <f t="shared" ref="AP22:AQ47" si="6">100%+AO22</f>
        <v>1</v>
      </c>
      <c r="AQ22" s="80">
        <f t="shared" si="6"/>
        <v>2</v>
      </c>
      <c r="AR22" s="61"/>
      <c r="AS22" s="289"/>
      <c r="AT22" s="81"/>
      <c r="AU22" s="81"/>
      <c r="AV22" s="81"/>
      <c r="AW22" s="81"/>
      <c r="AX22" s="82"/>
      <c r="AY22" s="83">
        <f>AT22+AU22+AV22+AW22+AX22</f>
        <v>0</v>
      </c>
      <c r="AZ22" s="83">
        <f t="shared" si="5"/>
        <v>0</v>
      </c>
    </row>
    <row r="23" spans="1:52" s="66" customFormat="1" ht="21.95" customHeight="1" thickBot="1" x14ac:dyDescent="0.2">
      <c r="A23" s="96"/>
      <c r="B23" s="91"/>
      <c r="C23" s="352" t="s">
        <v>3</v>
      </c>
      <c r="D23" s="353"/>
      <c r="E23" s="353"/>
      <c r="F23" s="353"/>
      <c r="G23" s="354"/>
      <c r="H23" s="67"/>
      <c r="I23" s="84">
        <v>85</v>
      </c>
      <c r="J23" s="276">
        <v>85</v>
      </c>
      <c r="K23" s="84"/>
      <c r="L23" s="84"/>
      <c r="M23" s="84"/>
      <c r="N23" s="168">
        <f>I23*I22+J23*J22+K23*K22+L23*L22+M23*M22</f>
        <v>85</v>
      </c>
      <c r="O23" s="44"/>
      <c r="P23" s="45"/>
      <c r="Q23" s="46"/>
      <c r="R23" s="46"/>
      <c r="S23" s="47"/>
      <c r="T23" s="70"/>
      <c r="U23" s="71"/>
      <c r="V23" s="72"/>
      <c r="W23" s="150"/>
      <c r="X23" s="85"/>
      <c r="Y23" s="151"/>
      <c r="Z23" s="85"/>
      <c r="AA23" s="74"/>
      <c r="AB23" s="75"/>
      <c r="AC23" s="72"/>
      <c r="AD23" s="71"/>
      <c r="AE23" s="71"/>
      <c r="AF23" s="152"/>
      <c r="AG23" s="86"/>
      <c r="AH23" s="77"/>
      <c r="AI23" s="87"/>
      <c r="AJ23" s="46"/>
      <c r="AK23" s="77"/>
      <c r="AL23" s="78"/>
      <c r="AM23" s="79"/>
      <c r="AN23" s="80"/>
      <c r="AO23" s="80"/>
      <c r="AP23" s="61"/>
      <c r="AQ23" s="62"/>
      <c r="AR23" s="81"/>
      <c r="AS23" s="81"/>
      <c r="AT23" s="81"/>
      <c r="AU23" s="81"/>
      <c r="AV23" s="82"/>
      <c r="AW23" s="83"/>
      <c r="AX23" s="83"/>
      <c r="AZ23" s="66">
        <f t="shared" si="5"/>
        <v>0</v>
      </c>
    </row>
    <row r="24" spans="1:52" s="66" customFormat="1" ht="39.75" customHeight="1" thickBot="1" x14ac:dyDescent="0.2">
      <c r="A24" s="91">
        <v>11</v>
      </c>
      <c r="B24" s="91" t="s">
        <v>330</v>
      </c>
      <c r="C24" s="131" t="s">
        <v>319</v>
      </c>
      <c r="D24" s="134" t="s">
        <v>324</v>
      </c>
      <c r="E24" s="131"/>
      <c r="F24" s="109"/>
      <c r="G24" s="170"/>
      <c r="H24" s="207"/>
      <c r="I24" s="111">
        <v>0.6</v>
      </c>
      <c r="J24" s="233">
        <v>0.4</v>
      </c>
      <c r="K24" s="84"/>
      <c r="L24" s="42"/>
      <c r="M24" s="147"/>
      <c r="N24" s="69">
        <f>SUM(I24:M24)</f>
        <v>1</v>
      </c>
      <c r="O24" s="125">
        <v>1</v>
      </c>
      <c r="P24" s="112">
        <v>15</v>
      </c>
      <c r="Q24" s="113">
        <v>15</v>
      </c>
      <c r="R24" s="113"/>
      <c r="S24" s="120"/>
      <c r="T24" s="70"/>
      <c r="U24" s="71">
        <f>ROUND(((P24*I24)+(Q24*J24)+(R24*K24)+(S24*L24)+(T24*M24))*O24,2)</f>
        <v>15</v>
      </c>
      <c r="V24" s="72">
        <f>IF(U24&gt;=15,15,U24)</f>
        <v>15</v>
      </c>
      <c r="W24" s="139">
        <v>139068887000</v>
      </c>
      <c r="X24" s="136">
        <v>4742565000</v>
      </c>
      <c r="Y24" s="136"/>
      <c r="Z24" s="116"/>
      <c r="AA24" s="74"/>
      <c r="AB24" s="75">
        <f>ROUND((((W24*I24)+(X24*J24)+(Y24*K24)+(Z24*L24)+(AA24*M24))/$I$2),2)*13</f>
        <v>84.759999999999991</v>
      </c>
      <c r="AC24" s="72">
        <f>IF(AB24&gt;=13,13,AB24)</f>
        <v>13</v>
      </c>
      <c r="AD24" s="124">
        <v>2</v>
      </c>
      <c r="AE24" s="71">
        <f>IF((AC24+AD24)&gt;=15,15,(AC24+AD24))</f>
        <v>15</v>
      </c>
      <c r="AF24" s="53"/>
      <c r="AG24" s="54">
        <v>3.32</v>
      </c>
      <c r="AH24" s="77">
        <f>IF((V24+AE24+AF24)&gt;=30,30,(V24+AE24+AF24))</f>
        <v>30</v>
      </c>
      <c r="AI24" s="56">
        <v>10</v>
      </c>
      <c r="AJ24" s="56">
        <v>10</v>
      </c>
      <c r="AK24" s="56">
        <v>45</v>
      </c>
      <c r="AL24" s="57">
        <f>V24+AE24+AF24+AI24+AJ24+AK24+AG24</f>
        <v>98.32</v>
      </c>
      <c r="AM24" s="55">
        <f>IF(AH24+AI24+AJ24+AK24+AG24&gt;=95,95,AH24+AI24+AJ24+AK24+AG24)</f>
        <v>95</v>
      </c>
      <c r="AN24" s="78">
        <f>-((50-((176+(45+(50-AH24)))))/200)</f>
        <v>0.95499999999999996</v>
      </c>
      <c r="AO24" s="79"/>
      <c r="AP24" s="80">
        <f t="shared" si="6"/>
        <v>1</v>
      </c>
      <c r="AQ24" s="80">
        <f t="shared" si="6"/>
        <v>2</v>
      </c>
      <c r="AR24" s="61"/>
      <c r="AS24" s="62"/>
      <c r="AT24" s="81"/>
      <c r="AU24" s="81"/>
      <c r="AV24" s="81"/>
      <c r="AW24" s="81"/>
      <c r="AX24" s="82"/>
      <c r="AY24" s="83">
        <f>AT24+AU24+AV24+AW24+AX24</f>
        <v>0</v>
      </c>
      <c r="AZ24" s="83">
        <f t="shared" si="5"/>
        <v>0</v>
      </c>
    </row>
    <row r="25" spans="1:52" s="66" customFormat="1" ht="21.95" customHeight="1" thickBot="1" x14ac:dyDescent="0.2">
      <c r="A25" s="96"/>
      <c r="B25" s="91"/>
      <c r="C25" s="352" t="s">
        <v>3</v>
      </c>
      <c r="D25" s="353"/>
      <c r="E25" s="353"/>
      <c r="F25" s="353"/>
      <c r="G25" s="354"/>
      <c r="H25" s="67"/>
      <c r="I25" s="84">
        <v>85</v>
      </c>
      <c r="J25" s="84">
        <v>85</v>
      </c>
      <c r="K25" s="84"/>
      <c r="L25" s="84"/>
      <c r="M25" s="84"/>
      <c r="N25" s="168">
        <f>I25*I24+J25*J24+K25*K24+L25*L24+M25*M24</f>
        <v>85</v>
      </c>
      <c r="O25" s="44"/>
      <c r="P25" s="45"/>
      <c r="Q25" s="46"/>
      <c r="R25" s="46"/>
      <c r="S25" s="47"/>
      <c r="T25" s="70"/>
      <c r="U25" s="71"/>
      <c r="V25" s="72"/>
      <c r="W25" s="150"/>
      <c r="X25" s="85"/>
      <c r="Y25" s="151"/>
      <c r="Z25" s="85"/>
      <c r="AA25" s="74"/>
      <c r="AB25" s="75"/>
      <c r="AC25" s="72"/>
      <c r="AD25" s="71"/>
      <c r="AE25" s="71"/>
      <c r="AF25" s="152"/>
      <c r="AG25" s="86"/>
      <c r="AH25" s="77"/>
      <c r="AI25" s="87"/>
      <c r="AJ25" s="46"/>
      <c r="AK25" s="77"/>
      <c r="AL25" s="78"/>
      <c r="AM25" s="79"/>
      <c r="AN25" s="80"/>
      <c r="AO25" s="80"/>
      <c r="AP25" s="61"/>
      <c r="AQ25" s="62"/>
      <c r="AR25" s="81"/>
      <c r="AS25" s="81"/>
      <c r="AT25" s="81"/>
      <c r="AU25" s="81"/>
      <c r="AV25" s="82"/>
      <c r="AW25" s="83"/>
      <c r="AX25" s="83"/>
      <c r="AZ25" s="66">
        <f t="shared" si="5"/>
        <v>0</v>
      </c>
    </row>
    <row r="26" spans="1:52" s="66" customFormat="1" ht="39.75" customHeight="1" thickBot="1" x14ac:dyDescent="0.2">
      <c r="A26" s="96">
        <v>12</v>
      </c>
      <c r="B26" s="91" t="s">
        <v>330</v>
      </c>
      <c r="C26" s="122" t="s">
        <v>308</v>
      </c>
      <c r="D26" s="134" t="s">
        <v>325</v>
      </c>
      <c r="E26" s="131"/>
      <c r="F26" s="109"/>
      <c r="G26" s="170"/>
      <c r="H26" s="207" t="s">
        <v>327</v>
      </c>
      <c r="I26" s="111">
        <v>0.7</v>
      </c>
      <c r="J26" s="256">
        <v>0.26069999999999999</v>
      </c>
      <c r="K26" s="41"/>
      <c r="L26" s="42"/>
      <c r="M26" s="147"/>
      <c r="N26" s="94">
        <f>SUM(I26:M26)</f>
        <v>0.96069999999999989</v>
      </c>
      <c r="O26" s="125">
        <v>1</v>
      </c>
      <c r="P26" s="112">
        <v>15</v>
      </c>
      <c r="Q26" s="113">
        <v>15</v>
      </c>
      <c r="R26" s="113"/>
      <c r="S26" s="120"/>
      <c r="T26" s="70"/>
      <c r="U26" s="71">
        <f>ROUND(((P26*I26)+(Q26*J26)+(R26*K26)+(S26*L26)+(T26*M26))*O26,2)</f>
        <v>14.41</v>
      </c>
      <c r="V26" s="72">
        <f>IF(U26&gt;=15,15,U26)</f>
        <v>14.41</v>
      </c>
      <c r="W26" s="139">
        <v>618668065000</v>
      </c>
      <c r="X26" s="136">
        <v>1922522000</v>
      </c>
      <c r="Y26" s="85"/>
      <c r="Z26" s="139"/>
      <c r="AA26" s="74"/>
      <c r="AB26" s="75">
        <f>ROUND((((W26*I26)+(X26*J26)+(Y26*K26)+(Z26*L26)+(AA26*M26))/$I$2),2)*13</f>
        <v>430.82</v>
      </c>
      <c r="AC26" s="72">
        <f>IF(AB26&gt;=13,13,AB26)</f>
        <v>13</v>
      </c>
      <c r="AD26" s="149">
        <v>1</v>
      </c>
      <c r="AE26" s="71">
        <f>IF((AC26+AD26)&gt;=15,15,(AC26+AD26))</f>
        <v>14</v>
      </c>
      <c r="AF26" s="76"/>
      <c r="AG26" s="54">
        <v>3.32</v>
      </c>
      <c r="AH26" s="77">
        <f>IF((V26+AE26+AF26)&gt;=30,30,(V26+AE26+AF26))</f>
        <v>28.41</v>
      </c>
      <c r="AI26" s="56">
        <v>10</v>
      </c>
      <c r="AJ26" s="56">
        <v>10</v>
      </c>
      <c r="AK26" s="56">
        <v>45</v>
      </c>
      <c r="AL26" s="57">
        <f>V26+AE26+AF26+AI26+AJ26+AK26+AG26</f>
        <v>96.72999999999999</v>
      </c>
      <c r="AM26" s="55">
        <f>IF(AH26+AI26+AJ26+AK26+AG26&gt;=95,95,AH26+AI26+AJ26+AK26+AG26)</f>
        <v>95</v>
      </c>
      <c r="AN26" s="78">
        <f>-((50-((176+(45+(50-AH26)))))/200)</f>
        <v>0.96294999999999997</v>
      </c>
      <c r="AO26" s="79"/>
      <c r="AP26" s="80">
        <f t="shared" si="6"/>
        <v>1</v>
      </c>
      <c r="AQ26" s="80">
        <f t="shared" si="6"/>
        <v>2</v>
      </c>
      <c r="AR26" s="61"/>
      <c r="AS26" s="62"/>
      <c r="AT26" s="81"/>
      <c r="AU26" s="81"/>
      <c r="AV26" s="81"/>
      <c r="AW26" s="81"/>
      <c r="AX26" s="82"/>
      <c r="AY26" s="83">
        <f>AT26+AU26+AV26+AW26+AX26</f>
        <v>0</v>
      </c>
      <c r="AZ26" s="83">
        <f t="shared" si="5"/>
        <v>0</v>
      </c>
    </row>
    <row r="27" spans="1:52" s="66" customFormat="1" ht="21.95" customHeight="1" thickBot="1" x14ac:dyDescent="0.2">
      <c r="A27" s="96"/>
      <c r="B27" s="91"/>
      <c r="C27" s="352" t="s">
        <v>3</v>
      </c>
      <c r="D27" s="353"/>
      <c r="E27" s="353"/>
      <c r="F27" s="353"/>
      <c r="G27" s="354"/>
      <c r="H27" s="67"/>
      <c r="I27" s="84">
        <v>85</v>
      </c>
      <c r="J27" s="84">
        <v>85</v>
      </c>
      <c r="K27" s="84"/>
      <c r="L27" s="84"/>
      <c r="M27" s="84"/>
      <c r="N27" s="168">
        <f>I27*I26+J27*J26+K27*K26+L27*L26+M27*M26</f>
        <v>81.659499999999994</v>
      </c>
      <c r="O27" s="44"/>
      <c r="P27" s="45"/>
      <c r="Q27" s="46"/>
      <c r="R27" s="46"/>
      <c r="S27" s="47"/>
      <c r="T27" s="70"/>
      <c r="U27" s="71"/>
      <c r="V27" s="72"/>
      <c r="W27" s="150"/>
      <c r="X27" s="85"/>
      <c r="Y27" s="151"/>
      <c r="Z27" s="85"/>
      <c r="AA27" s="74"/>
      <c r="AB27" s="75"/>
      <c r="AC27" s="72"/>
      <c r="AD27" s="71"/>
      <c r="AE27" s="71"/>
      <c r="AF27" s="152"/>
      <c r="AG27" s="86"/>
      <c r="AH27" s="77"/>
      <c r="AI27" s="87"/>
      <c r="AJ27" s="46"/>
      <c r="AK27" s="77"/>
      <c r="AL27" s="78"/>
      <c r="AM27" s="79"/>
      <c r="AN27" s="80"/>
      <c r="AO27" s="80"/>
      <c r="AP27" s="61"/>
      <c r="AQ27" s="62"/>
      <c r="AR27" s="81"/>
      <c r="AS27" s="81"/>
      <c r="AT27" s="81"/>
      <c r="AU27" s="81"/>
      <c r="AV27" s="82"/>
      <c r="AW27" s="83"/>
      <c r="AX27" s="83"/>
      <c r="AZ27" s="66">
        <f t="shared" si="5"/>
        <v>0</v>
      </c>
    </row>
    <row r="28" spans="1:52" s="66" customFormat="1" ht="39.75" customHeight="1" thickBot="1" x14ac:dyDescent="0.2">
      <c r="A28" s="96">
        <v>13</v>
      </c>
      <c r="B28" s="91" t="s">
        <v>330</v>
      </c>
      <c r="C28" s="122" t="s">
        <v>303</v>
      </c>
      <c r="D28" s="134" t="s">
        <v>328</v>
      </c>
      <c r="E28" s="131"/>
      <c r="F28" s="109"/>
      <c r="G28" s="170"/>
      <c r="H28" s="207" t="s">
        <v>329</v>
      </c>
      <c r="I28" s="92">
        <v>0.65</v>
      </c>
      <c r="J28" s="209">
        <v>0.34350000000000003</v>
      </c>
      <c r="K28" s="41"/>
      <c r="L28" s="42"/>
      <c r="M28" s="68"/>
      <c r="N28" s="94">
        <f t="shared" ref="N28:N63" si="7">SUM(I28:M28)</f>
        <v>0.99350000000000005</v>
      </c>
      <c r="O28" s="125">
        <v>1</v>
      </c>
      <c r="P28" s="112">
        <v>15</v>
      </c>
      <c r="Q28" s="120">
        <v>15</v>
      </c>
      <c r="R28" s="89">
        <v>15</v>
      </c>
      <c r="S28" s="120">
        <v>15</v>
      </c>
      <c r="T28" s="70"/>
      <c r="U28" s="71">
        <f t="shared" ref="U28:U100" si="8">ROUND(((P28*I28)+(Q28*J28)+(R28*K28)+(S28*L28)+(T28*M28))*O28,2)</f>
        <v>14.9</v>
      </c>
      <c r="V28" s="72">
        <f t="shared" ref="V28:V100" si="9">IF(U28&gt;=15,15,U28)</f>
        <v>14.9</v>
      </c>
      <c r="W28" s="137">
        <v>46537406000</v>
      </c>
      <c r="X28" s="136">
        <v>1857195000</v>
      </c>
      <c r="Y28" s="85"/>
      <c r="Z28" s="139"/>
      <c r="AA28" s="85"/>
      <c r="AB28" s="71">
        <f t="shared" ref="AB28:AB100" si="10">ROUND((((W28*I28)+(X28*J28)+(Y28*K28)+(Z28*L28)+(AA28*M28))/$I$2),2)*13</f>
        <v>30.68</v>
      </c>
      <c r="AC28" s="72">
        <f t="shared" ref="AC28:AC100" si="11">IF(AB28&gt;=13,13,AB28)</f>
        <v>13</v>
      </c>
      <c r="AD28" s="149">
        <v>1.5</v>
      </c>
      <c r="AE28" s="71">
        <f t="shared" ref="AE28:AE100" si="12">IF((AC28+AD28)&gt;=15,15,(AC28+AD28))</f>
        <v>14.5</v>
      </c>
      <c r="AF28" s="76"/>
      <c r="AG28" s="54">
        <v>3.32</v>
      </c>
      <c r="AH28" s="77">
        <f t="shared" ref="AH28:AH100" si="13">IF((V28+AE28+AF28)&gt;=30,30,(V28+AE28+AF28))</f>
        <v>29.4</v>
      </c>
      <c r="AI28" s="56">
        <v>10</v>
      </c>
      <c r="AJ28" s="56">
        <v>10</v>
      </c>
      <c r="AK28" s="56">
        <v>45</v>
      </c>
      <c r="AL28" s="57">
        <f t="shared" ref="AL28:AL100" si="14">V28+AE28+AF28+AI28+AJ28+AK28+AG28</f>
        <v>97.72</v>
      </c>
      <c r="AM28" s="55">
        <f t="shared" ref="AM28:AM100" si="15">IF(AH28+AI28+AJ28+AK28+AG28&gt;=95,95,AH28+AI28+AJ28+AK28+AG28)</f>
        <v>95</v>
      </c>
      <c r="AN28" s="78">
        <f t="shared" ref="AN28:AN100" si="16">-((50-((176+(45+(50-AH28)))))/200)</f>
        <v>0.95799999999999996</v>
      </c>
      <c r="AO28" s="79"/>
      <c r="AP28" s="80">
        <f t="shared" si="6"/>
        <v>1</v>
      </c>
      <c r="AQ28" s="80">
        <f t="shared" si="6"/>
        <v>2</v>
      </c>
      <c r="AR28" s="61"/>
      <c r="AS28" s="62"/>
      <c r="AT28" s="81"/>
      <c r="AU28" s="81"/>
      <c r="AV28" s="81"/>
      <c r="AW28" s="81"/>
      <c r="AX28" s="82"/>
      <c r="AY28" s="83">
        <f t="shared" ref="AY28:AY100" si="17">AT28+AU28+AV28+AW28+AX28</f>
        <v>0</v>
      </c>
      <c r="AZ28" s="83">
        <f t="shared" si="5"/>
        <v>0</v>
      </c>
    </row>
    <row r="29" spans="1:52" s="66" customFormat="1" ht="21.95" customHeight="1" thickBot="1" x14ac:dyDescent="0.2">
      <c r="A29" s="96"/>
      <c r="B29" s="91"/>
      <c r="C29" s="352" t="s">
        <v>272</v>
      </c>
      <c r="D29" s="353"/>
      <c r="E29" s="353"/>
      <c r="F29" s="353"/>
      <c r="G29" s="354"/>
      <c r="H29" s="67"/>
      <c r="I29" s="84">
        <v>85</v>
      </c>
      <c r="J29" s="84">
        <v>85</v>
      </c>
      <c r="K29" s="84">
        <v>85</v>
      </c>
      <c r="L29" s="84"/>
      <c r="M29" s="84"/>
      <c r="N29" s="168">
        <f>I29*I28+J29*J28+K29*K28+L29*L28+M29*M28</f>
        <v>84.447500000000005</v>
      </c>
      <c r="O29" s="44"/>
      <c r="P29" s="45"/>
      <c r="Q29" s="46"/>
      <c r="R29" s="46"/>
      <c r="S29" s="47"/>
      <c r="T29" s="70"/>
      <c r="U29" s="71"/>
      <c r="V29" s="72"/>
      <c r="W29" s="150"/>
      <c r="X29" s="85"/>
      <c r="Y29" s="151"/>
      <c r="Z29" s="85"/>
      <c r="AA29" s="74"/>
      <c r="AB29" s="75"/>
      <c r="AC29" s="72"/>
      <c r="AD29" s="71"/>
      <c r="AE29" s="71"/>
      <c r="AF29" s="152"/>
      <c r="AG29" s="86"/>
      <c r="AH29" s="77"/>
      <c r="AI29" s="87"/>
      <c r="AJ29" s="46"/>
      <c r="AK29" s="77"/>
      <c r="AL29" s="78"/>
      <c r="AM29" s="79"/>
      <c r="AN29" s="80"/>
      <c r="AO29" s="80"/>
      <c r="AP29" s="61"/>
      <c r="AQ29" s="62"/>
      <c r="AR29" s="81"/>
      <c r="AS29" s="81"/>
      <c r="AT29" s="81"/>
      <c r="AU29" s="81"/>
      <c r="AV29" s="82"/>
      <c r="AW29" s="83"/>
      <c r="AX29" s="83"/>
      <c r="AZ29" s="66">
        <f t="shared" si="5"/>
        <v>0</v>
      </c>
    </row>
    <row r="30" spans="1:52" s="66" customFormat="1" ht="39.75" customHeight="1" thickBot="1" x14ac:dyDescent="0.2">
      <c r="A30" s="96">
        <v>14</v>
      </c>
      <c r="B30" s="91" t="s">
        <v>294</v>
      </c>
      <c r="C30" s="110" t="s">
        <v>340</v>
      </c>
      <c r="D30" s="284" t="s">
        <v>345</v>
      </c>
      <c r="E30" s="131"/>
      <c r="F30" s="109"/>
      <c r="G30" s="170"/>
      <c r="H30" s="207"/>
      <c r="I30" s="92">
        <v>0.51</v>
      </c>
      <c r="J30" s="295">
        <v>0.49</v>
      </c>
      <c r="K30" s="41"/>
      <c r="L30" s="42"/>
      <c r="M30" s="147"/>
      <c r="N30" s="94">
        <f>SUM(I30:M30)</f>
        <v>1</v>
      </c>
      <c r="O30" s="125">
        <v>1</v>
      </c>
      <c r="P30" s="112">
        <v>15</v>
      </c>
      <c r="Q30" s="287">
        <v>15</v>
      </c>
      <c r="R30" s="89">
        <v>15</v>
      </c>
      <c r="S30" s="120"/>
      <c r="T30" s="70"/>
      <c r="U30" s="71">
        <f>ROUND(((P30*I30)+(Q30*J30)+(R30*K30)+(S30*L30)+(T30*M30))*O30,2)</f>
        <v>15</v>
      </c>
      <c r="V30" s="72">
        <f>IF(U30&gt;=15,15,U30)</f>
        <v>15</v>
      </c>
      <c r="W30" s="136">
        <v>101360213000</v>
      </c>
      <c r="X30" s="296">
        <v>4028936000</v>
      </c>
      <c r="Y30" s="146"/>
      <c r="Z30" s="117"/>
      <c r="AA30" s="74"/>
      <c r="AB30" s="75">
        <f>ROUND((((W30*I30)+(X30*J30)+(Y30*K30)+(Z30*L30)+(AA30*M30))/$I$2),2)*13</f>
        <v>53.3</v>
      </c>
      <c r="AC30" s="72">
        <f>IF(AB30&gt;=13,13,AB30)</f>
        <v>13</v>
      </c>
      <c r="AD30" s="124">
        <v>2</v>
      </c>
      <c r="AE30" s="71">
        <f>IF((AC30+AD30)&gt;=15,15,(AC30+AD30))</f>
        <v>15</v>
      </c>
      <c r="AF30" s="76"/>
      <c r="AG30" s="54">
        <v>3.32</v>
      </c>
      <c r="AH30" s="77">
        <f>IF((V30+AE30+AF30)&gt;=30,30,(V30+AE30+AF30))</f>
        <v>30</v>
      </c>
      <c r="AI30" s="56">
        <v>10</v>
      </c>
      <c r="AJ30" s="56">
        <v>10</v>
      </c>
      <c r="AK30" s="56">
        <v>45</v>
      </c>
      <c r="AL30" s="57">
        <f>V30+AE30+AF30+AI30+AJ30+AK30+AG30</f>
        <v>98.32</v>
      </c>
      <c r="AM30" s="55">
        <f>IF(AH30+AI30+AJ30+AK30+AG30&gt;=95,95,AH30+AI30+AJ30+AK30+AG30)</f>
        <v>95</v>
      </c>
      <c r="AN30" s="78">
        <f>-((50-((176+(45+(50-AH30)))))/200)</f>
        <v>0.95499999999999996</v>
      </c>
      <c r="AO30" s="79"/>
      <c r="AP30" s="80">
        <f>100%+AO30</f>
        <v>1</v>
      </c>
      <c r="AQ30" s="80">
        <f>100%+AP30</f>
        <v>2</v>
      </c>
      <c r="AR30" s="61"/>
      <c r="AS30" s="289"/>
      <c r="AT30" s="81"/>
      <c r="AU30" s="81"/>
      <c r="AV30" s="81"/>
      <c r="AW30" s="81"/>
      <c r="AX30" s="82"/>
      <c r="AY30" s="83">
        <f>AT30+AU30+AV30+AW30+AX30</f>
        <v>0</v>
      </c>
      <c r="AZ30" s="83">
        <f>(AT30*I30)+(AU30*J30)+(AV30*K30)+(AW30*L30)+(AX30*M30)</f>
        <v>0</v>
      </c>
    </row>
    <row r="31" spans="1:52" s="66" customFormat="1" ht="39.75" customHeight="1" thickBot="1" x14ac:dyDescent="0.2">
      <c r="A31" s="96">
        <v>15</v>
      </c>
      <c r="B31" s="91" t="s">
        <v>294</v>
      </c>
      <c r="C31" s="131" t="s">
        <v>358</v>
      </c>
      <c r="D31" s="134" t="s">
        <v>333</v>
      </c>
      <c r="E31" s="131" t="s">
        <v>409</v>
      </c>
      <c r="F31" s="109"/>
      <c r="G31" s="170"/>
      <c r="H31" s="207" t="s">
        <v>343</v>
      </c>
      <c r="I31" s="92">
        <v>0.5</v>
      </c>
      <c r="J31" s="298">
        <v>0.21590000000000001</v>
      </c>
      <c r="K31" s="41">
        <v>0.2</v>
      </c>
      <c r="L31" s="42"/>
      <c r="M31" s="147"/>
      <c r="N31" s="94">
        <f t="shared" si="7"/>
        <v>0.91589999999999994</v>
      </c>
      <c r="O31" s="125">
        <v>1</v>
      </c>
      <c r="P31" s="112">
        <v>15</v>
      </c>
      <c r="Q31" s="113">
        <v>15</v>
      </c>
      <c r="R31" s="89">
        <v>15</v>
      </c>
      <c r="S31" s="120"/>
      <c r="T31" s="70"/>
      <c r="U31" s="71">
        <f t="shared" si="8"/>
        <v>13.74</v>
      </c>
      <c r="V31" s="72">
        <f t="shared" si="9"/>
        <v>13.74</v>
      </c>
      <c r="W31" s="136">
        <v>816103333000</v>
      </c>
      <c r="X31" s="148">
        <v>1468352000</v>
      </c>
      <c r="Y31" s="136"/>
      <c r="Z31" s="136"/>
      <c r="AA31" s="74"/>
      <c r="AB31" s="75">
        <f t="shared" si="10"/>
        <v>405.86</v>
      </c>
      <c r="AC31" s="72">
        <f t="shared" si="11"/>
        <v>13</v>
      </c>
      <c r="AD31" s="149">
        <v>1</v>
      </c>
      <c r="AE31" s="71">
        <f t="shared" si="12"/>
        <v>14</v>
      </c>
      <c r="AF31" s="76"/>
      <c r="AG31" s="54">
        <v>3.32</v>
      </c>
      <c r="AH31" s="77">
        <f t="shared" si="13"/>
        <v>27.740000000000002</v>
      </c>
      <c r="AI31" s="56">
        <v>10</v>
      </c>
      <c r="AJ31" s="56">
        <v>10</v>
      </c>
      <c r="AK31" s="56">
        <v>45</v>
      </c>
      <c r="AL31" s="57">
        <f t="shared" si="14"/>
        <v>96.06</v>
      </c>
      <c r="AM31" s="55">
        <f t="shared" si="15"/>
        <v>95</v>
      </c>
      <c r="AN31" s="78">
        <f t="shared" si="16"/>
        <v>0.96629999999999994</v>
      </c>
      <c r="AO31" s="79"/>
      <c r="AP31" s="80">
        <f t="shared" si="6"/>
        <v>1</v>
      </c>
      <c r="AQ31" s="80">
        <f t="shared" si="6"/>
        <v>2</v>
      </c>
      <c r="AR31" s="61"/>
      <c r="AS31" s="62"/>
      <c r="AT31" s="81"/>
      <c r="AU31" s="81"/>
      <c r="AV31" s="81"/>
      <c r="AW31" s="81"/>
      <c r="AX31" s="82"/>
      <c r="AY31" s="83">
        <f t="shared" si="17"/>
        <v>0</v>
      </c>
      <c r="AZ31" s="83">
        <f t="shared" si="5"/>
        <v>0</v>
      </c>
    </row>
    <row r="32" spans="1:52" s="66" customFormat="1" ht="21.95" customHeight="1" thickBot="1" x14ac:dyDescent="0.2">
      <c r="A32" s="96"/>
      <c r="B32" s="91"/>
      <c r="C32" s="352" t="s">
        <v>3</v>
      </c>
      <c r="D32" s="353"/>
      <c r="E32" s="353"/>
      <c r="F32" s="353"/>
      <c r="G32" s="354"/>
      <c r="H32" s="67"/>
      <c r="I32" s="167">
        <v>89.67</v>
      </c>
      <c r="J32" s="84">
        <v>85</v>
      </c>
      <c r="K32" s="84">
        <v>85</v>
      </c>
      <c r="L32" s="84"/>
      <c r="M32" s="84"/>
      <c r="N32" s="168">
        <f>I32*I31+J32*J31+K32*K31+L32*L31+M32*M31</f>
        <v>80.186499999999995</v>
      </c>
      <c r="O32" s="44"/>
      <c r="P32" s="45"/>
      <c r="Q32" s="46"/>
      <c r="R32" s="46"/>
      <c r="S32" s="47"/>
      <c r="T32" s="70"/>
      <c r="U32" s="71"/>
      <c r="V32" s="72"/>
      <c r="W32" s="150"/>
      <c r="X32" s="85"/>
      <c r="Y32" s="151"/>
      <c r="Z32" s="85"/>
      <c r="AA32" s="74"/>
      <c r="AB32" s="75"/>
      <c r="AC32" s="72"/>
      <c r="AD32" s="71"/>
      <c r="AE32" s="71"/>
      <c r="AF32" s="152"/>
      <c r="AG32" s="86"/>
      <c r="AH32" s="77"/>
      <c r="AI32" s="87"/>
      <c r="AJ32" s="46"/>
      <c r="AK32" s="77"/>
      <c r="AL32" s="78"/>
      <c r="AM32" s="79"/>
      <c r="AN32" s="80"/>
      <c r="AO32" s="80"/>
      <c r="AP32" s="61"/>
      <c r="AQ32" s="62"/>
      <c r="AR32" s="81"/>
      <c r="AS32" s="81"/>
      <c r="AT32" s="81"/>
      <c r="AU32" s="81"/>
      <c r="AV32" s="82"/>
      <c r="AW32" s="83"/>
      <c r="AX32" s="83"/>
      <c r="AZ32" s="66">
        <f t="shared" ref="AZ32" si="18">(AT32*I32)+(AU32*J32)+(AV32*K32)+(AW32*L32)+(AX32*M32)</f>
        <v>0</v>
      </c>
    </row>
    <row r="33" spans="1:52" s="66" customFormat="1" ht="39.75" customHeight="1" thickBot="1" x14ac:dyDescent="0.2">
      <c r="A33" s="96">
        <v>16</v>
      </c>
      <c r="B33" s="91" t="s">
        <v>294</v>
      </c>
      <c r="C33" s="131" t="s">
        <v>356</v>
      </c>
      <c r="D33" s="134" t="s">
        <v>334</v>
      </c>
      <c r="E33" s="131" t="s">
        <v>342</v>
      </c>
      <c r="F33" s="131"/>
      <c r="G33" s="170"/>
      <c r="H33" s="207" t="s">
        <v>364</v>
      </c>
      <c r="I33" s="92">
        <v>0.4</v>
      </c>
      <c r="J33" s="209">
        <v>0.22159999999999999</v>
      </c>
      <c r="K33" s="41">
        <v>0.3</v>
      </c>
      <c r="L33" s="42"/>
      <c r="M33" s="147"/>
      <c r="N33" s="94">
        <f t="shared" si="7"/>
        <v>0.92159999999999997</v>
      </c>
      <c r="O33" s="125">
        <v>1</v>
      </c>
      <c r="P33" s="112">
        <v>15</v>
      </c>
      <c r="Q33" s="113">
        <v>15</v>
      </c>
      <c r="R33" s="89">
        <v>15</v>
      </c>
      <c r="S33" s="120"/>
      <c r="T33" s="70"/>
      <c r="U33" s="71">
        <f t="shared" si="8"/>
        <v>13.82</v>
      </c>
      <c r="V33" s="72">
        <f t="shared" si="9"/>
        <v>13.82</v>
      </c>
      <c r="W33" s="136">
        <v>7702371000</v>
      </c>
      <c r="X33" s="148">
        <v>4385739000</v>
      </c>
      <c r="Y33" s="117">
        <v>130509297000</v>
      </c>
      <c r="Z33" s="136"/>
      <c r="AA33" s="74"/>
      <c r="AB33" s="75">
        <f t="shared" si="10"/>
        <v>42.9</v>
      </c>
      <c r="AC33" s="72">
        <f t="shared" si="11"/>
        <v>13</v>
      </c>
      <c r="AD33" s="149">
        <v>0</v>
      </c>
      <c r="AE33" s="71">
        <f t="shared" si="12"/>
        <v>13</v>
      </c>
      <c r="AF33" s="76">
        <f>0.5*I33</f>
        <v>0.2</v>
      </c>
      <c r="AG33" s="54">
        <v>3.32</v>
      </c>
      <c r="AH33" s="77">
        <f t="shared" si="13"/>
        <v>27.02</v>
      </c>
      <c r="AI33" s="56">
        <v>10</v>
      </c>
      <c r="AJ33" s="56">
        <v>10</v>
      </c>
      <c r="AK33" s="56">
        <v>45</v>
      </c>
      <c r="AL33" s="57">
        <f t="shared" si="14"/>
        <v>95.339999999999989</v>
      </c>
      <c r="AM33" s="55">
        <f t="shared" si="15"/>
        <v>95</v>
      </c>
      <c r="AN33" s="78">
        <f t="shared" si="16"/>
        <v>0.9699000000000001</v>
      </c>
      <c r="AO33" s="79"/>
      <c r="AP33" s="80">
        <f t="shared" si="6"/>
        <v>1</v>
      </c>
      <c r="AQ33" s="80">
        <f t="shared" si="6"/>
        <v>2</v>
      </c>
      <c r="AR33" s="61"/>
      <c r="AS33" s="62"/>
      <c r="AT33" s="81"/>
      <c r="AU33" s="81"/>
      <c r="AV33" s="81"/>
      <c r="AW33" s="81"/>
      <c r="AX33" s="82"/>
      <c r="AY33" s="83">
        <f t="shared" si="17"/>
        <v>0</v>
      </c>
      <c r="AZ33" s="83">
        <f t="shared" si="5"/>
        <v>0</v>
      </c>
    </row>
    <row r="34" spans="1:52" s="66" customFormat="1" ht="21.95" customHeight="1" thickBot="1" x14ac:dyDescent="0.2">
      <c r="A34" s="96"/>
      <c r="B34" s="91"/>
      <c r="C34" s="352" t="s">
        <v>3</v>
      </c>
      <c r="D34" s="353"/>
      <c r="E34" s="353"/>
      <c r="F34" s="353"/>
      <c r="G34" s="354"/>
      <c r="H34" s="195"/>
      <c r="I34" s="84">
        <v>85</v>
      </c>
      <c r="J34" s="84">
        <v>85</v>
      </c>
      <c r="K34" s="84">
        <v>85</v>
      </c>
      <c r="L34" s="84"/>
      <c r="M34" s="84"/>
      <c r="N34" s="168">
        <f>I34*I33+J34*J33+K34*K33+L34*L33+M34*M33</f>
        <v>78.335999999999999</v>
      </c>
      <c r="O34" s="44"/>
      <c r="P34" s="45"/>
      <c r="Q34" s="46"/>
      <c r="R34" s="46"/>
      <c r="S34" s="47"/>
      <c r="T34" s="70"/>
      <c r="U34" s="71"/>
      <c r="V34" s="72"/>
      <c r="W34" s="150"/>
      <c r="X34" s="85"/>
      <c r="Y34" s="151"/>
      <c r="Z34" s="85"/>
      <c r="AA34" s="74"/>
      <c r="AB34" s="75"/>
      <c r="AC34" s="72"/>
      <c r="AD34" s="71"/>
      <c r="AE34" s="71"/>
      <c r="AF34" s="152"/>
      <c r="AG34" s="86"/>
      <c r="AH34" s="77"/>
      <c r="AI34" s="87"/>
      <c r="AJ34" s="46"/>
      <c r="AK34" s="77"/>
      <c r="AL34" s="78"/>
      <c r="AM34" s="79"/>
      <c r="AN34" s="80"/>
      <c r="AO34" s="80"/>
      <c r="AP34" s="61"/>
      <c r="AQ34" s="62"/>
      <c r="AR34" s="81"/>
      <c r="AS34" s="81"/>
      <c r="AT34" s="81"/>
      <c r="AU34" s="81"/>
      <c r="AV34" s="82"/>
      <c r="AW34" s="83"/>
      <c r="AX34" s="83"/>
      <c r="AZ34" s="66">
        <f t="shared" si="5"/>
        <v>0</v>
      </c>
    </row>
    <row r="35" spans="1:52" s="66" customFormat="1" ht="39.75" customHeight="1" thickBot="1" x14ac:dyDescent="0.2">
      <c r="A35" s="96">
        <v>17</v>
      </c>
      <c r="B35" s="91" t="s">
        <v>294</v>
      </c>
      <c r="C35" s="131" t="s">
        <v>400</v>
      </c>
      <c r="D35" s="134" t="s">
        <v>335</v>
      </c>
      <c r="E35" s="131" t="s">
        <v>341</v>
      </c>
      <c r="F35" s="131"/>
      <c r="G35" s="170"/>
      <c r="H35" s="207" t="s">
        <v>363</v>
      </c>
      <c r="I35" s="92">
        <v>0.4</v>
      </c>
      <c r="J35" s="209">
        <v>0.2172</v>
      </c>
      <c r="K35" s="41">
        <v>0.3</v>
      </c>
      <c r="L35" s="42"/>
      <c r="M35" s="147"/>
      <c r="N35" s="94">
        <f t="shared" si="7"/>
        <v>0.91720000000000002</v>
      </c>
      <c r="O35" s="141">
        <v>1.05</v>
      </c>
      <c r="P35" s="112">
        <v>15</v>
      </c>
      <c r="Q35" s="113">
        <v>15</v>
      </c>
      <c r="R35" s="89">
        <v>15</v>
      </c>
      <c r="S35" s="120"/>
      <c r="T35" s="70"/>
      <c r="U35" s="71">
        <f t="shared" si="8"/>
        <v>14.45</v>
      </c>
      <c r="V35" s="72">
        <f t="shared" si="9"/>
        <v>14.45</v>
      </c>
      <c r="W35" s="144">
        <v>8139504000</v>
      </c>
      <c r="X35" s="138">
        <v>2070442000</v>
      </c>
      <c r="Y35" s="136">
        <v>78106522000</v>
      </c>
      <c r="Z35" s="136"/>
      <c r="AA35" s="74"/>
      <c r="AB35" s="75">
        <f t="shared" si="10"/>
        <v>26.909999999999997</v>
      </c>
      <c r="AC35" s="72">
        <f t="shared" si="11"/>
        <v>13</v>
      </c>
      <c r="AD35" s="149">
        <v>0</v>
      </c>
      <c r="AE35" s="71">
        <f t="shared" si="12"/>
        <v>13</v>
      </c>
      <c r="AF35" s="76"/>
      <c r="AG35" s="54">
        <v>3.32</v>
      </c>
      <c r="AH35" s="77">
        <f t="shared" si="13"/>
        <v>27.45</v>
      </c>
      <c r="AI35" s="56">
        <v>10</v>
      </c>
      <c r="AJ35" s="56">
        <v>10</v>
      </c>
      <c r="AK35" s="56">
        <v>45</v>
      </c>
      <c r="AL35" s="57">
        <f t="shared" si="14"/>
        <v>95.77</v>
      </c>
      <c r="AM35" s="55">
        <f t="shared" si="15"/>
        <v>95</v>
      </c>
      <c r="AN35" s="78">
        <f t="shared" si="16"/>
        <v>0.96775000000000011</v>
      </c>
      <c r="AO35" s="79"/>
      <c r="AP35" s="80">
        <f t="shared" si="6"/>
        <v>1</v>
      </c>
      <c r="AQ35" s="80">
        <f t="shared" si="6"/>
        <v>2</v>
      </c>
      <c r="AR35" s="61"/>
      <c r="AS35" s="62"/>
      <c r="AT35" s="81"/>
      <c r="AU35" s="81"/>
      <c r="AV35" s="81"/>
      <c r="AW35" s="81"/>
      <c r="AX35" s="82"/>
      <c r="AY35" s="83">
        <f t="shared" si="17"/>
        <v>0</v>
      </c>
      <c r="AZ35" s="83">
        <f t="shared" si="5"/>
        <v>0</v>
      </c>
    </row>
    <row r="36" spans="1:52" s="66" customFormat="1" ht="21.95" customHeight="1" thickBot="1" x14ac:dyDescent="0.2">
      <c r="A36" s="96"/>
      <c r="B36" s="91"/>
      <c r="C36" s="352" t="s">
        <v>3</v>
      </c>
      <c r="D36" s="353"/>
      <c r="E36" s="353"/>
      <c r="F36" s="353"/>
      <c r="G36" s="354"/>
      <c r="H36" s="67"/>
      <c r="I36" s="84">
        <v>85</v>
      </c>
      <c r="J36" s="84">
        <v>85</v>
      </c>
      <c r="K36" s="84">
        <v>85</v>
      </c>
      <c r="L36" s="84"/>
      <c r="M36" s="84"/>
      <c r="N36" s="168">
        <f>I36*I35+J36*J35+K36*K35+L36*L35+M36*M35</f>
        <v>77.962000000000003</v>
      </c>
      <c r="O36" s="44"/>
      <c r="P36" s="45"/>
      <c r="Q36" s="46"/>
      <c r="R36" s="46"/>
      <c r="S36" s="47"/>
      <c r="T36" s="70"/>
      <c r="U36" s="71"/>
      <c r="V36" s="72"/>
      <c r="W36" s="150"/>
      <c r="X36" s="85"/>
      <c r="Y36" s="151"/>
      <c r="Z36" s="85"/>
      <c r="AA36" s="74"/>
      <c r="AB36" s="75"/>
      <c r="AC36" s="72"/>
      <c r="AD36" s="71"/>
      <c r="AE36" s="71"/>
      <c r="AF36" s="152"/>
      <c r="AG36" s="86"/>
      <c r="AH36" s="77"/>
      <c r="AI36" s="87"/>
      <c r="AJ36" s="46"/>
      <c r="AK36" s="77"/>
      <c r="AL36" s="78"/>
      <c r="AM36" s="79"/>
      <c r="AN36" s="80"/>
      <c r="AO36" s="80"/>
      <c r="AP36" s="61"/>
      <c r="AQ36" s="62"/>
      <c r="AR36" s="81"/>
      <c r="AS36" s="81"/>
      <c r="AT36" s="81"/>
      <c r="AU36" s="81"/>
      <c r="AV36" s="82"/>
      <c r="AW36" s="83"/>
      <c r="AX36" s="83"/>
      <c r="AZ36" s="66">
        <f t="shared" ref="AZ36" si="19">(AT36*I36)+(AU36*J36)+(AV36*K36)+(AW36*L36)+(AX36*M36)</f>
        <v>0</v>
      </c>
    </row>
    <row r="37" spans="1:52" s="66" customFormat="1" ht="39.75" customHeight="1" thickBot="1" x14ac:dyDescent="0.2">
      <c r="A37" s="96">
        <v>18</v>
      </c>
      <c r="B37" s="91" t="s">
        <v>294</v>
      </c>
      <c r="C37" s="270" t="s">
        <v>346</v>
      </c>
      <c r="D37" s="134" t="s">
        <v>336</v>
      </c>
      <c r="E37" s="105"/>
      <c r="F37" s="105"/>
      <c r="G37" s="170"/>
      <c r="H37" s="158"/>
      <c r="I37" s="290">
        <v>0.7</v>
      </c>
      <c r="J37" s="41">
        <v>0.3</v>
      </c>
      <c r="K37" s="41"/>
      <c r="L37" s="42"/>
      <c r="M37" s="147"/>
      <c r="N37" s="94">
        <f>SUM(I37:M37)</f>
        <v>1</v>
      </c>
      <c r="O37" s="125">
        <v>1</v>
      </c>
      <c r="P37" s="299">
        <v>15</v>
      </c>
      <c r="Q37" s="89">
        <v>15</v>
      </c>
      <c r="R37" s="89">
        <v>15</v>
      </c>
      <c r="S37" s="114"/>
      <c r="T37" s="70"/>
      <c r="U37" s="71">
        <f>ROUND(((P37*I37)+(Q37*J37)+(R37*K37)+(S37*L37)+(T37*M37))*O37,2)</f>
        <v>15</v>
      </c>
      <c r="V37" s="72">
        <f>IF(U37&gt;=15,15,U37)</f>
        <v>15</v>
      </c>
      <c r="W37" s="282">
        <v>233566701000</v>
      </c>
      <c r="X37" s="148">
        <v>2101052000</v>
      </c>
      <c r="Y37" s="136"/>
      <c r="Z37" s="117"/>
      <c r="AA37" s="74"/>
      <c r="AB37" s="75">
        <f>ROUND((((W37*I37)+(X37*J37)+(Y37*K37)+(Z37*L37)+(AA37*M37))/$I$2),2)*13</f>
        <v>163.15</v>
      </c>
      <c r="AC37" s="72">
        <f>IF(AB37&gt;=13,13,AB37)</f>
        <v>13</v>
      </c>
      <c r="AD37" s="124">
        <v>2</v>
      </c>
      <c r="AE37" s="71">
        <f>IF((AC37+AD37)&gt;=15,15,(AC37+AD37))</f>
        <v>15</v>
      </c>
      <c r="AF37" s="76"/>
      <c r="AG37" s="54">
        <v>3.32</v>
      </c>
      <c r="AH37" s="77">
        <f>IF((V37+AE37+AF37)&gt;=30,30,(V37+AE37+AF37))</f>
        <v>30</v>
      </c>
      <c r="AI37" s="56">
        <v>10</v>
      </c>
      <c r="AJ37" s="56">
        <v>10</v>
      </c>
      <c r="AK37" s="56">
        <v>45</v>
      </c>
      <c r="AL37" s="57">
        <f>V37+AE37+AF37+AI37+AJ37+AK37+AG37</f>
        <v>98.32</v>
      </c>
      <c r="AM37" s="55">
        <f>IF(AH37+AI37+AJ37+AK37+AG37&gt;=95,95,AH37+AI37+AJ37+AK37+AG37)</f>
        <v>95</v>
      </c>
      <c r="AN37" s="78">
        <f>-((50-((176+(45+(50-AH37)))))/200)</f>
        <v>0.95499999999999996</v>
      </c>
      <c r="AO37" s="301"/>
      <c r="AP37" s="80">
        <f>100%+AO37</f>
        <v>1</v>
      </c>
      <c r="AQ37" s="80">
        <f>100%+AP37</f>
        <v>2</v>
      </c>
      <c r="AR37" s="61"/>
      <c r="AS37" s="62"/>
      <c r="AT37" s="81"/>
      <c r="AU37" s="81"/>
      <c r="AV37" s="81"/>
      <c r="AW37" s="81"/>
      <c r="AX37" s="82"/>
      <c r="AY37" s="83">
        <f>AT37+AU37+AV37+AW37+AX37</f>
        <v>0</v>
      </c>
      <c r="AZ37" s="83">
        <f>(AT37*I37)+(AU37*J37)+(AV37*K37)+(AW37*L37)+(AX37*M37)</f>
        <v>0</v>
      </c>
    </row>
    <row r="38" spans="1:52" s="66" customFormat="1" ht="21.95" customHeight="1" thickBot="1" x14ac:dyDescent="0.2">
      <c r="A38" s="96"/>
      <c r="B38" s="91"/>
      <c r="C38" s="352" t="s">
        <v>3</v>
      </c>
      <c r="D38" s="353"/>
      <c r="E38" s="353"/>
      <c r="F38" s="353"/>
      <c r="G38" s="354"/>
      <c r="H38" s="67"/>
      <c r="I38" s="84">
        <v>85</v>
      </c>
      <c r="J38" s="84">
        <v>85</v>
      </c>
      <c r="K38" s="84">
        <v>85</v>
      </c>
      <c r="L38" s="84"/>
      <c r="M38" s="84"/>
      <c r="N38" s="168">
        <f>I38*I37+J38*J37+K38*K37+L38*L37+M38*M37</f>
        <v>85</v>
      </c>
      <c r="O38" s="44"/>
      <c r="P38" s="45"/>
      <c r="Q38" s="46"/>
      <c r="R38" s="46"/>
      <c r="S38" s="47"/>
      <c r="T38" s="70"/>
      <c r="U38" s="71"/>
      <c r="V38" s="72"/>
      <c r="W38" s="150"/>
      <c r="X38" s="85"/>
      <c r="Y38" s="151"/>
      <c r="Z38" s="85"/>
      <c r="AA38" s="74"/>
      <c r="AB38" s="75"/>
      <c r="AC38" s="72"/>
      <c r="AD38" s="71"/>
      <c r="AE38" s="71"/>
      <c r="AF38" s="152"/>
      <c r="AG38" s="86"/>
      <c r="AH38" s="77"/>
      <c r="AI38" s="87"/>
      <c r="AJ38" s="46"/>
      <c r="AK38" s="77"/>
      <c r="AL38" s="78"/>
      <c r="AM38" s="79"/>
      <c r="AN38" s="80"/>
      <c r="AO38" s="80"/>
      <c r="AP38" s="61"/>
      <c r="AQ38" s="62"/>
      <c r="AR38" s="81"/>
      <c r="AS38" s="81"/>
      <c r="AT38" s="81"/>
      <c r="AU38" s="81"/>
      <c r="AV38" s="82"/>
      <c r="AW38" s="83"/>
      <c r="AX38" s="83"/>
      <c r="AZ38" s="66">
        <f t="shared" ref="AZ38" si="20">(AT38*I38)+(AU38*J38)+(AV38*K38)+(AW38*L38)+(AX38*M38)</f>
        <v>0</v>
      </c>
    </row>
    <row r="39" spans="1:52" s="66" customFormat="1" ht="39.75" customHeight="1" thickBot="1" x14ac:dyDescent="0.2">
      <c r="A39" s="96">
        <v>19</v>
      </c>
      <c r="B39" s="91" t="s">
        <v>294</v>
      </c>
      <c r="C39" s="278" t="s">
        <v>347</v>
      </c>
      <c r="D39" s="134" t="s">
        <v>338</v>
      </c>
      <c r="E39" s="105"/>
      <c r="F39" s="105"/>
      <c r="G39" s="170"/>
      <c r="H39" s="207" t="s">
        <v>348</v>
      </c>
      <c r="I39" s="290">
        <v>0.6</v>
      </c>
      <c r="J39" s="209">
        <v>0.37590000000000001</v>
      </c>
      <c r="K39" s="41"/>
      <c r="L39" s="42"/>
      <c r="M39" s="147"/>
      <c r="N39" s="94">
        <f t="shared" si="7"/>
        <v>0.97589999999999999</v>
      </c>
      <c r="O39" s="125">
        <v>1</v>
      </c>
      <c r="P39" s="273">
        <v>15</v>
      </c>
      <c r="Q39" s="113">
        <v>15</v>
      </c>
      <c r="R39" s="114"/>
      <c r="S39" s="120"/>
      <c r="T39" s="70"/>
      <c r="U39" s="71">
        <f t="shared" si="8"/>
        <v>14.64</v>
      </c>
      <c r="V39" s="72">
        <f t="shared" si="9"/>
        <v>14.64</v>
      </c>
      <c r="W39" s="300">
        <v>75890281000</v>
      </c>
      <c r="X39" s="148">
        <v>3138796000</v>
      </c>
      <c r="Y39" s="146"/>
      <c r="Z39" s="117"/>
      <c r="AA39" s="74"/>
      <c r="AB39" s="75">
        <f t="shared" si="10"/>
        <v>46.41</v>
      </c>
      <c r="AC39" s="72">
        <f t="shared" si="11"/>
        <v>13</v>
      </c>
      <c r="AD39" s="149">
        <v>1</v>
      </c>
      <c r="AE39" s="71">
        <f t="shared" si="12"/>
        <v>14</v>
      </c>
      <c r="AF39" s="76"/>
      <c r="AG39" s="54">
        <v>3.32</v>
      </c>
      <c r="AH39" s="77">
        <f t="shared" si="13"/>
        <v>28.64</v>
      </c>
      <c r="AI39" s="56">
        <v>10</v>
      </c>
      <c r="AJ39" s="56">
        <v>10</v>
      </c>
      <c r="AK39" s="56">
        <v>45</v>
      </c>
      <c r="AL39" s="57">
        <f t="shared" si="14"/>
        <v>96.96</v>
      </c>
      <c r="AM39" s="55">
        <f t="shared" si="15"/>
        <v>95</v>
      </c>
      <c r="AN39" s="78">
        <f t="shared" si="16"/>
        <v>0.9618000000000001</v>
      </c>
      <c r="AO39" s="301"/>
      <c r="AP39" s="80">
        <f t="shared" si="6"/>
        <v>1</v>
      </c>
      <c r="AQ39" s="80">
        <f t="shared" si="6"/>
        <v>2</v>
      </c>
      <c r="AR39" s="61"/>
      <c r="AS39" s="62"/>
      <c r="AT39" s="81"/>
      <c r="AU39" s="81"/>
      <c r="AV39" s="81"/>
      <c r="AW39" s="81"/>
      <c r="AX39" s="82"/>
      <c r="AY39" s="83">
        <f t="shared" si="17"/>
        <v>0</v>
      </c>
      <c r="AZ39" s="83">
        <f t="shared" si="5"/>
        <v>0</v>
      </c>
    </row>
    <row r="40" spans="1:52" s="66" customFormat="1" ht="21.95" customHeight="1" thickBot="1" x14ac:dyDescent="0.2">
      <c r="A40" s="96"/>
      <c r="B40" s="91"/>
      <c r="C40" s="352" t="s">
        <v>3</v>
      </c>
      <c r="D40" s="353"/>
      <c r="E40" s="353"/>
      <c r="F40" s="353"/>
      <c r="G40" s="354"/>
      <c r="H40" s="67"/>
      <c r="I40" s="84">
        <v>85</v>
      </c>
      <c r="J40" s="84">
        <v>85</v>
      </c>
      <c r="K40" s="84">
        <v>85</v>
      </c>
      <c r="L40" s="84"/>
      <c r="M40" s="84"/>
      <c r="N40" s="168">
        <f>I40*I39+J40*J39+K40*K39+L40*L39+M40*M39</f>
        <v>82.951499999999996</v>
      </c>
      <c r="O40" s="44"/>
      <c r="P40" s="45"/>
      <c r="Q40" s="46"/>
      <c r="R40" s="46"/>
      <c r="S40" s="47"/>
      <c r="T40" s="70"/>
      <c r="U40" s="71"/>
      <c r="V40" s="72"/>
      <c r="W40" s="150"/>
      <c r="X40" s="85"/>
      <c r="Y40" s="151"/>
      <c r="Z40" s="85"/>
      <c r="AA40" s="74"/>
      <c r="AB40" s="75"/>
      <c r="AC40" s="72"/>
      <c r="AD40" s="71"/>
      <c r="AE40" s="71"/>
      <c r="AF40" s="152"/>
      <c r="AG40" s="86"/>
      <c r="AH40" s="77"/>
      <c r="AI40" s="87"/>
      <c r="AJ40" s="46"/>
      <c r="AK40" s="77"/>
      <c r="AL40" s="78"/>
      <c r="AM40" s="79"/>
      <c r="AN40" s="80"/>
      <c r="AO40" s="80"/>
      <c r="AP40" s="61"/>
      <c r="AQ40" s="62"/>
      <c r="AR40" s="81"/>
      <c r="AS40" s="81"/>
      <c r="AT40" s="81"/>
      <c r="AU40" s="81"/>
      <c r="AV40" s="82"/>
      <c r="AW40" s="83"/>
      <c r="AX40" s="83"/>
      <c r="AZ40" s="66">
        <f t="shared" ref="AZ40" si="21">(AT40*I40)+(AU40*J40)+(AV40*K40)+(AW40*L40)+(AX40*M40)</f>
        <v>0</v>
      </c>
    </row>
    <row r="41" spans="1:52" s="66" customFormat="1" ht="39.75" customHeight="1" thickBot="1" x14ac:dyDescent="0.2">
      <c r="A41" s="96">
        <v>20</v>
      </c>
      <c r="B41" s="91" t="s">
        <v>294</v>
      </c>
      <c r="C41" s="131" t="s">
        <v>351</v>
      </c>
      <c r="D41" s="134" t="s">
        <v>339</v>
      </c>
      <c r="E41" s="105" t="s">
        <v>350</v>
      </c>
      <c r="F41" s="105"/>
      <c r="G41" s="170"/>
      <c r="H41" s="207" t="s">
        <v>349</v>
      </c>
      <c r="I41" s="92">
        <v>0.4</v>
      </c>
      <c r="J41" s="209">
        <v>0.27739999999999998</v>
      </c>
      <c r="K41" s="41">
        <v>0.3</v>
      </c>
      <c r="L41" s="42"/>
      <c r="M41" s="147"/>
      <c r="N41" s="94">
        <f t="shared" si="7"/>
        <v>0.97740000000000005</v>
      </c>
      <c r="O41" s="125">
        <v>1</v>
      </c>
      <c r="P41" s="126">
        <v>15</v>
      </c>
      <c r="Q41" s="89">
        <v>15</v>
      </c>
      <c r="R41" s="89">
        <v>15</v>
      </c>
      <c r="S41" s="114"/>
      <c r="T41" s="70"/>
      <c r="U41" s="71">
        <f t="shared" si="8"/>
        <v>14.66</v>
      </c>
      <c r="V41" s="72">
        <f t="shared" si="9"/>
        <v>14.66</v>
      </c>
      <c r="W41" s="137">
        <v>5383000000</v>
      </c>
      <c r="X41" s="138">
        <v>1823500000</v>
      </c>
      <c r="Y41" s="197">
        <v>80267427000</v>
      </c>
      <c r="Z41" s="85"/>
      <c r="AA41" s="74"/>
      <c r="AB41" s="75">
        <f t="shared" si="10"/>
        <v>26.52</v>
      </c>
      <c r="AC41" s="72">
        <f t="shared" si="11"/>
        <v>13</v>
      </c>
      <c r="AD41" s="149">
        <v>1.5</v>
      </c>
      <c r="AE41" s="71">
        <f t="shared" si="12"/>
        <v>14.5</v>
      </c>
      <c r="AF41" s="76"/>
      <c r="AG41" s="54">
        <v>3.32</v>
      </c>
      <c r="AH41" s="77">
        <f t="shared" si="13"/>
        <v>29.16</v>
      </c>
      <c r="AI41" s="56">
        <v>10</v>
      </c>
      <c r="AJ41" s="56">
        <v>10</v>
      </c>
      <c r="AK41" s="56">
        <v>45</v>
      </c>
      <c r="AL41" s="57">
        <f t="shared" si="14"/>
        <v>97.47999999999999</v>
      </c>
      <c r="AM41" s="55">
        <f t="shared" si="15"/>
        <v>95</v>
      </c>
      <c r="AN41" s="78">
        <f t="shared" si="16"/>
        <v>0.95920000000000005</v>
      </c>
      <c r="AO41" s="79"/>
      <c r="AP41" s="80">
        <f t="shared" si="6"/>
        <v>1</v>
      </c>
      <c r="AQ41" s="80">
        <f t="shared" si="6"/>
        <v>2</v>
      </c>
      <c r="AR41" s="61"/>
      <c r="AS41" s="62"/>
      <c r="AT41" s="81"/>
      <c r="AU41" s="81"/>
      <c r="AV41" s="81"/>
      <c r="AW41" s="81"/>
      <c r="AX41" s="82"/>
      <c r="AY41" s="83">
        <f t="shared" si="17"/>
        <v>0</v>
      </c>
      <c r="AZ41" s="83">
        <f t="shared" si="5"/>
        <v>0</v>
      </c>
    </row>
    <row r="42" spans="1:52" s="66" customFormat="1" ht="21.95" customHeight="1" thickBot="1" x14ac:dyDescent="0.2">
      <c r="A42" s="96"/>
      <c r="B42" s="91"/>
      <c r="C42" s="352" t="s">
        <v>3</v>
      </c>
      <c r="D42" s="353"/>
      <c r="E42" s="353"/>
      <c r="F42" s="353"/>
      <c r="G42" s="354"/>
      <c r="H42" s="67"/>
      <c r="I42" s="84">
        <v>85</v>
      </c>
      <c r="J42" s="84">
        <v>85</v>
      </c>
      <c r="K42" s="84">
        <v>85</v>
      </c>
      <c r="L42" s="84"/>
      <c r="M42" s="84"/>
      <c r="N42" s="168">
        <f>I42*I41+J42*J41+K42*K41+L42*L41+M42*M41</f>
        <v>83.078999999999994</v>
      </c>
      <c r="O42" s="44"/>
      <c r="P42" s="45"/>
      <c r="Q42" s="46"/>
      <c r="R42" s="46"/>
      <c r="S42" s="47"/>
      <c r="T42" s="70"/>
      <c r="U42" s="71"/>
      <c r="V42" s="72"/>
      <c r="W42" s="150"/>
      <c r="X42" s="85"/>
      <c r="Y42" s="151"/>
      <c r="Z42" s="85"/>
      <c r="AA42" s="74"/>
      <c r="AB42" s="75"/>
      <c r="AC42" s="72"/>
      <c r="AD42" s="71"/>
      <c r="AE42" s="71"/>
      <c r="AF42" s="152"/>
      <c r="AG42" s="86"/>
      <c r="AH42" s="77"/>
      <c r="AI42" s="87"/>
      <c r="AJ42" s="46"/>
      <c r="AK42" s="77"/>
      <c r="AL42" s="78"/>
      <c r="AM42" s="79"/>
      <c r="AN42" s="80"/>
      <c r="AO42" s="80"/>
      <c r="AP42" s="61"/>
      <c r="AQ42" s="62"/>
      <c r="AR42" s="81"/>
      <c r="AS42" s="81"/>
      <c r="AT42" s="81"/>
      <c r="AU42" s="81"/>
      <c r="AV42" s="82"/>
      <c r="AW42" s="83"/>
      <c r="AX42" s="83"/>
      <c r="AZ42" s="66">
        <f t="shared" si="5"/>
        <v>0</v>
      </c>
    </row>
    <row r="43" spans="1:52" s="66" customFormat="1" ht="39.75" customHeight="1" thickBot="1" x14ac:dyDescent="0.2">
      <c r="A43" s="96">
        <v>21</v>
      </c>
      <c r="B43" s="91" t="s">
        <v>294</v>
      </c>
      <c r="C43" s="131" t="s">
        <v>337</v>
      </c>
      <c r="D43" s="284" t="s">
        <v>360</v>
      </c>
      <c r="E43" s="105"/>
      <c r="F43" s="105"/>
      <c r="G43" s="170"/>
      <c r="H43" s="207" t="s">
        <v>361</v>
      </c>
      <c r="I43" s="92">
        <v>0.7</v>
      </c>
      <c r="J43" s="298">
        <v>0.20760000000000001</v>
      </c>
      <c r="K43" s="41"/>
      <c r="L43" s="42"/>
      <c r="M43" s="147"/>
      <c r="N43" s="94">
        <f t="shared" si="7"/>
        <v>0.90759999999999996</v>
      </c>
      <c r="O43" s="125">
        <v>1</v>
      </c>
      <c r="P43" s="126">
        <v>15</v>
      </c>
      <c r="Q43" s="303">
        <v>15</v>
      </c>
      <c r="R43" s="89"/>
      <c r="S43" s="114"/>
      <c r="T43" s="70"/>
      <c r="U43" s="71">
        <f t="shared" si="8"/>
        <v>13.61</v>
      </c>
      <c r="V43" s="72">
        <f t="shared" si="9"/>
        <v>13.61</v>
      </c>
      <c r="W43" s="136">
        <v>328448752000</v>
      </c>
      <c r="X43" s="282">
        <v>1615171000</v>
      </c>
      <c r="Y43" s="197"/>
      <c r="Z43" s="117"/>
      <c r="AA43" s="74"/>
      <c r="AB43" s="75">
        <f t="shared" si="10"/>
        <v>228.8</v>
      </c>
      <c r="AC43" s="72">
        <f t="shared" si="11"/>
        <v>13</v>
      </c>
      <c r="AD43" s="149">
        <v>1.5</v>
      </c>
      <c r="AE43" s="71">
        <f t="shared" si="12"/>
        <v>14.5</v>
      </c>
      <c r="AF43" s="76"/>
      <c r="AG43" s="54">
        <v>3.32</v>
      </c>
      <c r="AH43" s="77">
        <f t="shared" si="13"/>
        <v>28.11</v>
      </c>
      <c r="AI43" s="56">
        <v>10</v>
      </c>
      <c r="AJ43" s="56">
        <v>10</v>
      </c>
      <c r="AK43" s="56">
        <v>45</v>
      </c>
      <c r="AL43" s="57">
        <f t="shared" si="14"/>
        <v>96.429999999999993</v>
      </c>
      <c r="AM43" s="55">
        <f t="shared" si="15"/>
        <v>95</v>
      </c>
      <c r="AN43" s="78">
        <f t="shared" si="16"/>
        <v>0.96444999999999992</v>
      </c>
      <c r="AO43" s="79"/>
      <c r="AP43" s="80">
        <f t="shared" si="6"/>
        <v>1</v>
      </c>
      <c r="AQ43" s="80">
        <f t="shared" si="6"/>
        <v>2</v>
      </c>
      <c r="AR43" s="61"/>
      <c r="AS43" s="289"/>
      <c r="AT43" s="81"/>
      <c r="AU43" s="81"/>
      <c r="AV43" s="81"/>
      <c r="AW43" s="81"/>
      <c r="AX43" s="82"/>
      <c r="AY43" s="83">
        <f t="shared" si="17"/>
        <v>0</v>
      </c>
      <c r="AZ43" s="83">
        <f t="shared" si="5"/>
        <v>0</v>
      </c>
    </row>
    <row r="44" spans="1:52" s="66" customFormat="1" ht="21.95" customHeight="1" thickBot="1" x14ac:dyDescent="0.2">
      <c r="A44" s="96"/>
      <c r="B44" s="91"/>
      <c r="C44" s="352" t="s">
        <v>3</v>
      </c>
      <c r="D44" s="353"/>
      <c r="E44" s="353"/>
      <c r="F44" s="353"/>
      <c r="G44" s="354"/>
      <c r="H44" s="67"/>
      <c r="I44" s="167">
        <v>93.38</v>
      </c>
      <c r="J44" s="276">
        <v>85</v>
      </c>
      <c r="K44" s="84">
        <v>85</v>
      </c>
      <c r="L44" s="84"/>
      <c r="M44" s="84"/>
      <c r="N44" s="168">
        <f>I44*I43+J44*J43+K44*K43+L44*L43+M44*M43</f>
        <v>83.012</v>
      </c>
      <c r="O44" s="44"/>
      <c r="P44" s="45"/>
      <c r="Q44" s="46"/>
      <c r="R44" s="46"/>
      <c r="S44" s="47"/>
      <c r="T44" s="70"/>
      <c r="U44" s="71"/>
      <c r="V44" s="72"/>
      <c r="W44" s="150"/>
      <c r="X44" s="85"/>
      <c r="Y44" s="151"/>
      <c r="Z44" s="85"/>
      <c r="AA44" s="74"/>
      <c r="AB44" s="75"/>
      <c r="AC44" s="72"/>
      <c r="AD44" s="71"/>
      <c r="AE44" s="71"/>
      <c r="AF44" s="152"/>
      <c r="AG44" s="86"/>
      <c r="AH44" s="77"/>
      <c r="AI44" s="87"/>
      <c r="AJ44" s="46"/>
      <c r="AK44" s="77"/>
      <c r="AL44" s="78"/>
      <c r="AM44" s="79"/>
      <c r="AN44" s="80"/>
      <c r="AO44" s="80"/>
      <c r="AP44" s="61"/>
      <c r="AQ44" s="62"/>
      <c r="AR44" s="81"/>
      <c r="AS44" s="81"/>
      <c r="AT44" s="81"/>
      <c r="AU44" s="81"/>
      <c r="AV44" s="82"/>
      <c r="AW44" s="83"/>
      <c r="AX44" s="83"/>
      <c r="AZ44" s="66">
        <f t="shared" ref="AZ44" si="22">(AT44*I44)+(AU44*J44)+(AV44*K44)+(AW44*L44)+(AX44*M44)</f>
        <v>0</v>
      </c>
    </row>
    <row r="45" spans="1:52" s="66" customFormat="1" ht="39.75" customHeight="1" thickBot="1" x14ac:dyDescent="0.2">
      <c r="A45" s="96">
        <v>22</v>
      </c>
      <c r="B45" s="210" t="s">
        <v>420</v>
      </c>
      <c r="C45" s="131" t="s">
        <v>419</v>
      </c>
      <c r="D45" s="185" t="s">
        <v>417</v>
      </c>
      <c r="E45" s="131"/>
      <c r="F45" s="110"/>
      <c r="G45" s="170"/>
      <c r="H45" s="207" t="s">
        <v>418</v>
      </c>
      <c r="I45" s="92">
        <v>0.6</v>
      </c>
      <c r="J45" s="209">
        <v>0.39500000000000002</v>
      </c>
      <c r="K45" s="41"/>
      <c r="L45" s="42"/>
      <c r="M45" s="147"/>
      <c r="N45" s="94">
        <f t="shared" si="7"/>
        <v>0.995</v>
      </c>
      <c r="O45" s="125">
        <v>1</v>
      </c>
      <c r="P45" s="112">
        <v>15</v>
      </c>
      <c r="Q45" s="113">
        <v>15</v>
      </c>
      <c r="R45" s="114"/>
      <c r="S45" s="120"/>
      <c r="T45" s="70"/>
      <c r="U45" s="71">
        <f t="shared" si="8"/>
        <v>14.93</v>
      </c>
      <c r="V45" s="72">
        <f t="shared" si="9"/>
        <v>14.93</v>
      </c>
      <c r="W45" s="137">
        <v>25680345000</v>
      </c>
      <c r="X45" s="139">
        <v>1153021000</v>
      </c>
      <c r="Y45" s="117"/>
      <c r="Z45" s="117"/>
      <c r="AA45" s="74"/>
      <c r="AB45" s="75">
        <f t="shared" si="10"/>
        <v>15.73</v>
      </c>
      <c r="AC45" s="72">
        <f t="shared" si="11"/>
        <v>13</v>
      </c>
      <c r="AD45" s="149">
        <v>1.5</v>
      </c>
      <c r="AE45" s="71">
        <f t="shared" si="12"/>
        <v>14.5</v>
      </c>
      <c r="AF45" s="76"/>
      <c r="AG45" s="54">
        <v>3.32</v>
      </c>
      <c r="AH45" s="77">
        <f t="shared" si="13"/>
        <v>29.43</v>
      </c>
      <c r="AI45" s="56">
        <v>10</v>
      </c>
      <c r="AJ45" s="56">
        <v>10</v>
      </c>
      <c r="AK45" s="56">
        <v>45</v>
      </c>
      <c r="AL45" s="57">
        <f t="shared" si="14"/>
        <v>97.75</v>
      </c>
      <c r="AM45" s="55">
        <f t="shared" si="15"/>
        <v>95</v>
      </c>
      <c r="AN45" s="78">
        <f t="shared" si="16"/>
        <v>0.95784999999999998</v>
      </c>
      <c r="AO45" s="79"/>
      <c r="AP45" s="80">
        <f t="shared" si="6"/>
        <v>1</v>
      </c>
      <c r="AQ45" s="80">
        <f t="shared" si="6"/>
        <v>2</v>
      </c>
      <c r="AR45" s="61"/>
      <c r="AS45" s="62"/>
      <c r="AT45" s="81"/>
      <c r="AU45" s="81"/>
      <c r="AV45" s="81"/>
      <c r="AW45" s="81"/>
      <c r="AX45" s="82"/>
      <c r="AY45" s="83">
        <f t="shared" si="17"/>
        <v>0</v>
      </c>
      <c r="AZ45" s="83">
        <f t="shared" si="5"/>
        <v>0</v>
      </c>
    </row>
    <row r="46" spans="1:52" s="66" customFormat="1" ht="21.95" customHeight="1" thickBot="1" x14ac:dyDescent="0.2">
      <c r="A46" s="96"/>
      <c r="B46" s="91"/>
      <c r="C46" s="352" t="s">
        <v>3</v>
      </c>
      <c r="D46" s="353"/>
      <c r="E46" s="353"/>
      <c r="F46" s="353"/>
      <c r="G46" s="354"/>
      <c r="H46" s="67"/>
      <c r="I46" s="84">
        <v>85</v>
      </c>
      <c r="J46" s="276">
        <v>85</v>
      </c>
      <c r="K46" s="84">
        <v>85</v>
      </c>
      <c r="L46" s="84"/>
      <c r="M46" s="84"/>
      <c r="N46" s="168">
        <f>I46*I45+J46*J45+K46*K45+L46*L45+M46*M45</f>
        <v>84.575000000000003</v>
      </c>
      <c r="O46" s="44"/>
      <c r="P46" s="45"/>
      <c r="Q46" s="46"/>
      <c r="R46" s="46"/>
      <c r="S46" s="47"/>
      <c r="T46" s="70"/>
      <c r="U46" s="71"/>
      <c r="V46" s="72"/>
      <c r="W46" s="150"/>
      <c r="X46" s="85"/>
      <c r="Y46" s="151"/>
      <c r="Z46" s="85"/>
      <c r="AA46" s="74"/>
      <c r="AB46" s="75"/>
      <c r="AC46" s="72"/>
      <c r="AD46" s="71"/>
      <c r="AE46" s="71"/>
      <c r="AF46" s="152"/>
      <c r="AG46" s="86"/>
      <c r="AH46" s="77"/>
      <c r="AI46" s="87"/>
      <c r="AJ46" s="46"/>
      <c r="AK46" s="77"/>
      <c r="AL46" s="78"/>
      <c r="AM46" s="79"/>
      <c r="AN46" s="80"/>
      <c r="AO46" s="80"/>
      <c r="AP46" s="61"/>
      <c r="AQ46" s="62"/>
      <c r="AR46" s="81"/>
      <c r="AS46" s="81"/>
      <c r="AT46" s="81"/>
      <c r="AU46" s="81"/>
      <c r="AV46" s="82"/>
      <c r="AW46" s="83"/>
      <c r="AX46" s="83"/>
      <c r="AZ46" s="66">
        <f t="shared" si="5"/>
        <v>0</v>
      </c>
    </row>
    <row r="47" spans="1:52" s="66" customFormat="1" ht="39.75" customHeight="1" thickBot="1" x14ac:dyDescent="0.2">
      <c r="A47" s="96"/>
      <c r="B47" s="91"/>
      <c r="C47" s="131" t="s">
        <v>421</v>
      </c>
      <c r="D47" s="131"/>
      <c r="E47" s="131"/>
      <c r="F47" s="131"/>
      <c r="G47" s="170"/>
      <c r="H47" s="158"/>
      <c r="I47" s="92">
        <v>0.51</v>
      </c>
      <c r="J47" s="41">
        <v>0.49</v>
      </c>
      <c r="K47" s="41"/>
      <c r="L47" s="42"/>
      <c r="M47" s="147"/>
      <c r="N47" s="94">
        <f t="shared" si="7"/>
        <v>1</v>
      </c>
      <c r="O47" s="125">
        <v>1</v>
      </c>
      <c r="P47" s="112">
        <v>15</v>
      </c>
      <c r="Q47" s="113">
        <v>15</v>
      </c>
      <c r="R47" s="114"/>
      <c r="S47" s="120"/>
      <c r="T47" s="70"/>
      <c r="U47" s="71">
        <f t="shared" si="8"/>
        <v>15</v>
      </c>
      <c r="V47" s="72">
        <f t="shared" si="9"/>
        <v>15</v>
      </c>
      <c r="W47" s="136"/>
      <c r="X47" s="261"/>
      <c r="Y47" s="136"/>
      <c r="Z47" s="117"/>
      <c r="AA47" s="74"/>
      <c r="AB47" s="75">
        <f t="shared" si="10"/>
        <v>0</v>
      </c>
      <c r="AC47" s="72">
        <f t="shared" si="11"/>
        <v>0</v>
      </c>
      <c r="AD47" s="124">
        <v>2</v>
      </c>
      <c r="AE47" s="71">
        <f t="shared" si="12"/>
        <v>2</v>
      </c>
      <c r="AF47" s="76"/>
      <c r="AG47" s="54"/>
      <c r="AH47" s="77">
        <f t="shared" si="13"/>
        <v>17</v>
      </c>
      <c r="AI47" s="56">
        <v>10</v>
      </c>
      <c r="AJ47" s="56">
        <v>10</v>
      </c>
      <c r="AK47" s="56">
        <v>45</v>
      </c>
      <c r="AL47" s="57">
        <f t="shared" si="14"/>
        <v>82</v>
      </c>
      <c r="AM47" s="55">
        <f t="shared" si="15"/>
        <v>82</v>
      </c>
      <c r="AN47" s="78">
        <f t="shared" si="16"/>
        <v>1.02</v>
      </c>
      <c r="AO47" s="79"/>
      <c r="AP47" s="80">
        <f t="shared" si="6"/>
        <v>1</v>
      </c>
      <c r="AQ47" s="80">
        <f t="shared" si="6"/>
        <v>2</v>
      </c>
      <c r="AR47" s="61"/>
      <c r="AS47" s="62"/>
      <c r="AT47" s="81"/>
      <c r="AU47" s="81"/>
      <c r="AV47" s="81"/>
      <c r="AW47" s="81"/>
      <c r="AX47" s="82"/>
      <c r="AY47" s="83">
        <f t="shared" si="17"/>
        <v>0</v>
      </c>
      <c r="AZ47" s="83">
        <f t="shared" si="5"/>
        <v>0</v>
      </c>
    </row>
    <row r="48" spans="1:52" s="66" customFormat="1" ht="39.75" customHeight="1" thickBot="1" x14ac:dyDescent="0.2">
      <c r="A48" s="96"/>
      <c r="B48" s="91"/>
      <c r="C48" s="131"/>
      <c r="D48" s="131"/>
      <c r="E48" s="131"/>
      <c r="F48" s="131"/>
      <c r="G48" s="170"/>
      <c r="H48" s="158"/>
      <c r="I48" s="92">
        <v>0.7</v>
      </c>
      <c r="J48" s="41">
        <v>0.3</v>
      </c>
      <c r="K48" s="41"/>
      <c r="L48" s="42"/>
      <c r="M48" s="147"/>
      <c r="N48" s="94">
        <f t="shared" si="7"/>
        <v>1</v>
      </c>
      <c r="O48" s="125">
        <v>1</v>
      </c>
      <c r="P48" s="112">
        <v>15</v>
      </c>
      <c r="Q48" s="113">
        <v>15</v>
      </c>
      <c r="R48" s="114"/>
      <c r="S48" s="120"/>
      <c r="T48" s="70"/>
      <c r="U48" s="71">
        <f t="shared" si="8"/>
        <v>15</v>
      </c>
      <c r="V48" s="72">
        <f t="shared" si="9"/>
        <v>15</v>
      </c>
      <c r="W48" s="136"/>
      <c r="X48" s="136"/>
      <c r="Y48" s="136"/>
      <c r="Z48" s="85"/>
      <c r="AA48" s="74"/>
      <c r="AB48" s="75">
        <f t="shared" si="10"/>
        <v>0</v>
      </c>
      <c r="AC48" s="72">
        <f t="shared" si="11"/>
        <v>0</v>
      </c>
      <c r="AD48" s="124">
        <v>2</v>
      </c>
      <c r="AE48" s="71">
        <f t="shared" si="12"/>
        <v>2</v>
      </c>
      <c r="AF48" s="76"/>
      <c r="AG48" s="54"/>
      <c r="AH48" s="77">
        <f t="shared" si="13"/>
        <v>17</v>
      </c>
      <c r="AI48" s="56">
        <v>10</v>
      </c>
      <c r="AJ48" s="56">
        <v>10</v>
      </c>
      <c r="AK48" s="56">
        <v>45</v>
      </c>
      <c r="AL48" s="57">
        <f t="shared" si="14"/>
        <v>82</v>
      </c>
      <c r="AM48" s="55">
        <f t="shared" si="15"/>
        <v>82</v>
      </c>
      <c r="AN48" s="78">
        <f t="shared" si="16"/>
        <v>1.02</v>
      </c>
      <c r="AO48" s="79"/>
      <c r="AP48" s="80">
        <f t="shared" ref="AP48:AQ63" si="23">100%+AO48</f>
        <v>1</v>
      </c>
      <c r="AQ48" s="80">
        <f t="shared" si="23"/>
        <v>2</v>
      </c>
      <c r="AR48" s="61"/>
      <c r="AS48" s="62"/>
      <c r="AT48" s="81"/>
      <c r="AU48" s="81"/>
      <c r="AV48" s="81"/>
      <c r="AW48" s="81"/>
      <c r="AX48" s="82"/>
      <c r="AY48" s="83">
        <f t="shared" si="17"/>
        <v>0</v>
      </c>
      <c r="AZ48" s="83">
        <f t="shared" si="5"/>
        <v>0</v>
      </c>
    </row>
    <row r="49" spans="1:52" s="66" customFormat="1" ht="39.75" customHeight="1" thickBot="1" x14ac:dyDescent="0.2">
      <c r="A49" s="96"/>
      <c r="B49" s="91"/>
      <c r="C49" s="131"/>
      <c r="D49" s="131"/>
      <c r="E49" s="131"/>
      <c r="F49" s="131"/>
      <c r="G49" s="170"/>
      <c r="H49" s="158"/>
      <c r="I49" s="92">
        <v>0.7</v>
      </c>
      <c r="J49" s="41">
        <v>0.3</v>
      </c>
      <c r="K49" s="41"/>
      <c r="L49" s="42"/>
      <c r="M49" s="147"/>
      <c r="N49" s="94">
        <f t="shared" si="7"/>
        <v>1</v>
      </c>
      <c r="O49" s="125">
        <v>1</v>
      </c>
      <c r="P49" s="126">
        <v>15</v>
      </c>
      <c r="Q49" s="89">
        <v>15</v>
      </c>
      <c r="R49" s="89"/>
      <c r="S49" s="114"/>
      <c r="T49" s="70"/>
      <c r="U49" s="71">
        <f t="shared" si="8"/>
        <v>15</v>
      </c>
      <c r="V49" s="72">
        <f t="shared" si="9"/>
        <v>15</v>
      </c>
      <c r="W49" s="136"/>
      <c r="X49" s="262"/>
      <c r="Y49" s="148"/>
      <c r="Z49" s="138"/>
      <c r="AA49" s="74"/>
      <c r="AB49" s="75">
        <f t="shared" si="10"/>
        <v>0</v>
      </c>
      <c r="AC49" s="72">
        <f t="shared" si="11"/>
        <v>0</v>
      </c>
      <c r="AD49" s="124">
        <v>2</v>
      </c>
      <c r="AE49" s="71">
        <f t="shared" si="12"/>
        <v>2</v>
      </c>
      <c r="AF49" s="76"/>
      <c r="AG49" s="54"/>
      <c r="AH49" s="77">
        <f t="shared" si="13"/>
        <v>17</v>
      </c>
      <c r="AI49" s="56">
        <v>10</v>
      </c>
      <c r="AJ49" s="56">
        <v>10</v>
      </c>
      <c r="AK49" s="56">
        <v>45</v>
      </c>
      <c r="AL49" s="57">
        <f t="shared" si="14"/>
        <v>82</v>
      </c>
      <c r="AM49" s="55">
        <f t="shared" si="15"/>
        <v>82</v>
      </c>
      <c r="AN49" s="78">
        <f t="shared" si="16"/>
        <v>1.02</v>
      </c>
      <c r="AO49" s="79"/>
      <c r="AP49" s="80">
        <f t="shared" si="23"/>
        <v>1</v>
      </c>
      <c r="AQ49" s="80">
        <f t="shared" si="23"/>
        <v>2</v>
      </c>
      <c r="AR49" s="61"/>
      <c r="AS49" s="62"/>
      <c r="AT49" s="81"/>
      <c r="AU49" s="81"/>
      <c r="AV49" s="81"/>
      <c r="AW49" s="81"/>
      <c r="AX49" s="82"/>
      <c r="AY49" s="83">
        <f t="shared" si="17"/>
        <v>0</v>
      </c>
      <c r="AZ49" s="83">
        <f t="shared" si="5"/>
        <v>0</v>
      </c>
    </row>
    <row r="50" spans="1:52" s="66" customFormat="1" ht="39.75" customHeight="1" thickBot="1" x14ac:dyDescent="0.2">
      <c r="A50" s="96"/>
      <c r="B50" s="91"/>
      <c r="C50" s="131"/>
      <c r="D50" s="131"/>
      <c r="E50" s="131"/>
      <c r="F50" s="131"/>
      <c r="G50" s="97"/>
      <c r="H50" s="158"/>
      <c r="I50" s="92">
        <v>0.7</v>
      </c>
      <c r="J50" s="41">
        <v>0.3</v>
      </c>
      <c r="K50" s="41"/>
      <c r="L50" s="42"/>
      <c r="M50" s="68"/>
      <c r="N50" s="69">
        <f t="shared" si="7"/>
        <v>1</v>
      </c>
      <c r="O50" s="125">
        <v>1</v>
      </c>
      <c r="P50" s="112">
        <v>15</v>
      </c>
      <c r="Q50" s="113">
        <v>15</v>
      </c>
      <c r="R50" s="113"/>
      <c r="S50" s="120"/>
      <c r="T50" s="70"/>
      <c r="U50" s="71">
        <f t="shared" si="8"/>
        <v>15</v>
      </c>
      <c r="V50" s="72">
        <f t="shared" si="9"/>
        <v>15</v>
      </c>
      <c r="W50" s="144"/>
      <c r="X50" s="136"/>
      <c r="Y50" s="136"/>
      <c r="Z50" s="136"/>
      <c r="AA50" s="74"/>
      <c r="AB50" s="75">
        <f t="shared" si="10"/>
        <v>0</v>
      </c>
      <c r="AC50" s="72">
        <f t="shared" si="11"/>
        <v>0</v>
      </c>
      <c r="AD50" s="124">
        <v>2</v>
      </c>
      <c r="AE50" s="71">
        <f t="shared" si="12"/>
        <v>2</v>
      </c>
      <c r="AF50" s="76"/>
      <c r="AG50" s="54"/>
      <c r="AH50" s="77">
        <f t="shared" si="13"/>
        <v>17</v>
      </c>
      <c r="AI50" s="56">
        <v>10</v>
      </c>
      <c r="AJ50" s="56">
        <v>10</v>
      </c>
      <c r="AK50" s="56">
        <v>45</v>
      </c>
      <c r="AL50" s="57">
        <f t="shared" si="14"/>
        <v>82</v>
      </c>
      <c r="AM50" s="55">
        <f t="shared" si="15"/>
        <v>82</v>
      </c>
      <c r="AN50" s="78">
        <f t="shared" si="16"/>
        <v>1.02</v>
      </c>
      <c r="AO50" s="79"/>
      <c r="AP50" s="80">
        <f t="shared" si="23"/>
        <v>1</v>
      </c>
      <c r="AQ50" s="80">
        <f t="shared" si="23"/>
        <v>2</v>
      </c>
      <c r="AR50" s="61"/>
      <c r="AS50" s="62"/>
      <c r="AT50" s="81"/>
      <c r="AU50" s="81"/>
      <c r="AV50" s="81"/>
      <c r="AW50" s="81"/>
      <c r="AX50" s="82"/>
      <c r="AY50" s="83">
        <f t="shared" si="17"/>
        <v>0</v>
      </c>
      <c r="AZ50" s="83">
        <f t="shared" si="5"/>
        <v>0</v>
      </c>
    </row>
    <row r="51" spans="1:52" s="66" customFormat="1" ht="39.75" customHeight="1" thickBot="1" x14ac:dyDescent="0.2">
      <c r="A51" s="96"/>
      <c r="B51" s="91"/>
      <c r="C51" s="110"/>
      <c r="D51" s="131"/>
      <c r="E51" s="131"/>
      <c r="F51" s="131"/>
      <c r="G51" s="170"/>
      <c r="H51" s="158"/>
      <c r="I51" s="92">
        <v>0.7</v>
      </c>
      <c r="J51" s="41">
        <v>0.3</v>
      </c>
      <c r="K51" s="41"/>
      <c r="L51" s="42"/>
      <c r="M51" s="147"/>
      <c r="N51" s="94">
        <f t="shared" si="7"/>
        <v>1</v>
      </c>
      <c r="O51" s="125">
        <v>1</v>
      </c>
      <c r="P51" s="112">
        <v>15</v>
      </c>
      <c r="Q51" s="113">
        <v>15</v>
      </c>
      <c r="R51" s="113"/>
      <c r="S51" s="120"/>
      <c r="T51" s="70"/>
      <c r="U51" s="71">
        <f t="shared" si="8"/>
        <v>15</v>
      </c>
      <c r="V51" s="72">
        <f t="shared" si="9"/>
        <v>15</v>
      </c>
      <c r="W51" s="139"/>
      <c r="X51" s="85"/>
      <c r="Y51" s="136"/>
      <c r="Z51" s="136"/>
      <c r="AA51" s="74"/>
      <c r="AB51" s="75">
        <f t="shared" si="10"/>
        <v>0</v>
      </c>
      <c r="AC51" s="72">
        <f t="shared" si="11"/>
        <v>0</v>
      </c>
      <c r="AD51" s="124">
        <v>2</v>
      </c>
      <c r="AE51" s="71">
        <f t="shared" si="12"/>
        <v>2</v>
      </c>
      <c r="AF51" s="76"/>
      <c r="AG51" s="54"/>
      <c r="AH51" s="77">
        <f t="shared" si="13"/>
        <v>17</v>
      </c>
      <c r="AI51" s="56">
        <v>10</v>
      </c>
      <c r="AJ51" s="56">
        <v>10</v>
      </c>
      <c r="AK51" s="56">
        <v>45</v>
      </c>
      <c r="AL51" s="57">
        <f t="shared" si="14"/>
        <v>82</v>
      </c>
      <c r="AM51" s="55">
        <f t="shared" si="15"/>
        <v>82</v>
      </c>
      <c r="AN51" s="78">
        <f t="shared" si="16"/>
        <v>1.02</v>
      </c>
      <c r="AO51" s="79"/>
      <c r="AP51" s="80">
        <f t="shared" si="23"/>
        <v>1</v>
      </c>
      <c r="AQ51" s="80">
        <f t="shared" si="23"/>
        <v>2</v>
      </c>
      <c r="AR51" s="61"/>
      <c r="AS51" s="62"/>
      <c r="AT51" s="81"/>
      <c r="AU51" s="81"/>
      <c r="AV51" s="81"/>
      <c r="AW51" s="81"/>
      <c r="AX51" s="82"/>
      <c r="AY51" s="83">
        <f t="shared" si="17"/>
        <v>0</v>
      </c>
      <c r="AZ51" s="83">
        <f t="shared" si="5"/>
        <v>0</v>
      </c>
    </row>
    <row r="52" spans="1:52" s="66" customFormat="1" ht="39.75" customHeight="1" thickBot="1" x14ac:dyDescent="0.2">
      <c r="A52" s="96"/>
      <c r="B52" s="105"/>
      <c r="C52" s="110"/>
      <c r="D52" s="110"/>
      <c r="E52" s="105"/>
      <c r="F52" s="123"/>
      <c r="G52" s="170"/>
      <c r="H52" s="158"/>
      <c r="I52" s="92">
        <v>0.7</v>
      </c>
      <c r="J52" s="41">
        <v>0.3</v>
      </c>
      <c r="K52" s="41"/>
      <c r="L52" s="42"/>
      <c r="M52" s="68"/>
      <c r="N52" s="94">
        <f t="shared" si="7"/>
        <v>1</v>
      </c>
      <c r="O52" s="125">
        <v>1</v>
      </c>
      <c r="P52" s="126">
        <v>15</v>
      </c>
      <c r="Q52" s="89">
        <v>15</v>
      </c>
      <c r="R52" s="89"/>
      <c r="S52" s="114"/>
      <c r="T52" s="70"/>
      <c r="U52" s="71">
        <f t="shared" si="8"/>
        <v>15</v>
      </c>
      <c r="V52" s="72">
        <f t="shared" si="9"/>
        <v>15</v>
      </c>
      <c r="W52" s="139"/>
      <c r="X52" s="85"/>
      <c r="Y52" s="105"/>
      <c r="Z52" s="109"/>
      <c r="AA52" s="74"/>
      <c r="AB52" s="75">
        <f t="shared" si="10"/>
        <v>0</v>
      </c>
      <c r="AC52" s="72">
        <f t="shared" si="11"/>
        <v>0</v>
      </c>
      <c r="AD52" s="124">
        <v>2</v>
      </c>
      <c r="AE52" s="71">
        <f t="shared" si="12"/>
        <v>2</v>
      </c>
      <c r="AF52" s="76"/>
      <c r="AG52" s="54"/>
      <c r="AH52" s="77">
        <f t="shared" si="13"/>
        <v>17</v>
      </c>
      <c r="AI52" s="56">
        <v>10</v>
      </c>
      <c r="AJ52" s="56">
        <v>10</v>
      </c>
      <c r="AK52" s="56">
        <v>45</v>
      </c>
      <c r="AL52" s="57">
        <f t="shared" si="14"/>
        <v>82</v>
      </c>
      <c r="AM52" s="55">
        <f t="shared" si="15"/>
        <v>82</v>
      </c>
      <c r="AN52" s="78">
        <f t="shared" si="16"/>
        <v>1.02</v>
      </c>
      <c r="AO52" s="79"/>
      <c r="AP52" s="80">
        <f t="shared" si="23"/>
        <v>1</v>
      </c>
      <c r="AQ52" s="80">
        <f t="shared" si="23"/>
        <v>2</v>
      </c>
      <c r="AR52" s="61"/>
      <c r="AS52" s="62"/>
      <c r="AT52" s="81"/>
      <c r="AU52" s="81"/>
      <c r="AV52" s="81"/>
      <c r="AW52" s="81"/>
      <c r="AX52" s="82"/>
      <c r="AY52" s="83">
        <f t="shared" si="17"/>
        <v>0</v>
      </c>
      <c r="AZ52" s="83">
        <f t="shared" si="5"/>
        <v>0</v>
      </c>
    </row>
    <row r="53" spans="1:52" s="66" customFormat="1" ht="39.75" customHeight="1" thickBot="1" x14ac:dyDescent="0.2">
      <c r="A53" s="96"/>
      <c r="B53" s="91"/>
      <c r="C53" s="131"/>
      <c r="D53" s="110"/>
      <c r="E53" s="108"/>
      <c r="F53" s="108"/>
      <c r="G53" s="170"/>
      <c r="H53" s="158"/>
      <c r="I53" s="92">
        <v>0.7</v>
      </c>
      <c r="J53" s="41">
        <v>0.3</v>
      </c>
      <c r="K53" s="41"/>
      <c r="L53" s="42"/>
      <c r="M53" s="147"/>
      <c r="N53" s="94">
        <f t="shared" si="7"/>
        <v>1</v>
      </c>
      <c r="O53" s="125">
        <v>1</v>
      </c>
      <c r="P53" s="112">
        <v>15</v>
      </c>
      <c r="Q53" s="113">
        <v>15</v>
      </c>
      <c r="R53" s="114"/>
      <c r="S53" s="120"/>
      <c r="T53" s="70"/>
      <c r="U53" s="71">
        <f t="shared" si="8"/>
        <v>15</v>
      </c>
      <c r="V53" s="72">
        <f t="shared" si="9"/>
        <v>15</v>
      </c>
      <c r="W53" s="136"/>
      <c r="X53" s="85"/>
      <c r="Y53" s="136"/>
      <c r="Z53" s="117"/>
      <c r="AA53" s="74"/>
      <c r="AB53" s="75">
        <f t="shared" si="10"/>
        <v>0</v>
      </c>
      <c r="AC53" s="72">
        <f t="shared" si="11"/>
        <v>0</v>
      </c>
      <c r="AD53" s="124">
        <v>2</v>
      </c>
      <c r="AE53" s="71">
        <f t="shared" si="12"/>
        <v>2</v>
      </c>
      <c r="AF53" s="76"/>
      <c r="AG53" s="54"/>
      <c r="AH53" s="77">
        <f t="shared" si="13"/>
        <v>17</v>
      </c>
      <c r="AI53" s="56">
        <v>10</v>
      </c>
      <c r="AJ53" s="56">
        <v>10</v>
      </c>
      <c r="AK53" s="56">
        <v>45</v>
      </c>
      <c r="AL53" s="57">
        <f t="shared" si="14"/>
        <v>82</v>
      </c>
      <c r="AM53" s="55">
        <f t="shared" si="15"/>
        <v>82</v>
      </c>
      <c r="AN53" s="78">
        <f t="shared" si="16"/>
        <v>1.02</v>
      </c>
      <c r="AO53" s="79"/>
      <c r="AP53" s="80">
        <f t="shared" si="23"/>
        <v>1</v>
      </c>
      <c r="AQ53" s="80">
        <f t="shared" si="23"/>
        <v>2</v>
      </c>
      <c r="AR53" s="61"/>
      <c r="AS53" s="62"/>
      <c r="AT53" s="81"/>
      <c r="AU53" s="81"/>
      <c r="AV53" s="81"/>
      <c r="AW53" s="81"/>
      <c r="AX53" s="82"/>
      <c r="AY53" s="83">
        <f t="shared" si="17"/>
        <v>0</v>
      </c>
      <c r="AZ53" s="83">
        <f t="shared" si="5"/>
        <v>0</v>
      </c>
    </row>
    <row r="54" spans="1:52" s="66" customFormat="1" ht="39.75" customHeight="1" thickBot="1" x14ac:dyDescent="0.2">
      <c r="A54" s="96"/>
      <c r="B54" s="91"/>
      <c r="C54" s="110"/>
      <c r="D54" s="187" t="s">
        <v>110</v>
      </c>
      <c r="E54" s="105"/>
      <c r="F54" s="110" t="s">
        <v>253</v>
      </c>
      <c r="G54" s="170"/>
      <c r="H54" s="158"/>
      <c r="I54" s="92">
        <v>0.7</v>
      </c>
      <c r="J54" s="41">
        <v>0.3</v>
      </c>
      <c r="K54" s="41"/>
      <c r="L54" s="42"/>
      <c r="M54" s="147"/>
      <c r="N54" s="94">
        <f t="shared" si="7"/>
        <v>1</v>
      </c>
      <c r="O54" s="125">
        <v>1</v>
      </c>
      <c r="P54" s="126">
        <v>15</v>
      </c>
      <c r="Q54" s="89">
        <v>15</v>
      </c>
      <c r="R54" s="89"/>
      <c r="S54" s="114"/>
      <c r="T54" s="70"/>
      <c r="U54" s="71">
        <f t="shared" si="8"/>
        <v>15</v>
      </c>
      <c r="V54" s="72">
        <f t="shared" si="9"/>
        <v>15</v>
      </c>
      <c r="W54" s="117"/>
      <c r="X54" s="136"/>
      <c r="Y54" s="136"/>
      <c r="Z54" s="136"/>
      <c r="AA54" s="74"/>
      <c r="AB54" s="75">
        <f t="shared" si="10"/>
        <v>0</v>
      </c>
      <c r="AC54" s="72">
        <f t="shared" si="11"/>
        <v>0</v>
      </c>
      <c r="AD54" s="124">
        <v>2</v>
      </c>
      <c r="AE54" s="71">
        <f t="shared" si="12"/>
        <v>2</v>
      </c>
      <c r="AF54" s="76"/>
      <c r="AG54" s="54"/>
      <c r="AH54" s="77">
        <f t="shared" si="13"/>
        <v>17</v>
      </c>
      <c r="AI54" s="56">
        <v>10</v>
      </c>
      <c r="AJ54" s="56">
        <v>10</v>
      </c>
      <c r="AK54" s="56">
        <v>45</v>
      </c>
      <c r="AL54" s="57">
        <f t="shared" si="14"/>
        <v>82</v>
      </c>
      <c r="AM54" s="55">
        <f t="shared" si="15"/>
        <v>82</v>
      </c>
      <c r="AN54" s="78">
        <f t="shared" si="16"/>
        <v>1.02</v>
      </c>
      <c r="AO54" s="79"/>
      <c r="AP54" s="80">
        <f t="shared" si="23"/>
        <v>1</v>
      </c>
      <c r="AQ54" s="80">
        <f t="shared" si="23"/>
        <v>2</v>
      </c>
      <c r="AR54" s="61"/>
      <c r="AS54" s="62"/>
      <c r="AT54" s="81"/>
      <c r="AU54" s="81"/>
      <c r="AV54" s="81"/>
      <c r="AW54" s="81"/>
      <c r="AX54" s="82"/>
      <c r="AY54" s="83">
        <f t="shared" si="17"/>
        <v>0</v>
      </c>
      <c r="AZ54" s="83">
        <f t="shared" si="5"/>
        <v>0</v>
      </c>
    </row>
    <row r="55" spans="1:52" s="66" customFormat="1" ht="39.75" customHeight="1" thickBot="1" x14ac:dyDescent="0.2">
      <c r="A55" s="107"/>
      <c r="B55" s="91"/>
      <c r="C55" s="131"/>
      <c r="D55" s="142" t="s">
        <v>108</v>
      </c>
      <c r="E55" s="132" t="s">
        <v>106</v>
      </c>
      <c r="F55" s="185" t="s">
        <v>114</v>
      </c>
      <c r="G55" s="170"/>
      <c r="H55" s="158"/>
      <c r="I55" s="92">
        <v>0.7</v>
      </c>
      <c r="J55" s="41">
        <v>0.3</v>
      </c>
      <c r="K55" s="41"/>
      <c r="L55" s="42"/>
      <c r="M55" s="68"/>
      <c r="N55" s="94">
        <f t="shared" si="7"/>
        <v>1</v>
      </c>
      <c r="O55" s="125">
        <v>1</v>
      </c>
      <c r="P55" s="112">
        <v>15</v>
      </c>
      <c r="Q55" s="113">
        <v>15</v>
      </c>
      <c r="R55" s="113"/>
      <c r="S55" s="114"/>
      <c r="T55" s="70"/>
      <c r="U55" s="71">
        <f t="shared" si="8"/>
        <v>15</v>
      </c>
      <c r="V55" s="72">
        <f t="shared" si="9"/>
        <v>15</v>
      </c>
      <c r="W55" s="136"/>
      <c r="X55" s="148"/>
      <c r="Y55" s="148"/>
      <c r="Z55" s="119"/>
      <c r="AA55" s="74"/>
      <c r="AB55" s="75">
        <f t="shared" si="10"/>
        <v>0</v>
      </c>
      <c r="AC55" s="72">
        <f t="shared" si="11"/>
        <v>0</v>
      </c>
      <c r="AD55" s="124">
        <v>2</v>
      </c>
      <c r="AE55" s="71">
        <f t="shared" si="12"/>
        <v>2</v>
      </c>
      <c r="AF55" s="76"/>
      <c r="AG55" s="54"/>
      <c r="AH55" s="77">
        <f t="shared" si="13"/>
        <v>17</v>
      </c>
      <c r="AI55" s="56">
        <v>10</v>
      </c>
      <c r="AJ55" s="56">
        <v>10</v>
      </c>
      <c r="AK55" s="56">
        <v>45</v>
      </c>
      <c r="AL55" s="57">
        <f t="shared" si="14"/>
        <v>82</v>
      </c>
      <c r="AM55" s="55">
        <f t="shared" si="15"/>
        <v>82</v>
      </c>
      <c r="AN55" s="78">
        <f t="shared" si="16"/>
        <v>1.02</v>
      </c>
      <c r="AO55" s="79"/>
      <c r="AP55" s="80">
        <f t="shared" si="23"/>
        <v>1</v>
      </c>
      <c r="AQ55" s="80">
        <f t="shared" si="23"/>
        <v>2</v>
      </c>
      <c r="AR55" s="61"/>
      <c r="AS55" s="62"/>
      <c r="AT55" s="81"/>
      <c r="AU55" s="81"/>
      <c r="AV55" s="81"/>
      <c r="AW55" s="81"/>
      <c r="AX55" s="82"/>
      <c r="AY55" s="83">
        <f t="shared" si="17"/>
        <v>0</v>
      </c>
      <c r="AZ55" s="83">
        <f t="shared" si="5"/>
        <v>0</v>
      </c>
    </row>
    <row r="56" spans="1:52" s="66" customFormat="1" ht="39.75" customHeight="1" thickBot="1" x14ac:dyDescent="0.2">
      <c r="A56" s="96"/>
      <c r="B56" s="91"/>
      <c r="C56" s="131"/>
      <c r="D56" s="131"/>
      <c r="E56" s="131"/>
      <c r="F56" s="131"/>
      <c r="G56" s="170"/>
      <c r="H56" s="158"/>
      <c r="I56" s="92">
        <v>0.7</v>
      </c>
      <c r="J56" s="41">
        <v>0.3</v>
      </c>
      <c r="K56" s="41"/>
      <c r="L56" s="42"/>
      <c r="M56" s="147"/>
      <c r="N56" s="94">
        <f t="shared" si="7"/>
        <v>1</v>
      </c>
      <c r="O56" s="125">
        <v>1</v>
      </c>
      <c r="P56" s="112">
        <v>15</v>
      </c>
      <c r="Q56" s="113">
        <v>15</v>
      </c>
      <c r="R56" s="114"/>
      <c r="S56" s="120"/>
      <c r="T56" s="70"/>
      <c r="U56" s="71">
        <f t="shared" si="8"/>
        <v>15</v>
      </c>
      <c r="V56" s="72">
        <f t="shared" si="9"/>
        <v>15</v>
      </c>
      <c r="W56" s="137"/>
      <c r="X56" s="136"/>
      <c r="Y56" s="119"/>
      <c r="Z56" s="148"/>
      <c r="AA56" s="74"/>
      <c r="AB56" s="75">
        <f t="shared" si="10"/>
        <v>0</v>
      </c>
      <c r="AC56" s="72">
        <f t="shared" si="11"/>
        <v>0</v>
      </c>
      <c r="AD56" s="124">
        <v>2</v>
      </c>
      <c r="AE56" s="71">
        <f t="shared" si="12"/>
        <v>2</v>
      </c>
      <c r="AF56" s="76"/>
      <c r="AG56" s="54"/>
      <c r="AH56" s="77">
        <f t="shared" si="13"/>
        <v>17</v>
      </c>
      <c r="AI56" s="56">
        <v>10</v>
      </c>
      <c r="AJ56" s="56">
        <v>10</v>
      </c>
      <c r="AK56" s="56">
        <v>45</v>
      </c>
      <c r="AL56" s="57">
        <f t="shared" si="14"/>
        <v>82</v>
      </c>
      <c r="AM56" s="55">
        <f t="shared" si="15"/>
        <v>82</v>
      </c>
      <c r="AN56" s="78">
        <f t="shared" si="16"/>
        <v>1.02</v>
      </c>
      <c r="AO56" s="79"/>
      <c r="AP56" s="80">
        <f t="shared" si="23"/>
        <v>1</v>
      </c>
      <c r="AQ56" s="80">
        <f t="shared" si="23"/>
        <v>2</v>
      </c>
      <c r="AR56" s="61"/>
      <c r="AS56" s="62"/>
      <c r="AT56" s="81"/>
      <c r="AU56" s="81"/>
      <c r="AV56" s="81"/>
      <c r="AW56" s="81"/>
      <c r="AX56" s="82"/>
      <c r="AY56" s="83">
        <f t="shared" si="17"/>
        <v>0</v>
      </c>
      <c r="AZ56" s="83">
        <f t="shared" si="5"/>
        <v>0</v>
      </c>
    </row>
    <row r="57" spans="1:52" s="66" customFormat="1" ht="39.75" customHeight="1" thickBot="1" x14ac:dyDescent="0.2">
      <c r="A57" s="96"/>
      <c r="B57" s="91"/>
      <c r="C57" s="131"/>
      <c r="D57" s="131"/>
      <c r="E57" s="131"/>
      <c r="F57" s="131"/>
      <c r="G57" s="97"/>
      <c r="H57" s="158"/>
      <c r="I57" s="92">
        <v>0.7</v>
      </c>
      <c r="J57" s="41">
        <v>0.3</v>
      </c>
      <c r="K57" s="41"/>
      <c r="L57" s="42"/>
      <c r="M57" s="147"/>
      <c r="N57" s="69">
        <f t="shared" si="7"/>
        <v>1</v>
      </c>
      <c r="O57" s="125">
        <v>1</v>
      </c>
      <c r="P57" s="112">
        <v>15</v>
      </c>
      <c r="Q57" s="113">
        <v>15</v>
      </c>
      <c r="R57" s="113"/>
      <c r="S57" s="114"/>
      <c r="T57" s="70"/>
      <c r="U57" s="71">
        <f t="shared" si="8"/>
        <v>15</v>
      </c>
      <c r="V57" s="72">
        <f t="shared" si="9"/>
        <v>15</v>
      </c>
      <c r="W57" s="136"/>
      <c r="X57" s="148"/>
      <c r="Y57" s="136"/>
      <c r="Z57" s="119"/>
      <c r="AA57" s="74"/>
      <c r="AB57" s="75">
        <f t="shared" si="10"/>
        <v>0</v>
      </c>
      <c r="AC57" s="72">
        <f t="shared" si="11"/>
        <v>0</v>
      </c>
      <c r="AD57" s="124">
        <v>2</v>
      </c>
      <c r="AE57" s="71">
        <f t="shared" si="12"/>
        <v>2</v>
      </c>
      <c r="AF57" s="76"/>
      <c r="AG57" s="54"/>
      <c r="AH57" s="77">
        <f t="shared" si="13"/>
        <v>17</v>
      </c>
      <c r="AI57" s="56">
        <v>10</v>
      </c>
      <c r="AJ57" s="56">
        <v>10</v>
      </c>
      <c r="AK57" s="56">
        <v>45</v>
      </c>
      <c r="AL57" s="57">
        <f t="shared" si="14"/>
        <v>82</v>
      </c>
      <c r="AM57" s="55">
        <f t="shared" si="15"/>
        <v>82</v>
      </c>
      <c r="AN57" s="78">
        <f t="shared" si="16"/>
        <v>1.02</v>
      </c>
      <c r="AO57" s="79"/>
      <c r="AP57" s="80">
        <f t="shared" si="23"/>
        <v>1</v>
      </c>
      <c r="AQ57" s="80">
        <f t="shared" si="23"/>
        <v>2</v>
      </c>
      <c r="AR57" s="61"/>
      <c r="AS57" s="62"/>
      <c r="AT57" s="81"/>
      <c r="AU57" s="81"/>
      <c r="AV57" s="81"/>
      <c r="AW57" s="81"/>
      <c r="AX57" s="82"/>
      <c r="AY57" s="83">
        <f t="shared" si="17"/>
        <v>0</v>
      </c>
      <c r="AZ57" s="83">
        <f t="shared" si="5"/>
        <v>0</v>
      </c>
    </row>
    <row r="58" spans="1:52" s="66" customFormat="1" ht="39.75" customHeight="1" thickBot="1" x14ac:dyDescent="0.2">
      <c r="A58" s="96"/>
      <c r="B58" s="91"/>
      <c r="C58" s="131"/>
      <c r="D58" s="131"/>
      <c r="E58" s="131"/>
      <c r="F58" s="131"/>
      <c r="G58" s="97"/>
      <c r="H58" s="158"/>
      <c r="I58" s="92">
        <v>0.7</v>
      </c>
      <c r="J58" s="41">
        <v>0.3</v>
      </c>
      <c r="K58" s="41"/>
      <c r="L58" s="42"/>
      <c r="M58" s="68"/>
      <c r="N58" s="69">
        <f t="shared" si="7"/>
        <v>1</v>
      </c>
      <c r="O58" s="125">
        <v>1</v>
      </c>
      <c r="P58" s="112">
        <v>15</v>
      </c>
      <c r="Q58" s="113">
        <v>15</v>
      </c>
      <c r="R58" s="113"/>
      <c r="S58" s="114"/>
      <c r="T58" s="70"/>
      <c r="U58" s="71">
        <f t="shared" si="8"/>
        <v>15</v>
      </c>
      <c r="V58" s="72">
        <f t="shared" si="9"/>
        <v>15</v>
      </c>
      <c r="W58" s="136"/>
      <c r="X58" s="136"/>
      <c r="Y58" s="117"/>
      <c r="Z58" s="116"/>
      <c r="AA58" s="74"/>
      <c r="AB58" s="75">
        <f t="shared" si="10"/>
        <v>0</v>
      </c>
      <c r="AC58" s="72">
        <f t="shared" si="11"/>
        <v>0</v>
      </c>
      <c r="AD58" s="124">
        <v>2</v>
      </c>
      <c r="AE58" s="71">
        <f t="shared" si="12"/>
        <v>2</v>
      </c>
      <c r="AF58" s="76"/>
      <c r="AG58" s="54"/>
      <c r="AH58" s="77">
        <f t="shared" si="13"/>
        <v>17</v>
      </c>
      <c r="AI58" s="56">
        <v>10</v>
      </c>
      <c r="AJ58" s="56">
        <v>10</v>
      </c>
      <c r="AK58" s="56">
        <v>45</v>
      </c>
      <c r="AL58" s="57">
        <f t="shared" si="14"/>
        <v>82</v>
      </c>
      <c r="AM58" s="55">
        <f t="shared" si="15"/>
        <v>82</v>
      </c>
      <c r="AN58" s="78">
        <f t="shared" si="16"/>
        <v>1.02</v>
      </c>
      <c r="AO58" s="79"/>
      <c r="AP58" s="80">
        <f t="shared" si="23"/>
        <v>1</v>
      </c>
      <c r="AQ58" s="80">
        <f t="shared" si="23"/>
        <v>2</v>
      </c>
      <c r="AR58" s="61"/>
      <c r="AS58" s="62"/>
      <c r="AT58" s="81"/>
      <c r="AU58" s="81"/>
      <c r="AV58" s="81"/>
      <c r="AW58" s="81"/>
      <c r="AX58" s="82"/>
      <c r="AY58" s="83">
        <f t="shared" si="17"/>
        <v>0</v>
      </c>
      <c r="AZ58" s="83">
        <f t="shared" si="5"/>
        <v>0</v>
      </c>
    </row>
    <row r="59" spans="1:52" s="66" customFormat="1" ht="39.75" customHeight="1" thickBot="1" x14ac:dyDescent="0.2">
      <c r="A59" s="96"/>
      <c r="B59" s="91"/>
      <c r="C59" s="131"/>
      <c r="D59" s="131"/>
      <c r="E59" s="110"/>
      <c r="F59" s="110"/>
      <c r="G59" s="170"/>
      <c r="H59" s="157"/>
      <c r="I59" s="92">
        <v>0.7</v>
      </c>
      <c r="J59" s="41">
        <v>0.3</v>
      </c>
      <c r="K59" s="41"/>
      <c r="L59" s="42"/>
      <c r="M59" s="128"/>
      <c r="N59" s="43">
        <f t="shared" si="7"/>
        <v>1</v>
      </c>
      <c r="O59" s="125">
        <v>1</v>
      </c>
      <c r="P59" s="112">
        <v>15</v>
      </c>
      <c r="Q59" s="89">
        <v>15</v>
      </c>
      <c r="R59" s="113"/>
      <c r="S59" s="120"/>
      <c r="T59" s="156"/>
      <c r="U59" s="48">
        <f t="shared" si="8"/>
        <v>15</v>
      </c>
      <c r="V59" s="49">
        <f t="shared" si="9"/>
        <v>15</v>
      </c>
      <c r="W59" s="136"/>
      <c r="X59" s="146"/>
      <c r="Y59" s="148"/>
      <c r="Z59" s="117"/>
      <c r="AA59" s="74"/>
      <c r="AB59" s="75">
        <f t="shared" si="10"/>
        <v>0</v>
      </c>
      <c r="AC59" s="72">
        <f t="shared" si="11"/>
        <v>0</v>
      </c>
      <c r="AD59" s="124">
        <v>2</v>
      </c>
      <c r="AE59" s="71">
        <f t="shared" si="12"/>
        <v>2</v>
      </c>
      <c r="AF59" s="76"/>
      <c r="AG59" s="54"/>
      <c r="AH59" s="77">
        <f t="shared" si="13"/>
        <v>17</v>
      </c>
      <c r="AI59" s="56">
        <v>10</v>
      </c>
      <c r="AJ59" s="56">
        <v>10</v>
      </c>
      <c r="AK59" s="56">
        <v>45</v>
      </c>
      <c r="AL59" s="57">
        <f t="shared" si="14"/>
        <v>82</v>
      </c>
      <c r="AM59" s="55">
        <f t="shared" si="15"/>
        <v>82</v>
      </c>
      <c r="AN59" s="78">
        <f t="shared" si="16"/>
        <v>1.02</v>
      </c>
      <c r="AO59" s="79"/>
      <c r="AP59" s="80">
        <f t="shared" si="23"/>
        <v>1</v>
      </c>
      <c r="AQ59" s="80">
        <f t="shared" si="23"/>
        <v>2</v>
      </c>
      <c r="AR59" s="61"/>
      <c r="AS59" s="62"/>
      <c r="AT59" s="81"/>
      <c r="AU59" s="81"/>
      <c r="AV59" s="81"/>
      <c r="AW59" s="81"/>
      <c r="AX59" s="82"/>
      <c r="AY59" s="83">
        <f t="shared" si="17"/>
        <v>0</v>
      </c>
      <c r="AZ59" s="83">
        <f t="shared" si="5"/>
        <v>0</v>
      </c>
    </row>
    <row r="60" spans="1:52" s="66" customFormat="1" ht="39.75" customHeight="1" thickBot="1" x14ac:dyDescent="0.2">
      <c r="A60" s="160"/>
      <c r="B60" s="91"/>
      <c r="C60" s="131"/>
      <c r="D60" s="105"/>
      <c r="E60" s="110"/>
      <c r="F60" s="131"/>
      <c r="G60" s="170"/>
      <c r="H60" s="158"/>
      <c r="I60" s="92">
        <v>0.7</v>
      </c>
      <c r="J60" s="41">
        <v>0.3</v>
      </c>
      <c r="K60" s="41"/>
      <c r="L60" s="42"/>
      <c r="M60" s="68"/>
      <c r="N60" s="94">
        <f t="shared" si="7"/>
        <v>1</v>
      </c>
      <c r="O60" s="125">
        <v>1</v>
      </c>
      <c r="P60" s="126">
        <v>15</v>
      </c>
      <c r="Q60" s="89">
        <v>15</v>
      </c>
      <c r="R60" s="89"/>
      <c r="S60" s="114"/>
      <c r="T60" s="70"/>
      <c r="U60" s="71">
        <f t="shared" si="8"/>
        <v>15</v>
      </c>
      <c r="V60" s="72">
        <f t="shared" si="9"/>
        <v>15</v>
      </c>
      <c r="W60" s="139"/>
      <c r="X60" s="136"/>
      <c r="Y60" s="148"/>
      <c r="Z60" s="146"/>
      <c r="AA60" s="74"/>
      <c r="AB60" s="75">
        <f t="shared" si="10"/>
        <v>0</v>
      </c>
      <c r="AC60" s="72">
        <f t="shared" si="11"/>
        <v>0</v>
      </c>
      <c r="AD60" s="124">
        <v>2</v>
      </c>
      <c r="AE60" s="71">
        <f t="shared" si="12"/>
        <v>2</v>
      </c>
      <c r="AF60" s="76"/>
      <c r="AG60" s="54"/>
      <c r="AH60" s="77">
        <f t="shared" si="13"/>
        <v>17</v>
      </c>
      <c r="AI60" s="56">
        <v>10</v>
      </c>
      <c r="AJ60" s="56">
        <v>10</v>
      </c>
      <c r="AK60" s="56">
        <v>45</v>
      </c>
      <c r="AL60" s="57">
        <f t="shared" si="14"/>
        <v>82</v>
      </c>
      <c r="AM60" s="55">
        <f t="shared" si="15"/>
        <v>82</v>
      </c>
      <c r="AN60" s="78">
        <f t="shared" si="16"/>
        <v>1.02</v>
      </c>
      <c r="AO60" s="79"/>
      <c r="AP60" s="80">
        <f t="shared" si="23"/>
        <v>1</v>
      </c>
      <c r="AQ60" s="80">
        <f t="shared" si="23"/>
        <v>2</v>
      </c>
      <c r="AR60" s="61"/>
      <c r="AS60" s="62"/>
      <c r="AT60" s="81"/>
      <c r="AU60" s="81"/>
      <c r="AV60" s="81"/>
      <c r="AW60" s="81"/>
      <c r="AX60" s="82"/>
      <c r="AY60" s="83">
        <f t="shared" si="17"/>
        <v>0</v>
      </c>
      <c r="AZ60" s="83">
        <f t="shared" si="5"/>
        <v>0</v>
      </c>
    </row>
    <row r="61" spans="1:52" s="66" customFormat="1" ht="39.75" customHeight="1" thickBot="1" x14ac:dyDescent="0.2">
      <c r="A61" s="96"/>
      <c r="B61" s="91"/>
      <c r="C61" s="131"/>
      <c r="D61" s="131"/>
      <c r="E61" s="105"/>
      <c r="F61" s="131"/>
      <c r="G61" s="170"/>
      <c r="H61" s="158"/>
      <c r="I61" s="92">
        <v>0.7</v>
      </c>
      <c r="J61" s="41">
        <v>0.3</v>
      </c>
      <c r="K61" s="41"/>
      <c r="L61" s="42"/>
      <c r="M61" s="68"/>
      <c r="N61" s="94">
        <f t="shared" si="7"/>
        <v>1</v>
      </c>
      <c r="O61" s="125">
        <v>1</v>
      </c>
      <c r="P61" s="112">
        <v>15</v>
      </c>
      <c r="Q61" s="113">
        <v>15</v>
      </c>
      <c r="R61" s="113"/>
      <c r="S61" s="114"/>
      <c r="T61" s="70"/>
      <c r="U61" s="71">
        <f t="shared" si="8"/>
        <v>15</v>
      </c>
      <c r="V61" s="72">
        <f t="shared" si="9"/>
        <v>15</v>
      </c>
      <c r="W61" s="136"/>
      <c r="X61" s="136"/>
      <c r="Y61" s="148"/>
      <c r="Z61" s="146"/>
      <c r="AA61" s="146"/>
      <c r="AB61" s="71">
        <f t="shared" si="10"/>
        <v>0</v>
      </c>
      <c r="AC61" s="72">
        <f t="shared" si="11"/>
        <v>0</v>
      </c>
      <c r="AD61" s="124">
        <v>2</v>
      </c>
      <c r="AE61" s="71">
        <f t="shared" si="12"/>
        <v>2</v>
      </c>
      <c r="AF61" s="76"/>
      <c r="AG61" s="54"/>
      <c r="AH61" s="77">
        <f t="shared" si="13"/>
        <v>17</v>
      </c>
      <c r="AI61" s="56">
        <v>10</v>
      </c>
      <c r="AJ61" s="56">
        <v>10</v>
      </c>
      <c r="AK61" s="56">
        <v>45</v>
      </c>
      <c r="AL61" s="57">
        <f t="shared" si="14"/>
        <v>82</v>
      </c>
      <c r="AM61" s="55">
        <f t="shared" si="15"/>
        <v>82</v>
      </c>
      <c r="AN61" s="78">
        <f t="shared" si="16"/>
        <v>1.02</v>
      </c>
      <c r="AO61" s="79"/>
      <c r="AP61" s="80">
        <f t="shared" si="23"/>
        <v>1</v>
      </c>
      <c r="AQ61" s="80">
        <f t="shared" si="23"/>
        <v>2</v>
      </c>
      <c r="AR61" s="61"/>
      <c r="AS61" s="62"/>
      <c r="AT61" s="81"/>
      <c r="AU61" s="81"/>
      <c r="AV61" s="81"/>
      <c r="AW61" s="81"/>
      <c r="AX61" s="82"/>
      <c r="AY61" s="83">
        <f t="shared" si="17"/>
        <v>0</v>
      </c>
      <c r="AZ61" s="83">
        <f t="shared" si="5"/>
        <v>0</v>
      </c>
    </row>
    <row r="62" spans="1:52" s="66" customFormat="1" ht="39.75" customHeight="1" thickBot="1" x14ac:dyDescent="0.2">
      <c r="A62" s="160"/>
      <c r="B62" s="91"/>
      <c r="C62" s="105"/>
      <c r="D62" s="171"/>
      <c r="E62" s="110"/>
      <c r="F62" s="109"/>
      <c r="G62" s="170"/>
      <c r="H62" s="158"/>
      <c r="I62" s="92">
        <v>0.7</v>
      </c>
      <c r="J62" s="41">
        <v>0.3</v>
      </c>
      <c r="K62" s="41"/>
      <c r="L62" s="42"/>
      <c r="M62" s="68"/>
      <c r="N62" s="94">
        <f t="shared" si="7"/>
        <v>1</v>
      </c>
      <c r="O62" s="125">
        <v>1</v>
      </c>
      <c r="P62" s="126">
        <v>15</v>
      </c>
      <c r="Q62" s="89">
        <v>15</v>
      </c>
      <c r="R62" s="89"/>
      <c r="S62" s="114"/>
      <c r="T62" s="70"/>
      <c r="U62" s="71">
        <f t="shared" si="8"/>
        <v>15</v>
      </c>
      <c r="V62" s="72">
        <f t="shared" si="9"/>
        <v>15</v>
      </c>
      <c r="W62" s="119"/>
      <c r="X62" s="136"/>
      <c r="Y62" s="148"/>
      <c r="Z62" s="109"/>
      <c r="AA62" s="74"/>
      <c r="AB62" s="75">
        <f t="shared" si="10"/>
        <v>0</v>
      </c>
      <c r="AC62" s="72">
        <f t="shared" si="11"/>
        <v>0</v>
      </c>
      <c r="AD62" s="124">
        <v>2</v>
      </c>
      <c r="AE62" s="71">
        <f t="shared" si="12"/>
        <v>2</v>
      </c>
      <c r="AF62" s="76"/>
      <c r="AG62" s="54"/>
      <c r="AH62" s="77">
        <f t="shared" si="13"/>
        <v>17</v>
      </c>
      <c r="AI62" s="56">
        <v>10</v>
      </c>
      <c r="AJ62" s="56">
        <v>10</v>
      </c>
      <c r="AK62" s="56">
        <v>45</v>
      </c>
      <c r="AL62" s="57">
        <f t="shared" si="14"/>
        <v>82</v>
      </c>
      <c r="AM62" s="55">
        <f t="shared" si="15"/>
        <v>82</v>
      </c>
      <c r="AN62" s="78">
        <f t="shared" si="16"/>
        <v>1.02</v>
      </c>
      <c r="AO62" s="79"/>
      <c r="AP62" s="80">
        <f t="shared" si="23"/>
        <v>1</v>
      </c>
      <c r="AQ62" s="80">
        <f t="shared" si="23"/>
        <v>2</v>
      </c>
      <c r="AR62" s="61"/>
      <c r="AS62" s="62"/>
      <c r="AT62" s="81"/>
      <c r="AU62" s="81"/>
      <c r="AV62" s="81"/>
      <c r="AW62" s="81"/>
      <c r="AX62" s="82"/>
      <c r="AY62" s="83">
        <f t="shared" si="17"/>
        <v>0</v>
      </c>
      <c r="AZ62" s="83">
        <f t="shared" si="5"/>
        <v>0</v>
      </c>
    </row>
    <row r="63" spans="1:52" s="66" customFormat="1" ht="39.75" customHeight="1" thickBot="1" x14ac:dyDescent="0.2">
      <c r="A63" s="131"/>
      <c r="B63" s="131"/>
      <c r="C63" s="131"/>
      <c r="D63" s="131"/>
      <c r="E63" s="131"/>
      <c r="F63" s="109"/>
      <c r="G63" s="170"/>
      <c r="H63" s="158"/>
      <c r="I63" s="92">
        <v>0.7</v>
      </c>
      <c r="J63" s="41">
        <v>0.3</v>
      </c>
      <c r="K63" s="41"/>
      <c r="L63" s="42"/>
      <c r="M63" s="147"/>
      <c r="N63" s="94">
        <f t="shared" si="7"/>
        <v>1</v>
      </c>
      <c r="O63" s="125">
        <v>1</v>
      </c>
      <c r="P63" s="112">
        <v>15</v>
      </c>
      <c r="Q63" s="113">
        <v>15</v>
      </c>
      <c r="R63" s="113"/>
      <c r="S63" s="120"/>
      <c r="T63" s="70"/>
      <c r="U63" s="71">
        <f t="shared" si="8"/>
        <v>15</v>
      </c>
      <c r="V63" s="72">
        <f t="shared" si="9"/>
        <v>15</v>
      </c>
      <c r="W63" s="119"/>
      <c r="X63" s="148"/>
      <c r="Y63" s="136"/>
      <c r="Z63" s="139"/>
      <c r="AA63" s="74"/>
      <c r="AB63" s="75">
        <f t="shared" si="10"/>
        <v>0</v>
      </c>
      <c r="AC63" s="72">
        <f t="shared" si="11"/>
        <v>0</v>
      </c>
      <c r="AD63" s="124">
        <v>2</v>
      </c>
      <c r="AE63" s="71">
        <f t="shared" si="12"/>
        <v>2</v>
      </c>
      <c r="AF63" s="76"/>
      <c r="AG63" s="54"/>
      <c r="AH63" s="77">
        <f t="shared" si="13"/>
        <v>17</v>
      </c>
      <c r="AI63" s="56">
        <v>10</v>
      </c>
      <c r="AJ63" s="56">
        <v>10</v>
      </c>
      <c r="AK63" s="56">
        <v>45</v>
      </c>
      <c r="AL63" s="57">
        <f t="shared" si="14"/>
        <v>82</v>
      </c>
      <c r="AM63" s="55">
        <f t="shared" si="15"/>
        <v>82</v>
      </c>
      <c r="AN63" s="78">
        <f t="shared" si="16"/>
        <v>1.02</v>
      </c>
      <c r="AO63" s="79"/>
      <c r="AP63" s="80">
        <f t="shared" si="23"/>
        <v>1</v>
      </c>
      <c r="AQ63" s="80">
        <f t="shared" si="23"/>
        <v>2</v>
      </c>
      <c r="AR63" s="61"/>
      <c r="AS63" s="62"/>
      <c r="AT63" s="81"/>
      <c r="AU63" s="81"/>
      <c r="AV63" s="81"/>
      <c r="AW63" s="81"/>
      <c r="AX63" s="82"/>
      <c r="AY63" s="83">
        <f t="shared" si="17"/>
        <v>0</v>
      </c>
      <c r="AZ63" s="83">
        <f t="shared" si="5"/>
        <v>0</v>
      </c>
    </row>
    <row r="64" spans="1:52" s="66" customFormat="1" ht="39.75" customHeight="1" thickBot="1" x14ac:dyDescent="0.2">
      <c r="A64" s="105"/>
      <c r="B64" s="105"/>
      <c r="C64" s="105"/>
      <c r="D64" s="105"/>
      <c r="E64" s="131"/>
      <c r="F64" s="105"/>
      <c r="G64" s="170"/>
      <c r="H64" s="158"/>
      <c r="I64" s="92">
        <v>0.7</v>
      </c>
      <c r="J64" s="41">
        <v>0.3</v>
      </c>
      <c r="K64" s="41"/>
      <c r="L64" s="42"/>
      <c r="M64" s="68"/>
      <c r="N64" s="94">
        <f t="shared" ref="N64:N127" si="24">SUM(I64:M64)</f>
        <v>1</v>
      </c>
      <c r="O64" s="125">
        <v>1</v>
      </c>
      <c r="P64" s="126">
        <v>15</v>
      </c>
      <c r="Q64" s="89">
        <v>15</v>
      </c>
      <c r="R64" s="89"/>
      <c r="S64" s="114"/>
      <c r="T64" s="70"/>
      <c r="U64" s="71">
        <f t="shared" si="8"/>
        <v>15</v>
      </c>
      <c r="V64" s="72">
        <f t="shared" si="9"/>
        <v>15</v>
      </c>
      <c r="W64" s="136"/>
      <c r="X64" s="136"/>
      <c r="Y64" s="85"/>
      <c r="Z64" s="139"/>
      <c r="AA64" s="74"/>
      <c r="AB64" s="71">
        <f t="shared" si="10"/>
        <v>0</v>
      </c>
      <c r="AC64" s="72">
        <f t="shared" si="11"/>
        <v>0</v>
      </c>
      <c r="AD64" s="124">
        <v>2</v>
      </c>
      <c r="AE64" s="71">
        <f t="shared" si="12"/>
        <v>2</v>
      </c>
      <c r="AF64" s="76"/>
      <c r="AG64" s="54"/>
      <c r="AH64" s="77">
        <f t="shared" si="13"/>
        <v>17</v>
      </c>
      <c r="AI64" s="56">
        <v>10</v>
      </c>
      <c r="AJ64" s="56">
        <v>10</v>
      </c>
      <c r="AK64" s="56">
        <v>45</v>
      </c>
      <c r="AL64" s="57">
        <f t="shared" si="14"/>
        <v>82</v>
      </c>
      <c r="AM64" s="55">
        <f t="shared" si="15"/>
        <v>82</v>
      </c>
      <c r="AN64" s="78">
        <f t="shared" si="16"/>
        <v>1.02</v>
      </c>
      <c r="AO64" s="79"/>
      <c r="AP64" s="80">
        <f t="shared" ref="AP64:AQ83" si="25">100%+AO64</f>
        <v>1</v>
      </c>
      <c r="AQ64" s="80">
        <f t="shared" si="25"/>
        <v>2</v>
      </c>
      <c r="AR64" s="61"/>
      <c r="AS64" s="62"/>
      <c r="AT64" s="81"/>
      <c r="AU64" s="81"/>
      <c r="AV64" s="81"/>
      <c r="AW64" s="81"/>
      <c r="AX64" s="82"/>
      <c r="AY64" s="83">
        <f t="shared" si="17"/>
        <v>0</v>
      </c>
      <c r="AZ64" s="83">
        <f t="shared" si="5"/>
        <v>0</v>
      </c>
    </row>
    <row r="65" spans="1:52" s="66" customFormat="1" ht="39.75" customHeight="1" thickBot="1" x14ac:dyDescent="0.2">
      <c r="A65" s="96"/>
      <c r="B65" s="91"/>
      <c r="C65" s="131"/>
      <c r="D65" s="122"/>
      <c r="E65" s="110"/>
      <c r="F65" s="110"/>
      <c r="G65" s="97"/>
      <c r="H65" s="158"/>
      <c r="I65" s="92">
        <v>0.7</v>
      </c>
      <c r="J65" s="41">
        <v>0.3</v>
      </c>
      <c r="K65" s="41"/>
      <c r="L65" s="42"/>
      <c r="M65" s="68"/>
      <c r="N65" s="69">
        <f t="shared" si="24"/>
        <v>1</v>
      </c>
      <c r="O65" s="125">
        <v>1</v>
      </c>
      <c r="P65" s="112">
        <v>15</v>
      </c>
      <c r="Q65" s="113">
        <v>15</v>
      </c>
      <c r="R65" s="133"/>
      <c r="S65" s="120"/>
      <c r="T65" s="70"/>
      <c r="U65" s="71">
        <f t="shared" si="8"/>
        <v>15</v>
      </c>
      <c r="V65" s="72">
        <f t="shared" si="9"/>
        <v>15</v>
      </c>
      <c r="W65" s="136"/>
      <c r="X65" s="136"/>
      <c r="Y65" s="136"/>
      <c r="Z65" s="146"/>
      <c r="AA65" s="74"/>
      <c r="AB65" s="75">
        <f t="shared" si="10"/>
        <v>0</v>
      </c>
      <c r="AC65" s="72">
        <f t="shared" si="11"/>
        <v>0</v>
      </c>
      <c r="AD65" s="124">
        <v>2</v>
      </c>
      <c r="AE65" s="71">
        <f t="shared" si="12"/>
        <v>2</v>
      </c>
      <c r="AF65" s="76"/>
      <c r="AG65" s="54"/>
      <c r="AH65" s="77">
        <f t="shared" si="13"/>
        <v>17</v>
      </c>
      <c r="AI65" s="56">
        <v>10</v>
      </c>
      <c r="AJ65" s="56">
        <v>10</v>
      </c>
      <c r="AK65" s="56">
        <v>45</v>
      </c>
      <c r="AL65" s="57">
        <f t="shared" si="14"/>
        <v>82</v>
      </c>
      <c r="AM65" s="55">
        <f t="shared" si="15"/>
        <v>82</v>
      </c>
      <c r="AN65" s="78">
        <f t="shared" si="16"/>
        <v>1.02</v>
      </c>
      <c r="AO65" s="79"/>
      <c r="AP65" s="80">
        <f t="shared" si="25"/>
        <v>1</v>
      </c>
      <c r="AQ65" s="80">
        <f t="shared" si="25"/>
        <v>2</v>
      </c>
      <c r="AR65" s="61"/>
      <c r="AS65" s="62"/>
      <c r="AT65" s="81"/>
      <c r="AU65" s="81"/>
      <c r="AV65" s="81"/>
      <c r="AW65" s="81"/>
      <c r="AX65" s="82"/>
      <c r="AY65" s="83">
        <f t="shared" si="17"/>
        <v>0</v>
      </c>
      <c r="AZ65" s="83">
        <f t="shared" si="5"/>
        <v>0</v>
      </c>
    </row>
    <row r="66" spans="1:52" s="66" customFormat="1" ht="39.75" customHeight="1" thickBot="1" x14ac:dyDescent="0.2">
      <c r="A66" s="96"/>
      <c r="B66" s="91"/>
      <c r="C66" s="131"/>
      <c r="D66" s="131"/>
      <c r="E66" s="131"/>
      <c r="F66" s="131"/>
      <c r="G66" s="170"/>
      <c r="H66" s="158"/>
      <c r="I66" s="92">
        <v>0.7</v>
      </c>
      <c r="J66" s="41">
        <v>0.3</v>
      </c>
      <c r="K66" s="41"/>
      <c r="L66" s="42"/>
      <c r="M66" s="147"/>
      <c r="N66" s="94">
        <f t="shared" si="24"/>
        <v>1</v>
      </c>
      <c r="O66" s="125">
        <v>1</v>
      </c>
      <c r="P66" s="112">
        <v>15</v>
      </c>
      <c r="Q66" s="113">
        <v>15</v>
      </c>
      <c r="R66" s="114"/>
      <c r="S66" s="120"/>
      <c r="T66" s="70"/>
      <c r="U66" s="71">
        <f t="shared" si="8"/>
        <v>15</v>
      </c>
      <c r="V66" s="72">
        <f t="shared" si="9"/>
        <v>15</v>
      </c>
      <c r="W66" s="137"/>
      <c r="X66" s="136"/>
      <c r="Y66" s="85"/>
      <c r="Z66" s="117"/>
      <c r="AA66" s="74"/>
      <c r="AB66" s="75">
        <f t="shared" si="10"/>
        <v>0</v>
      </c>
      <c r="AC66" s="72">
        <f t="shared" si="11"/>
        <v>0</v>
      </c>
      <c r="AD66" s="124">
        <v>2</v>
      </c>
      <c r="AE66" s="71">
        <f t="shared" si="12"/>
        <v>2</v>
      </c>
      <c r="AF66" s="76"/>
      <c r="AG66" s="54"/>
      <c r="AH66" s="77">
        <f t="shared" si="13"/>
        <v>17</v>
      </c>
      <c r="AI66" s="56">
        <v>10</v>
      </c>
      <c r="AJ66" s="56">
        <v>10</v>
      </c>
      <c r="AK66" s="56">
        <v>45</v>
      </c>
      <c r="AL66" s="57">
        <f t="shared" si="14"/>
        <v>82</v>
      </c>
      <c r="AM66" s="55">
        <f t="shared" si="15"/>
        <v>82</v>
      </c>
      <c r="AN66" s="78">
        <f t="shared" si="16"/>
        <v>1.02</v>
      </c>
      <c r="AO66" s="79"/>
      <c r="AP66" s="80">
        <f t="shared" si="25"/>
        <v>1</v>
      </c>
      <c r="AQ66" s="80">
        <f t="shared" si="25"/>
        <v>2</v>
      </c>
      <c r="AR66" s="61"/>
      <c r="AS66" s="62"/>
      <c r="AT66" s="81"/>
      <c r="AU66" s="81"/>
      <c r="AV66" s="81"/>
      <c r="AW66" s="81"/>
      <c r="AX66" s="82"/>
      <c r="AY66" s="83">
        <f t="shared" si="17"/>
        <v>0</v>
      </c>
      <c r="AZ66" s="83">
        <f t="shared" si="5"/>
        <v>0</v>
      </c>
    </row>
    <row r="67" spans="1:52" s="66" customFormat="1" ht="39.75" customHeight="1" thickBot="1" x14ac:dyDescent="0.2">
      <c r="A67" s="96"/>
      <c r="B67" s="91"/>
      <c r="C67" s="131"/>
      <c r="D67" s="131"/>
      <c r="E67" s="131"/>
      <c r="F67" s="131"/>
      <c r="G67" s="170"/>
      <c r="H67" s="158"/>
      <c r="I67" s="92">
        <v>0.7</v>
      </c>
      <c r="J67" s="41">
        <v>0.3</v>
      </c>
      <c r="K67" s="41"/>
      <c r="L67" s="42"/>
      <c r="M67" s="68"/>
      <c r="N67" s="94">
        <f t="shared" si="24"/>
        <v>1</v>
      </c>
      <c r="O67" s="125">
        <v>1</v>
      </c>
      <c r="P67" s="112">
        <v>15</v>
      </c>
      <c r="Q67" s="113">
        <v>15</v>
      </c>
      <c r="R67" s="113"/>
      <c r="S67" s="114"/>
      <c r="T67" s="70"/>
      <c r="U67" s="71">
        <f t="shared" si="8"/>
        <v>15</v>
      </c>
      <c r="V67" s="72">
        <f t="shared" si="9"/>
        <v>15</v>
      </c>
      <c r="W67" s="136"/>
      <c r="X67" s="117"/>
      <c r="Y67" s="136"/>
      <c r="Z67" s="117"/>
      <c r="AA67" s="74"/>
      <c r="AB67" s="75">
        <f t="shared" si="10"/>
        <v>0</v>
      </c>
      <c r="AC67" s="72">
        <f t="shared" si="11"/>
        <v>0</v>
      </c>
      <c r="AD67" s="124">
        <v>2</v>
      </c>
      <c r="AE67" s="71">
        <f t="shared" si="12"/>
        <v>2</v>
      </c>
      <c r="AF67" s="76"/>
      <c r="AG67" s="54"/>
      <c r="AH67" s="77">
        <f t="shared" si="13"/>
        <v>17</v>
      </c>
      <c r="AI67" s="56">
        <v>10</v>
      </c>
      <c r="AJ67" s="56">
        <v>10</v>
      </c>
      <c r="AK67" s="56">
        <v>45</v>
      </c>
      <c r="AL67" s="57">
        <f t="shared" si="14"/>
        <v>82</v>
      </c>
      <c r="AM67" s="55">
        <f t="shared" si="15"/>
        <v>82</v>
      </c>
      <c r="AN67" s="78">
        <f t="shared" si="16"/>
        <v>1.02</v>
      </c>
      <c r="AO67" s="79"/>
      <c r="AP67" s="80">
        <f t="shared" si="25"/>
        <v>1</v>
      </c>
      <c r="AQ67" s="80">
        <f t="shared" si="25"/>
        <v>2</v>
      </c>
      <c r="AR67" s="61"/>
      <c r="AS67" s="62"/>
      <c r="AT67" s="81"/>
      <c r="AU67" s="81"/>
      <c r="AV67" s="81"/>
      <c r="AW67" s="81"/>
      <c r="AX67" s="82"/>
      <c r="AY67" s="83">
        <f t="shared" si="17"/>
        <v>0</v>
      </c>
      <c r="AZ67" s="83">
        <f t="shared" si="5"/>
        <v>0</v>
      </c>
    </row>
    <row r="68" spans="1:52" s="66" customFormat="1" ht="39.75" customHeight="1" thickBot="1" x14ac:dyDescent="0.2">
      <c r="A68" s="96"/>
      <c r="B68" s="91"/>
      <c r="C68" s="108"/>
      <c r="D68" s="122"/>
      <c r="E68" s="122"/>
      <c r="F68" s="131"/>
      <c r="G68" s="170"/>
      <c r="H68" s="158"/>
      <c r="I68" s="92">
        <v>0.7</v>
      </c>
      <c r="J68" s="41">
        <v>0.3</v>
      </c>
      <c r="K68" s="41"/>
      <c r="L68" s="42"/>
      <c r="M68" s="68"/>
      <c r="N68" s="69">
        <f t="shared" si="24"/>
        <v>1</v>
      </c>
      <c r="O68" s="125">
        <v>1</v>
      </c>
      <c r="P68" s="112">
        <v>15</v>
      </c>
      <c r="Q68" s="113">
        <v>15</v>
      </c>
      <c r="R68" s="113"/>
      <c r="S68" s="120"/>
      <c r="T68" s="70"/>
      <c r="U68" s="71">
        <f t="shared" si="8"/>
        <v>15</v>
      </c>
      <c r="V68" s="72">
        <f t="shared" si="9"/>
        <v>15</v>
      </c>
      <c r="W68" s="117"/>
      <c r="X68" s="136"/>
      <c r="Y68" s="136"/>
      <c r="Z68" s="148"/>
      <c r="AA68" s="74"/>
      <c r="AB68" s="75">
        <f t="shared" si="10"/>
        <v>0</v>
      </c>
      <c r="AC68" s="72">
        <f t="shared" si="11"/>
        <v>0</v>
      </c>
      <c r="AD68" s="124">
        <v>2</v>
      </c>
      <c r="AE68" s="71">
        <f t="shared" si="12"/>
        <v>2</v>
      </c>
      <c r="AF68" s="76"/>
      <c r="AG68" s="54"/>
      <c r="AH68" s="77">
        <f t="shared" si="13"/>
        <v>17</v>
      </c>
      <c r="AI68" s="56">
        <v>10</v>
      </c>
      <c r="AJ68" s="56">
        <v>10</v>
      </c>
      <c r="AK68" s="56">
        <v>45</v>
      </c>
      <c r="AL68" s="57">
        <f t="shared" si="14"/>
        <v>82</v>
      </c>
      <c r="AM68" s="55">
        <f t="shared" si="15"/>
        <v>82</v>
      </c>
      <c r="AN68" s="78">
        <f t="shared" si="16"/>
        <v>1.02</v>
      </c>
      <c r="AO68" s="79"/>
      <c r="AP68" s="80">
        <f t="shared" si="25"/>
        <v>1</v>
      </c>
      <c r="AQ68" s="80">
        <f t="shared" si="25"/>
        <v>2</v>
      </c>
      <c r="AR68" s="61"/>
      <c r="AS68" s="62"/>
      <c r="AT68" s="81"/>
      <c r="AU68" s="81"/>
      <c r="AV68" s="81"/>
      <c r="AW68" s="81"/>
      <c r="AX68" s="82"/>
      <c r="AY68" s="83">
        <f t="shared" si="17"/>
        <v>0</v>
      </c>
      <c r="AZ68" s="83">
        <f t="shared" si="5"/>
        <v>0</v>
      </c>
    </row>
    <row r="69" spans="1:52" s="66" customFormat="1" ht="39.75" customHeight="1" thickBot="1" x14ac:dyDescent="0.2">
      <c r="A69" s="108"/>
      <c r="B69" s="108"/>
      <c r="C69" s="131"/>
      <c r="D69" s="109"/>
      <c r="E69" s="110"/>
      <c r="F69" s="129"/>
      <c r="G69" s="170"/>
      <c r="H69" s="158"/>
      <c r="I69" s="92">
        <v>0.7</v>
      </c>
      <c r="J69" s="41">
        <v>0.3</v>
      </c>
      <c r="K69" s="41"/>
      <c r="L69" s="42"/>
      <c r="M69" s="68"/>
      <c r="N69" s="94">
        <f t="shared" si="24"/>
        <v>1</v>
      </c>
      <c r="O69" s="125">
        <v>1</v>
      </c>
      <c r="P69" s="112">
        <v>15</v>
      </c>
      <c r="Q69" s="113">
        <v>15</v>
      </c>
      <c r="R69" s="113"/>
      <c r="S69" s="114"/>
      <c r="T69" s="70"/>
      <c r="U69" s="71">
        <f t="shared" si="8"/>
        <v>15</v>
      </c>
      <c r="V69" s="72">
        <f t="shared" si="9"/>
        <v>15</v>
      </c>
      <c r="W69" s="136"/>
      <c r="X69" s="119"/>
      <c r="Y69" s="85"/>
      <c r="Z69" s="139"/>
      <c r="AA69" s="74"/>
      <c r="AB69" s="75">
        <f t="shared" si="10"/>
        <v>0</v>
      </c>
      <c r="AC69" s="72">
        <f t="shared" si="11"/>
        <v>0</v>
      </c>
      <c r="AD69" s="124">
        <v>2</v>
      </c>
      <c r="AE69" s="71">
        <f t="shared" si="12"/>
        <v>2</v>
      </c>
      <c r="AF69" s="76"/>
      <c r="AG69" s="54"/>
      <c r="AH69" s="77">
        <f t="shared" si="13"/>
        <v>17</v>
      </c>
      <c r="AI69" s="56">
        <v>10</v>
      </c>
      <c r="AJ69" s="56">
        <v>10</v>
      </c>
      <c r="AK69" s="56">
        <v>45</v>
      </c>
      <c r="AL69" s="57">
        <f t="shared" si="14"/>
        <v>82</v>
      </c>
      <c r="AM69" s="55">
        <f t="shared" si="15"/>
        <v>82</v>
      </c>
      <c r="AN69" s="78">
        <f t="shared" si="16"/>
        <v>1.02</v>
      </c>
      <c r="AO69" s="79"/>
      <c r="AP69" s="80">
        <f t="shared" si="25"/>
        <v>1</v>
      </c>
      <c r="AQ69" s="80">
        <f t="shared" si="25"/>
        <v>2</v>
      </c>
      <c r="AR69" s="61"/>
      <c r="AS69" s="62"/>
      <c r="AT69" s="81"/>
      <c r="AU69" s="81"/>
      <c r="AV69" s="81"/>
      <c r="AW69" s="81"/>
      <c r="AX69" s="82"/>
      <c r="AY69" s="83">
        <f t="shared" si="17"/>
        <v>0</v>
      </c>
      <c r="AZ69" s="83">
        <f t="shared" si="5"/>
        <v>0</v>
      </c>
    </row>
    <row r="70" spans="1:52" s="66" customFormat="1" ht="39.75" customHeight="1" thickBot="1" x14ac:dyDescent="0.2">
      <c r="A70" s="155"/>
      <c r="B70" s="91"/>
      <c r="C70" s="129"/>
      <c r="D70" s="131"/>
      <c r="E70" s="109"/>
      <c r="F70" s="110"/>
      <c r="G70" s="170"/>
      <c r="H70" s="158"/>
      <c r="I70" s="92">
        <v>0.7</v>
      </c>
      <c r="J70" s="41">
        <v>0.3</v>
      </c>
      <c r="K70" s="41"/>
      <c r="L70" s="42"/>
      <c r="M70" s="147"/>
      <c r="N70" s="94">
        <f t="shared" si="24"/>
        <v>1</v>
      </c>
      <c r="O70" s="125">
        <v>1</v>
      </c>
      <c r="P70" s="112">
        <v>15</v>
      </c>
      <c r="Q70" s="113">
        <v>15</v>
      </c>
      <c r="R70" s="113"/>
      <c r="S70" s="114"/>
      <c r="T70" s="70"/>
      <c r="U70" s="71">
        <f t="shared" si="8"/>
        <v>15</v>
      </c>
      <c r="V70" s="72">
        <f t="shared" si="9"/>
        <v>15</v>
      </c>
      <c r="W70" s="136"/>
      <c r="X70" s="136"/>
      <c r="Y70" s="117"/>
      <c r="Z70" s="119"/>
      <c r="AA70" s="74"/>
      <c r="AB70" s="71">
        <f t="shared" si="10"/>
        <v>0</v>
      </c>
      <c r="AC70" s="72">
        <f t="shared" si="11"/>
        <v>0</v>
      </c>
      <c r="AD70" s="124">
        <v>2</v>
      </c>
      <c r="AE70" s="71">
        <f t="shared" si="12"/>
        <v>2</v>
      </c>
      <c r="AF70" s="76"/>
      <c r="AG70" s="54"/>
      <c r="AH70" s="77">
        <f t="shared" si="13"/>
        <v>17</v>
      </c>
      <c r="AI70" s="56">
        <v>10</v>
      </c>
      <c r="AJ70" s="56">
        <v>10</v>
      </c>
      <c r="AK70" s="56">
        <v>45</v>
      </c>
      <c r="AL70" s="57">
        <f t="shared" si="14"/>
        <v>82</v>
      </c>
      <c r="AM70" s="55">
        <f t="shared" si="15"/>
        <v>82</v>
      </c>
      <c r="AN70" s="78">
        <f t="shared" si="16"/>
        <v>1.02</v>
      </c>
      <c r="AO70" s="79"/>
      <c r="AP70" s="80">
        <f t="shared" si="25"/>
        <v>1</v>
      </c>
      <c r="AQ70" s="80">
        <f t="shared" si="25"/>
        <v>2</v>
      </c>
      <c r="AR70" s="61"/>
      <c r="AS70" s="62"/>
      <c r="AT70" s="81"/>
      <c r="AU70" s="81"/>
      <c r="AV70" s="81"/>
      <c r="AW70" s="81"/>
      <c r="AX70" s="82"/>
      <c r="AY70" s="83">
        <f t="shared" si="17"/>
        <v>0</v>
      </c>
      <c r="AZ70" s="83">
        <f t="shared" si="5"/>
        <v>0</v>
      </c>
    </row>
    <row r="71" spans="1:52" s="66" customFormat="1" ht="39.75" customHeight="1" thickBot="1" x14ac:dyDescent="0.2">
      <c r="A71" s="96"/>
      <c r="B71" s="91"/>
      <c r="C71" s="105"/>
      <c r="D71" s="131"/>
      <c r="E71" s="131"/>
      <c r="F71" s="131"/>
      <c r="G71" s="131"/>
      <c r="H71" s="158"/>
      <c r="I71" s="92">
        <v>0.7</v>
      </c>
      <c r="J71" s="41">
        <v>0.3</v>
      </c>
      <c r="K71" s="41"/>
      <c r="L71" s="42"/>
      <c r="M71" s="68"/>
      <c r="N71" s="94">
        <f t="shared" si="24"/>
        <v>1</v>
      </c>
      <c r="O71" s="125">
        <v>1</v>
      </c>
      <c r="P71" s="112">
        <v>15</v>
      </c>
      <c r="Q71" s="89">
        <v>15</v>
      </c>
      <c r="R71" s="114"/>
      <c r="S71" s="120"/>
      <c r="T71" s="70"/>
      <c r="U71" s="71">
        <f t="shared" si="8"/>
        <v>15</v>
      </c>
      <c r="V71" s="72">
        <f t="shared" si="9"/>
        <v>15</v>
      </c>
      <c r="W71" s="137"/>
      <c r="X71" s="139"/>
      <c r="Y71" s="148"/>
      <c r="Z71" s="116"/>
      <c r="AA71" s="139"/>
      <c r="AB71" s="71">
        <f t="shared" si="10"/>
        <v>0</v>
      </c>
      <c r="AC71" s="72">
        <f t="shared" si="11"/>
        <v>0</v>
      </c>
      <c r="AD71" s="124">
        <v>2</v>
      </c>
      <c r="AE71" s="71">
        <f t="shared" si="12"/>
        <v>2</v>
      </c>
      <c r="AF71" s="76"/>
      <c r="AG71" s="54"/>
      <c r="AH71" s="77">
        <f t="shared" si="13"/>
        <v>17</v>
      </c>
      <c r="AI71" s="56">
        <v>10</v>
      </c>
      <c r="AJ71" s="56">
        <v>10</v>
      </c>
      <c r="AK71" s="56">
        <v>45</v>
      </c>
      <c r="AL71" s="57">
        <f t="shared" si="14"/>
        <v>82</v>
      </c>
      <c r="AM71" s="55">
        <f t="shared" si="15"/>
        <v>82</v>
      </c>
      <c r="AN71" s="78">
        <f t="shared" si="16"/>
        <v>1.02</v>
      </c>
      <c r="AO71" s="79"/>
      <c r="AP71" s="80">
        <f t="shared" si="25"/>
        <v>1</v>
      </c>
      <c r="AQ71" s="80">
        <f t="shared" si="25"/>
        <v>2</v>
      </c>
      <c r="AR71" s="61"/>
      <c r="AS71" s="62"/>
      <c r="AT71" s="81"/>
      <c r="AU71" s="81"/>
      <c r="AV71" s="81"/>
      <c r="AW71" s="81"/>
      <c r="AX71" s="82"/>
      <c r="AY71" s="83">
        <f t="shared" si="17"/>
        <v>0</v>
      </c>
      <c r="AZ71" s="83">
        <f t="shared" si="5"/>
        <v>0</v>
      </c>
    </row>
    <row r="72" spans="1:52" s="66" customFormat="1" ht="39.75" customHeight="1" thickBot="1" x14ac:dyDescent="0.2">
      <c r="A72" s="96"/>
      <c r="B72" s="91"/>
      <c r="C72" s="131"/>
      <c r="D72" s="105"/>
      <c r="E72" s="98"/>
      <c r="F72" s="110"/>
      <c r="G72" s="170"/>
      <c r="H72" s="158"/>
      <c r="I72" s="92">
        <v>0.7</v>
      </c>
      <c r="J72" s="41">
        <v>0.3</v>
      </c>
      <c r="K72" s="41"/>
      <c r="L72" s="42"/>
      <c r="M72" s="68"/>
      <c r="N72" s="69">
        <f t="shared" si="24"/>
        <v>1</v>
      </c>
      <c r="O72" s="125">
        <v>1</v>
      </c>
      <c r="P72" s="112">
        <v>15</v>
      </c>
      <c r="Q72" s="113">
        <v>15</v>
      </c>
      <c r="R72" s="113"/>
      <c r="S72" s="114"/>
      <c r="T72" s="70"/>
      <c r="U72" s="71">
        <f t="shared" si="8"/>
        <v>15</v>
      </c>
      <c r="V72" s="72">
        <f t="shared" si="9"/>
        <v>15</v>
      </c>
      <c r="W72" s="139"/>
      <c r="X72" s="136"/>
      <c r="Y72" s="116"/>
      <c r="Z72" s="85"/>
      <c r="AA72" s="74"/>
      <c r="AB72" s="75">
        <f t="shared" si="10"/>
        <v>0</v>
      </c>
      <c r="AC72" s="72">
        <f t="shared" si="11"/>
        <v>0</v>
      </c>
      <c r="AD72" s="124">
        <v>2</v>
      </c>
      <c r="AE72" s="71">
        <f t="shared" si="12"/>
        <v>2</v>
      </c>
      <c r="AF72" s="76"/>
      <c r="AG72" s="54"/>
      <c r="AH72" s="77">
        <f t="shared" si="13"/>
        <v>17</v>
      </c>
      <c r="AI72" s="56">
        <v>10</v>
      </c>
      <c r="AJ72" s="56">
        <v>10</v>
      </c>
      <c r="AK72" s="56">
        <v>45</v>
      </c>
      <c r="AL72" s="57">
        <f t="shared" si="14"/>
        <v>82</v>
      </c>
      <c r="AM72" s="55">
        <f t="shared" si="15"/>
        <v>82</v>
      </c>
      <c r="AN72" s="78">
        <f t="shared" si="16"/>
        <v>1.02</v>
      </c>
      <c r="AO72" s="79"/>
      <c r="AP72" s="80">
        <f t="shared" si="25"/>
        <v>1</v>
      </c>
      <c r="AQ72" s="80">
        <f t="shared" si="25"/>
        <v>2</v>
      </c>
      <c r="AR72" s="61"/>
      <c r="AS72" s="62"/>
      <c r="AT72" s="81"/>
      <c r="AU72" s="81"/>
      <c r="AV72" s="81"/>
      <c r="AW72" s="81"/>
      <c r="AX72" s="82"/>
      <c r="AY72" s="83">
        <f t="shared" si="17"/>
        <v>0</v>
      </c>
      <c r="AZ72" s="83">
        <f t="shared" si="5"/>
        <v>0</v>
      </c>
    </row>
    <row r="73" spans="1:52" s="66" customFormat="1" ht="39.75" customHeight="1" thickBot="1" x14ac:dyDescent="0.2">
      <c r="A73" s="105"/>
      <c r="B73" s="105"/>
      <c r="C73" s="105"/>
      <c r="D73" s="105"/>
      <c r="E73" s="109"/>
      <c r="F73" s="110"/>
      <c r="G73" s="170"/>
      <c r="H73" s="158"/>
      <c r="I73" s="92">
        <v>0.7</v>
      </c>
      <c r="J73" s="41">
        <v>0.3</v>
      </c>
      <c r="K73" s="41"/>
      <c r="L73" s="42"/>
      <c r="M73" s="68"/>
      <c r="N73" s="94">
        <f t="shared" si="24"/>
        <v>1</v>
      </c>
      <c r="O73" s="125">
        <v>1</v>
      </c>
      <c r="P73" s="126">
        <v>15</v>
      </c>
      <c r="Q73" s="127">
        <v>15</v>
      </c>
      <c r="R73" s="89"/>
      <c r="S73" s="114"/>
      <c r="T73" s="70"/>
      <c r="U73" s="71">
        <f t="shared" si="8"/>
        <v>15</v>
      </c>
      <c r="V73" s="72">
        <f t="shared" si="9"/>
        <v>15</v>
      </c>
      <c r="W73" s="118"/>
      <c r="X73" s="117"/>
      <c r="Y73" s="119"/>
      <c r="Z73" s="85"/>
      <c r="AA73" s="74"/>
      <c r="AB73" s="75">
        <f t="shared" si="10"/>
        <v>0</v>
      </c>
      <c r="AC73" s="72">
        <f t="shared" si="11"/>
        <v>0</v>
      </c>
      <c r="AD73" s="124">
        <v>2</v>
      </c>
      <c r="AE73" s="71">
        <f t="shared" si="12"/>
        <v>2</v>
      </c>
      <c r="AF73" s="76"/>
      <c r="AG73" s="54"/>
      <c r="AH73" s="77">
        <f t="shared" si="13"/>
        <v>17</v>
      </c>
      <c r="AI73" s="56">
        <v>10</v>
      </c>
      <c r="AJ73" s="56">
        <v>10</v>
      </c>
      <c r="AK73" s="56">
        <v>45</v>
      </c>
      <c r="AL73" s="57">
        <f t="shared" si="14"/>
        <v>82</v>
      </c>
      <c r="AM73" s="55">
        <f t="shared" si="15"/>
        <v>82</v>
      </c>
      <c r="AN73" s="78">
        <f t="shared" si="16"/>
        <v>1.02</v>
      </c>
      <c r="AO73" s="79"/>
      <c r="AP73" s="80">
        <f t="shared" si="25"/>
        <v>1</v>
      </c>
      <c r="AQ73" s="80">
        <f t="shared" si="25"/>
        <v>2</v>
      </c>
      <c r="AR73" s="61"/>
      <c r="AS73" s="62"/>
      <c r="AT73" s="81"/>
      <c r="AU73" s="81"/>
      <c r="AV73" s="81"/>
      <c r="AW73" s="81"/>
      <c r="AX73" s="82"/>
      <c r="AY73" s="83">
        <f t="shared" si="17"/>
        <v>0</v>
      </c>
      <c r="AZ73" s="83">
        <f t="shared" si="5"/>
        <v>0</v>
      </c>
    </row>
    <row r="74" spans="1:52" s="66" customFormat="1" ht="39.75" customHeight="1" thickBot="1" x14ac:dyDescent="0.2">
      <c r="A74" s="96"/>
      <c r="B74" s="91"/>
      <c r="C74" s="105"/>
      <c r="D74" s="108"/>
      <c r="E74" s="108"/>
      <c r="F74" s="109"/>
      <c r="G74" s="170"/>
      <c r="H74" s="158"/>
      <c r="I74" s="92">
        <v>0.7</v>
      </c>
      <c r="J74" s="41">
        <v>0.3</v>
      </c>
      <c r="K74" s="41"/>
      <c r="L74" s="42"/>
      <c r="M74" s="68"/>
      <c r="N74" s="94">
        <f t="shared" si="24"/>
        <v>1</v>
      </c>
      <c r="O74" s="125">
        <v>1</v>
      </c>
      <c r="P74" s="112">
        <v>15</v>
      </c>
      <c r="Q74" s="113">
        <v>15</v>
      </c>
      <c r="R74" s="113"/>
      <c r="S74" s="120"/>
      <c r="T74" s="70"/>
      <c r="U74" s="71">
        <f t="shared" si="8"/>
        <v>15</v>
      </c>
      <c r="V74" s="72">
        <f t="shared" si="9"/>
        <v>15</v>
      </c>
      <c r="W74" s="136"/>
      <c r="X74" s="136"/>
      <c r="Y74" s="136"/>
      <c r="Z74" s="119"/>
      <c r="AA74" s="74"/>
      <c r="AB74" s="75">
        <f t="shared" si="10"/>
        <v>0</v>
      </c>
      <c r="AC74" s="72">
        <f t="shared" si="11"/>
        <v>0</v>
      </c>
      <c r="AD74" s="124">
        <v>2</v>
      </c>
      <c r="AE74" s="71">
        <f t="shared" si="12"/>
        <v>2</v>
      </c>
      <c r="AF74" s="76"/>
      <c r="AG74" s="54"/>
      <c r="AH74" s="77">
        <f t="shared" si="13"/>
        <v>17</v>
      </c>
      <c r="AI74" s="56">
        <v>10</v>
      </c>
      <c r="AJ74" s="56">
        <v>10</v>
      </c>
      <c r="AK74" s="56">
        <v>45</v>
      </c>
      <c r="AL74" s="57">
        <f t="shared" si="14"/>
        <v>82</v>
      </c>
      <c r="AM74" s="55">
        <f t="shared" si="15"/>
        <v>82</v>
      </c>
      <c r="AN74" s="78">
        <f t="shared" si="16"/>
        <v>1.02</v>
      </c>
      <c r="AO74" s="79"/>
      <c r="AP74" s="80">
        <f t="shared" si="25"/>
        <v>1</v>
      </c>
      <c r="AQ74" s="80">
        <f t="shared" si="25"/>
        <v>2</v>
      </c>
      <c r="AR74" s="61"/>
      <c r="AS74" s="62"/>
      <c r="AT74" s="81"/>
      <c r="AU74" s="81"/>
      <c r="AV74" s="81"/>
      <c r="AW74" s="81"/>
      <c r="AX74" s="82"/>
      <c r="AY74" s="83">
        <f t="shared" si="17"/>
        <v>0</v>
      </c>
      <c r="AZ74" s="83">
        <f t="shared" si="5"/>
        <v>0</v>
      </c>
    </row>
    <row r="75" spans="1:52" s="66" customFormat="1" ht="39.75" customHeight="1" thickBot="1" x14ac:dyDescent="0.2">
      <c r="A75" s="108"/>
      <c r="B75" s="108"/>
      <c r="C75" s="108"/>
      <c r="D75" s="108"/>
      <c r="E75" s="108"/>
      <c r="F75" s="109"/>
      <c r="G75" s="170"/>
      <c r="H75" s="158"/>
      <c r="I75" s="92">
        <v>0.7</v>
      </c>
      <c r="J75" s="41">
        <v>0.3</v>
      </c>
      <c r="K75" s="41"/>
      <c r="L75" s="42"/>
      <c r="M75" s="68"/>
      <c r="N75" s="94">
        <f t="shared" si="24"/>
        <v>1</v>
      </c>
      <c r="O75" s="125">
        <v>1</v>
      </c>
      <c r="P75" s="115">
        <v>15</v>
      </c>
      <c r="Q75" s="113">
        <v>14.48</v>
      </c>
      <c r="R75" s="113"/>
      <c r="S75" s="114"/>
      <c r="T75" s="70"/>
      <c r="U75" s="71">
        <f t="shared" si="8"/>
        <v>14.84</v>
      </c>
      <c r="V75" s="72">
        <f t="shared" si="9"/>
        <v>14.84</v>
      </c>
      <c r="W75" s="117"/>
      <c r="X75" s="117"/>
      <c r="Y75" s="118"/>
      <c r="Z75" s="117"/>
      <c r="AA75" s="74"/>
      <c r="AB75" s="75">
        <f t="shared" si="10"/>
        <v>0</v>
      </c>
      <c r="AC75" s="72">
        <f t="shared" si="11"/>
        <v>0</v>
      </c>
      <c r="AD75" s="124">
        <v>2</v>
      </c>
      <c r="AE75" s="71">
        <f t="shared" si="12"/>
        <v>2</v>
      </c>
      <c r="AF75" s="76"/>
      <c r="AG75" s="54"/>
      <c r="AH75" s="77">
        <f t="shared" si="13"/>
        <v>16.84</v>
      </c>
      <c r="AI75" s="56">
        <v>10</v>
      </c>
      <c r="AJ75" s="56">
        <v>10</v>
      </c>
      <c r="AK75" s="56">
        <v>45</v>
      </c>
      <c r="AL75" s="57">
        <f t="shared" si="14"/>
        <v>81.84</v>
      </c>
      <c r="AM75" s="55">
        <f t="shared" si="15"/>
        <v>81.84</v>
      </c>
      <c r="AN75" s="78">
        <f t="shared" si="16"/>
        <v>1.0207999999999999</v>
      </c>
      <c r="AO75" s="79"/>
      <c r="AP75" s="80">
        <f t="shared" si="25"/>
        <v>1</v>
      </c>
      <c r="AQ75" s="80">
        <f t="shared" si="25"/>
        <v>2</v>
      </c>
      <c r="AR75" s="61"/>
      <c r="AS75" s="62"/>
      <c r="AT75" s="81"/>
      <c r="AU75" s="81"/>
      <c r="AV75" s="81"/>
      <c r="AW75" s="81"/>
      <c r="AX75" s="82"/>
      <c r="AY75" s="83">
        <f t="shared" si="17"/>
        <v>0</v>
      </c>
      <c r="AZ75" s="83">
        <f t="shared" si="5"/>
        <v>0</v>
      </c>
    </row>
    <row r="76" spans="1:52" s="66" customFormat="1" ht="39.75" customHeight="1" thickBot="1" x14ac:dyDescent="0.2">
      <c r="A76" s="108"/>
      <c r="B76" s="108"/>
      <c r="C76" s="108"/>
      <c r="D76" s="108"/>
      <c r="E76" s="108"/>
      <c r="F76" s="109"/>
      <c r="G76" s="170"/>
      <c r="H76" s="158"/>
      <c r="I76" s="92">
        <v>0.7</v>
      </c>
      <c r="J76" s="41">
        <v>0.3</v>
      </c>
      <c r="K76" s="41"/>
      <c r="L76" s="42"/>
      <c r="M76" s="68"/>
      <c r="N76" s="94">
        <f t="shared" si="24"/>
        <v>1</v>
      </c>
      <c r="O76" s="125">
        <v>1</v>
      </c>
      <c r="P76" s="45">
        <v>15</v>
      </c>
      <c r="Q76" s="46">
        <v>15</v>
      </c>
      <c r="R76" s="46"/>
      <c r="S76" s="121"/>
      <c r="T76" s="70"/>
      <c r="U76" s="71">
        <f t="shared" si="8"/>
        <v>15</v>
      </c>
      <c r="V76" s="72">
        <f t="shared" si="9"/>
        <v>15</v>
      </c>
      <c r="W76" s="117"/>
      <c r="X76" s="117"/>
      <c r="Y76" s="117"/>
      <c r="Z76" s="116"/>
      <c r="AA76" s="74"/>
      <c r="AB76" s="75">
        <f t="shared" si="10"/>
        <v>0</v>
      </c>
      <c r="AC76" s="72">
        <f t="shared" si="11"/>
        <v>0</v>
      </c>
      <c r="AD76" s="52">
        <v>2</v>
      </c>
      <c r="AE76" s="71">
        <f t="shared" si="12"/>
        <v>2</v>
      </c>
      <c r="AF76" s="76"/>
      <c r="AG76" s="86"/>
      <c r="AH76" s="77">
        <f t="shared" si="13"/>
        <v>17</v>
      </c>
      <c r="AI76" s="56">
        <v>10</v>
      </c>
      <c r="AJ76" s="56">
        <v>10</v>
      </c>
      <c r="AK76" s="56">
        <v>45</v>
      </c>
      <c r="AL76" s="57">
        <f t="shared" si="14"/>
        <v>82</v>
      </c>
      <c r="AM76" s="55">
        <f t="shared" si="15"/>
        <v>82</v>
      </c>
      <c r="AN76" s="78">
        <f t="shared" si="16"/>
        <v>1.02</v>
      </c>
      <c r="AO76" s="79"/>
      <c r="AP76" s="80">
        <f t="shared" si="25"/>
        <v>1</v>
      </c>
      <c r="AQ76" s="80">
        <f t="shared" si="25"/>
        <v>2</v>
      </c>
      <c r="AR76" s="61"/>
      <c r="AS76" s="62"/>
      <c r="AT76" s="81"/>
      <c r="AU76" s="81"/>
      <c r="AV76" s="81"/>
      <c r="AW76" s="81"/>
      <c r="AX76" s="82"/>
      <c r="AY76" s="83">
        <f t="shared" si="17"/>
        <v>0</v>
      </c>
      <c r="AZ76" s="83">
        <f t="shared" si="5"/>
        <v>0</v>
      </c>
    </row>
    <row r="77" spans="1:52" s="66" customFormat="1" ht="39.75" customHeight="1" thickBot="1" x14ac:dyDescent="0.2">
      <c r="A77" s="108"/>
      <c r="B77" s="108"/>
      <c r="C77" s="108"/>
      <c r="D77" s="108"/>
      <c r="E77" s="108"/>
      <c r="F77" s="109"/>
      <c r="G77" s="170"/>
      <c r="H77" s="158"/>
      <c r="I77" s="92">
        <v>0.7</v>
      </c>
      <c r="J77" s="41">
        <v>0.3</v>
      </c>
      <c r="K77" s="41"/>
      <c r="L77" s="42"/>
      <c r="M77" s="68"/>
      <c r="N77" s="94">
        <f t="shared" si="24"/>
        <v>1</v>
      </c>
      <c r="O77" s="44">
        <v>1</v>
      </c>
      <c r="P77" s="45">
        <v>15</v>
      </c>
      <c r="Q77" s="46">
        <v>15</v>
      </c>
      <c r="R77" s="46"/>
      <c r="S77" s="121"/>
      <c r="T77" s="70"/>
      <c r="U77" s="71">
        <f t="shared" si="8"/>
        <v>15</v>
      </c>
      <c r="V77" s="72">
        <f t="shared" si="9"/>
        <v>15</v>
      </c>
      <c r="W77" s="117"/>
      <c r="X77" s="117"/>
      <c r="Y77" s="117"/>
      <c r="Z77" s="119"/>
      <c r="AA77" s="74"/>
      <c r="AB77" s="75">
        <f t="shared" si="10"/>
        <v>0</v>
      </c>
      <c r="AC77" s="72">
        <f t="shared" si="11"/>
        <v>0</v>
      </c>
      <c r="AD77" s="52">
        <v>2</v>
      </c>
      <c r="AE77" s="71">
        <f t="shared" si="12"/>
        <v>2</v>
      </c>
      <c r="AF77" s="76"/>
      <c r="AG77" s="86"/>
      <c r="AH77" s="77">
        <f t="shared" si="13"/>
        <v>17</v>
      </c>
      <c r="AI77" s="56">
        <v>10</v>
      </c>
      <c r="AJ77" s="56">
        <v>10</v>
      </c>
      <c r="AK77" s="56">
        <v>45</v>
      </c>
      <c r="AL77" s="57">
        <f t="shared" si="14"/>
        <v>82</v>
      </c>
      <c r="AM77" s="55">
        <f t="shared" si="15"/>
        <v>82</v>
      </c>
      <c r="AN77" s="78">
        <f t="shared" si="16"/>
        <v>1.02</v>
      </c>
      <c r="AO77" s="79"/>
      <c r="AP77" s="80">
        <f t="shared" si="25"/>
        <v>1</v>
      </c>
      <c r="AQ77" s="80">
        <f t="shared" si="25"/>
        <v>2</v>
      </c>
      <c r="AR77" s="61"/>
      <c r="AS77" s="62"/>
      <c r="AT77" s="81"/>
      <c r="AU77" s="81"/>
      <c r="AV77" s="81"/>
      <c r="AW77" s="81"/>
      <c r="AX77" s="82"/>
      <c r="AY77" s="83">
        <f t="shared" si="17"/>
        <v>0</v>
      </c>
      <c r="AZ77" s="83">
        <f t="shared" si="5"/>
        <v>0</v>
      </c>
    </row>
    <row r="78" spans="1:52" s="66" customFormat="1" ht="39.75" customHeight="1" thickBot="1" x14ac:dyDescent="0.2">
      <c r="A78" s="108"/>
      <c r="B78" s="108"/>
      <c r="C78" s="108"/>
      <c r="D78" s="108"/>
      <c r="E78" s="108"/>
      <c r="F78" s="109"/>
      <c r="G78" s="170"/>
      <c r="H78" s="158"/>
      <c r="I78" s="92">
        <v>0.7</v>
      </c>
      <c r="J78" s="41">
        <v>0.3</v>
      </c>
      <c r="K78" s="41"/>
      <c r="L78" s="42"/>
      <c r="M78" s="68"/>
      <c r="N78" s="94">
        <f t="shared" si="24"/>
        <v>1</v>
      </c>
      <c r="O78" s="44">
        <v>1</v>
      </c>
      <c r="P78" s="45">
        <v>15</v>
      </c>
      <c r="Q78" s="46">
        <v>15</v>
      </c>
      <c r="R78" s="46"/>
      <c r="S78" s="121"/>
      <c r="T78" s="70"/>
      <c r="U78" s="71">
        <f t="shared" si="8"/>
        <v>15</v>
      </c>
      <c r="V78" s="72">
        <f t="shared" si="9"/>
        <v>15</v>
      </c>
      <c r="W78" s="99"/>
      <c r="X78" s="100"/>
      <c r="Y78" s="85"/>
      <c r="Z78" s="95"/>
      <c r="AA78" s="74"/>
      <c r="AB78" s="75">
        <f t="shared" si="10"/>
        <v>0</v>
      </c>
      <c r="AC78" s="72">
        <f t="shared" si="11"/>
        <v>0</v>
      </c>
      <c r="AD78" s="52">
        <v>2</v>
      </c>
      <c r="AE78" s="71">
        <f t="shared" si="12"/>
        <v>2</v>
      </c>
      <c r="AF78" s="76"/>
      <c r="AG78" s="86"/>
      <c r="AH78" s="77">
        <f t="shared" si="13"/>
        <v>17</v>
      </c>
      <c r="AI78" s="56">
        <v>10</v>
      </c>
      <c r="AJ78" s="56">
        <v>10</v>
      </c>
      <c r="AK78" s="56">
        <v>45</v>
      </c>
      <c r="AL78" s="57">
        <f t="shared" si="14"/>
        <v>82</v>
      </c>
      <c r="AM78" s="55">
        <f t="shared" si="15"/>
        <v>82</v>
      </c>
      <c r="AN78" s="78">
        <f t="shared" si="16"/>
        <v>1.02</v>
      </c>
      <c r="AO78" s="79"/>
      <c r="AP78" s="80">
        <f t="shared" si="25"/>
        <v>1</v>
      </c>
      <c r="AQ78" s="80">
        <f t="shared" si="25"/>
        <v>2</v>
      </c>
      <c r="AR78" s="61"/>
      <c r="AS78" s="62"/>
      <c r="AT78" s="81"/>
      <c r="AU78" s="81"/>
      <c r="AV78" s="81"/>
      <c r="AW78" s="81"/>
      <c r="AX78" s="82"/>
      <c r="AY78" s="83">
        <f t="shared" si="17"/>
        <v>0</v>
      </c>
      <c r="AZ78" s="83">
        <f t="shared" si="5"/>
        <v>0</v>
      </c>
    </row>
    <row r="79" spans="1:52" s="66" customFormat="1" ht="39.75" customHeight="1" thickBot="1" x14ac:dyDescent="0.2">
      <c r="A79" s="108"/>
      <c r="B79" s="108"/>
      <c r="C79" s="108"/>
      <c r="D79" s="108"/>
      <c r="E79" s="108"/>
      <c r="F79" s="109"/>
      <c r="G79" s="170"/>
      <c r="H79" s="158"/>
      <c r="I79" s="92">
        <v>0.7</v>
      </c>
      <c r="J79" s="41">
        <v>0.3</v>
      </c>
      <c r="K79" s="41"/>
      <c r="L79" s="42"/>
      <c r="M79" s="68"/>
      <c r="N79" s="94">
        <f t="shared" si="24"/>
        <v>1</v>
      </c>
      <c r="O79" s="44">
        <v>1</v>
      </c>
      <c r="P79" s="45">
        <v>15</v>
      </c>
      <c r="Q79" s="46">
        <v>15</v>
      </c>
      <c r="R79" s="46"/>
      <c r="S79" s="121"/>
      <c r="T79" s="70"/>
      <c r="U79" s="71">
        <f t="shared" si="8"/>
        <v>15</v>
      </c>
      <c r="V79" s="72">
        <f t="shared" si="9"/>
        <v>15</v>
      </c>
      <c r="W79" s="99"/>
      <c r="X79" s="100"/>
      <c r="Y79" s="85"/>
      <c r="Z79" s="95"/>
      <c r="AA79" s="74"/>
      <c r="AB79" s="75">
        <f t="shared" si="10"/>
        <v>0</v>
      </c>
      <c r="AC79" s="72">
        <f t="shared" si="11"/>
        <v>0</v>
      </c>
      <c r="AD79" s="52">
        <v>2</v>
      </c>
      <c r="AE79" s="71">
        <f t="shared" si="12"/>
        <v>2</v>
      </c>
      <c r="AF79" s="76"/>
      <c r="AG79" s="86"/>
      <c r="AH79" s="77">
        <f t="shared" si="13"/>
        <v>17</v>
      </c>
      <c r="AI79" s="56">
        <v>10</v>
      </c>
      <c r="AJ79" s="56">
        <v>10</v>
      </c>
      <c r="AK79" s="56">
        <v>45</v>
      </c>
      <c r="AL79" s="57">
        <f t="shared" si="14"/>
        <v>82</v>
      </c>
      <c r="AM79" s="55">
        <f t="shared" si="15"/>
        <v>82</v>
      </c>
      <c r="AN79" s="78">
        <f t="shared" si="16"/>
        <v>1.02</v>
      </c>
      <c r="AO79" s="79"/>
      <c r="AP79" s="80">
        <f t="shared" si="25"/>
        <v>1</v>
      </c>
      <c r="AQ79" s="80">
        <f t="shared" si="25"/>
        <v>2</v>
      </c>
      <c r="AR79" s="61"/>
      <c r="AS79" s="62"/>
      <c r="AT79" s="81"/>
      <c r="AU79" s="81"/>
      <c r="AV79" s="81"/>
      <c r="AW79" s="81"/>
      <c r="AX79" s="82"/>
      <c r="AY79" s="83">
        <f t="shared" si="17"/>
        <v>0</v>
      </c>
      <c r="AZ79" s="83">
        <f t="shared" si="5"/>
        <v>0</v>
      </c>
    </row>
    <row r="80" spans="1:52" s="66" customFormat="1" ht="39.75" customHeight="1" thickBot="1" x14ac:dyDescent="0.2">
      <c r="A80" s="108"/>
      <c r="B80" s="108"/>
      <c r="C80" s="108"/>
      <c r="D80" s="108"/>
      <c r="E80" s="108"/>
      <c r="F80" s="105"/>
      <c r="G80" s="170"/>
      <c r="H80" s="158"/>
      <c r="I80" s="92">
        <v>0.7</v>
      </c>
      <c r="J80" s="41">
        <v>0.3</v>
      </c>
      <c r="K80" s="41"/>
      <c r="L80" s="42"/>
      <c r="M80" s="68"/>
      <c r="N80" s="94">
        <f t="shared" si="24"/>
        <v>1</v>
      </c>
      <c r="O80" s="44">
        <v>1</v>
      </c>
      <c r="P80" s="45">
        <v>15</v>
      </c>
      <c r="Q80" s="46">
        <v>15</v>
      </c>
      <c r="R80" s="46"/>
      <c r="S80" s="121"/>
      <c r="T80" s="70"/>
      <c r="U80" s="71">
        <f t="shared" si="8"/>
        <v>15</v>
      </c>
      <c r="V80" s="72">
        <f t="shared" si="9"/>
        <v>15</v>
      </c>
      <c r="W80" s="99"/>
      <c r="X80" s="100"/>
      <c r="Y80" s="85"/>
      <c r="Z80" s="95"/>
      <c r="AA80" s="74"/>
      <c r="AB80" s="75">
        <f t="shared" si="10"/>
        <v>0</v>
      </c>
      <c r="AC80" s="72">
        <f t="shared" si="11"/>
        <v>0</v>
      </c>
      <c r="AD80" s="52">
        <v>2</v>
      </c>
      <c r="AE80" s="71">
        <f t="shared" si="12"/>
        <v>2</v>
      </c>
      <c r="AF80" s="76"/>
      <c r="AG80" s="86"/>
      <c r="AH80" s="77">
        <f t="shared" si="13"/>
        <v>17</v>
      </c>
      <c r="AI80" s="56">
        <v>10</v>
      </c>
      <c r="AJ80" s="56">
        <v>10</v>
      </c>
      <c r="AK80" s="56">
        <v>45</v>
      </c>
      <c r="AL80" s="57">
        <f t="shared" si="14"/>
        <v>82</v>
      </c>
      <c r="AM80" s="55">
        <f t="shared" si="15"/>
        <v>82</v>
      </c>
      <c r="AN80" s="78">
        <f t="shared" si="16"/>
        <v>1.02</v>
      </c>
      <c r="AO80" s="79"/>
      <c r="AP80" s="80">
        <f t="shared" si="25"/>
        <v>1</v>
      </c>
      <c r="AQ80" s="80">
        <f t="shared" si="25"/>
        <v>2</v>
      </c>
      <c r="AR80" s="61"/>
      <c r="AS80" s="62"/>
      <c r="AT80" s="81"/>
      <c r="AU80" s="81"/>
      <c r="AV80" s="81"/>
      <c r="AW80" s="81"/>
      <c r="AX80" s="82"/>
      <c r="AY80" s="83">
        <f t="shared" si="17"/>
        <v>0</v>
      </c>
      <c r="AZ80" s="83">
        <f t="shared" si="5"/>
        <v>0</v>
      </c>
    </row>
    <row r="81" spans="1:52" s="66" customFormat="1" ht="39.75" customHeight="1" thickBot="1" x14ac:dyDescent="0.2">
      <c r="A81" s="108"/>
      <c r="B81" s="108"/>
      <c r="C81" s="108"/>
      <c r="D81" s="108"/>
      <c r="E81" s="108"/>
      <c r="F81" s="105"/>
      <c r="G81" s="170"/>
      <c r="H81" s="158"/>
      <c r="I81" s="92">
        <v>0.7</v>
      </c>
      <c r="J81" s="41">
        <v>0.3</v>
      </c>
      <c r="K81" s="41"/>
      <c r="L81" s="42"/>
      <c r="M81" s="68"/>
      <c r="N81" s="94">
        <f t="shared" si="24"/>
        <v>1</v>
      </c>
      <c r="O81" s="44">
        <v>1</v>
      </c>
      <c r="P81" s="45">
        <v>15</v>
      </c>
      <c r="Q81" s="46">
        <v>15</v>
      </c>
      <c r="R81" s="46"/>
      <c r="S81" s="121"/>
      <c r="T81" s="70"/>
      <c r="U81" s="71">
        <f t="shared" si="8"/>
        <v>15</v>
      </c>
      <c r="V81" s="72">
        <f t="shared" si="9"/>
        <v>15</v>
      </c>
      <c r="W81" s="99"/>
      <c r="X81" s="100"/>
      <c r="Y81" s="85"/>
      <c r="Z81" s="95"/>
      <c r="AA81" s="74"/>
      <c r="AB81" s="75">
        <f t="shared" si="10"/>
        <v>0</v>
      </c>
      <c r="AC81" s="72">
        <f t="shared" si="11"/>
        <v>0</v>
      </c>
      <c r="AD81" s="52">
        <v>2</v>
      </c>
      <c r="AE81" s="71">
        <f t="shared" si="12"/>
        <v>2</v>
      </c>
      <c r="AF81" s="76"/>
      <c r="AG81" s="86"/>
      <c r="AH81" s="77">
        <f t="shared" si="13"/>
        <v>17</v>
      </c>
      <c r="AI81" s="56">
        <v>10</v>
      </c>
      <c r="AJ81" s="56">
        <v>10</v>
      </c>
      <c r="AK81" s="56">
        <v>45</v>
      </c>
      <c r="AL81" s="57">
        <f t="shared" si="14"/>
        <v>82</v>
      </c>
      <c r="AM81" s="55">
        <f t="shared" si="15"/>
        <v>82</v>
      </c>
      <c r="AN81" s="78">
        <f t="shared" si="16"/>
        <v>1.02</v>
      </c>
      <c r="AO81" s="79"/>
      <c r="AP81" s="80">
        <f t="shared" si="25"/>
        <v>1</v>
      </c>
      <c r="AQ81" s="80">
        <f t="shared" si="25"/>
        <v>2</v>
      </c>
      <c r="AR81" s="61"/>
      <c r="AS81" s="62"/>
      <c r="AT81" s="81"/>
      <c r="AU81" s="81"/>
      <c r="AV81" s="81"/>
      <c r="AW81" s="81"/>
      <c r="AX81" s="82"/>
      <c r="AY81" s="83">
        <f t="shared" si="17"/>
        <v>0</v>
      </c>
      <c r="AZ81" s="83">
        <f t="shared" si="5"/>
        <v>0</v>
      </c>
    </row>
    <row r="82" spans="1:52" s="66" customFormat="1" ht="39.75" customHeight="1" thickBot="1" x14ac:dyDescent="0.2">
      <c r="A82" s="108"/>
      <c r="B82" s="108"/>
      <c r="C82" s="108"/>
      <c r="D82" s="108"/>
      <c r="E82" s="108"/>
      <c r="F82" s="105"/>
      <c r="G82" s="170"/>
      <c r="H82" s="158"/>
      <c r="I82" s="92">
        <v>0.7</v>
      </c>
      <c r="J82" s="41">
        <v>0.3</v>
      </c>
      <c r="K82" s="41"/>
      <c r="L82" s="42"/>
      <c r="M82" s="68"/>
      <c r="N82" s="94">
        <f t="shared" si="24"/>
        <v>1</v>
      </c>
      <c r="O82" s="44">
        <v>1</v>
      </c>
      <c r="P82" s="45">
        <v>15</v>
      </c>
      <c r="Q82" s="46">
        <v>15</v>
      </c>
      <c r="R82" s="46"/>
      <c r="S82" s="121"/>
      <c r="T82" s="70"/>
      <c r="U82" s="71">
        <f t="shared" si="8"/>
        <v>15</v>
      </c>
      <c r="V82" s="72">
        <f t="shared" si="9"/>
        <v>15</v>
      </c>
      <c r="W82" s="99"/>
      <c r="X82" s="100"/>
      <c r="Y82" s="85"/>
      <c r="Z82" s="95"/>
      <c r="AA82" s="74"/>
      <c r="AB82" s="75">
        <f t="shared" si="10"/>
        <v>0</v>
      </c>
      <c r="AC82" s="72">
        <f t="shared" si="11"/>
        <v>0</v>
      </c>
      <c r="AD82" s="52">
        <v>2</v>
      </c>
      <c r="AE82" s="71">
        <f t="shared" si="12"/>
        <v>2</v>
      </c>
      <c r="AF82" s="76"/>
      <c r="AG82" s="86"/>
      <c r="AH82" s="77">
        <f t="shared" si="13"/>
        <v>17</v>
      </c>
      <c r="AI82" s="56">
        <v>10</v>
      </c>
      <c r="AJ82" s="56">
        <v>10</v>
      </c>
      <c r="AK82" s="56">
        <v>45</v>
      </c>
      <c r="AL82" s="57">
        <f t="shared" si="14"/>
        <v>82</v>
      </c>
      <c r="AM82" s="55">
        <f t="shared" si="15"/>
        <v>82</v>
      </c>
      <c r="AN82" s="78">
        <f t="shared" si="16"/>
        <v>1.02</v>
      </c>
      <c r="AO82" s="79"/>
      <c r="AP82" s="80">
        <f t="shared" si="25"/>
        <v>1</v>
      </c>
      <c r="AQ82" s="80">
        <f t="shared" si="25"/>
        <v>2</v>
      </c>
      <c r="AR82" s="61"/>
      <c r="AS82" s="62"/>
      <c r="AT82" s="81"/>
      <c r="AU82" s="81"/>
      <c r="AV82" s="81"/>
      <c r="AW82" s="81"/>
      <c r="AX82" s="82"/>
      <c r="AY82" s="83">
        <f t="shared" si="17"/>
        <v>0</v>
      </c>
      <c r="AZ82" s="83">
        <f t="shared" si="5"/>
        <v>0</v>
      </c>
    </row>
    <row r="83" spans="1:52" s="66" customFormat="1" ht="39.75" customHeight="1" thickBot="1" x14ac:dyDescent="0.2">
      <c r="A83" s="108"/>
      <c r="B83" s="108"/>
      <c r="C83" s="108"/>
      <c r="D83" s="108"/>
      <c r="E83" s="108"/>
      <c r="F83" s="105"/>
      <c r="G83" s="170"/>
      <c r="H83" s="158"/>
      <c r="I83" s="92">
        <v>0.7</v>
      </c>
      <c r="J83" s="41">
        <v>0.3</v>
      </c>
      <c r="K83" s="41"/>
      <c r="L83" s="42"/>
      <c r="M83" s="68"/>
      <c r="N83" s="94">
        <f t="shared" si="24"/>
        <v>1</v>
      </c>
      <c r="O83" s="44">
        <v>1</v>
      </c>
      <c r="P83" s="45">
        <v>15</v>
      </c>
      <c r="Q83" s="46">
        <v>15</v>
      </c>
      <c r="R83" s="46"/>
      <c r="S83" s="121"/>
      <c r="T83" s="70"/>
      <c r="U83" s="71">
        <f t="shared" si="8"/>
        <v>15</v>
      </c>
      <c r="V83" s="72">
        <f t="shared" si="9"/>
        <v>15</v>
      </c>
      <c r="W83" s="99"/>
      <c r="X83" s="100"/>
      <c r="Y83" s="85"/>
      <c r="Z83" s="95"/>
      <c r="AA83" s="74"/>
      <c r="AB83" s="75">
        <f t="shared" si="10"/>
        <v>0</v>
      </c>
      <c r="AC83" s="72">
        <f t="shared" si="11"/>
        <v>0</v>
      </c>
      <c r="AD83" s="52">
        <v>2</v>
      </c>
      <c r="AE83" s="71">
        <f t="shared" si="12"/>
        <v>2</v>
      </c>
      <c r="AF83" s="76"/>
      <c r="AG83" s="86"/>
      <c r="AH83" s="77">
        <f t="shared" si="13"/>
        <v>17</v>
      </c>
      <c r="AI83" s="56">
        <v>10</v>
      </c>
      <c r="AJ83" s="56">
        <v>10</v>
      </c>
      <c r="AK83" s="56">
        <v>45</v>
      </c>
      <c r="AL83" s="57">
        <f t="shared" si="14"/>
        <v>82</v>
      </c>
      <c r="AM83" s="55">
        <f t="shared" si="15"/>
        <v>82</v>
      </c>
      <c r="AN83" s="78">
        <f t="shared" si="16"/>
        <v>1.02</v>
      </c>
      <c r="AO83" s="79"/>
      <c r="AP83" s="80">
        <f t="shared" si="25"/>
        <v>1</v>
      </c>
      <c r="AQ83" s="80">
        <f t="shared" si="25"/>
        <v>2</v>
      </c>
      <c r="AR83" s="61"/>
      <c r="AS83" s="62"/>
      <c r="AT83" s="81"/>
      <c r="AU83" s="81"/>
      <c r="AV83" s="81"/>
      <c r="AW83" s="81"/>
      <c r="AX83" s="82"/>
      <c r="AY83" s="83">
        <f t="shared" si="17"/>
        <v>0</v>
      </c>
      <c r="AZ83" s="83">
        <f t="shared" si="5"/>
        <v>0</v>
      </c>
    </row>
    <row r="84" spans="1:52" s="66" customFormat="1" ht="39.75" customHeight="1" thickBot="1" x14ac:dyDescent="0.2">
      <c r="A84" s="108"/>
      <c r="B84" s="108"/>
      <c r="C84" s="108"/>
      <c r="D84" s="108"/>
      <c r="E84" s="108"/>
      <c r="F84" s="105"/>
      <c r="G84" s="170"/>
      <c r="H84" s="158"/>
      <c r="I84" s="92">
        <v>0.7</v>
      </c>
      <c r="J84" s="41">
        <v>0.3</v>
      </c>
      <c r="K84" s="41"/>
      <c r="L84" s="42"/>
      <c r="M84" s="68"/>
      <c r="N84" s="94">
        <f t="shared" si="24"/>
        <v>1</v>
      </c>
      <c r="O84" s="44">
        <v>1</v>
      </c>
      <c r="P84" s="45">
        <v>15</v>
      </c>
      <c r="Q84" s="46">
        <v>15</v>
      </c>
      <c r="R84" s="46"/>
      <c r="S84" s="121"/>
      <c r="T84" s="70"/>
      <c r="U84" s="71">
        <f t="shared" si="8"/>
        <v>15</v>
      </c>
      <c r="V84" s="72">
        <f t="shared" si="9"/>
        <v>15</v>
      </c>
      <c r="W84" s="99"/>
      <c r="X84" s="100"/>
      <c r="Y84" s="85"/>
      <c r="Z84" s="95"/>
      <c r="AA84" s="74"/>
      <c r="AB84" s="75">
        <f t="shared" si="10"/>
        <v>0</v>
      </c>
      <c r="AC84" s="72">
        <f t="shared" si="11"/>
        <v>0</v>
      </c>
      <c r="AD84" s="52">
        <v>2</v>
      </c>
      <c r="AE84" s="71">
        <f t="shared" si="12"/>
        <v>2</v>
      </c>
      <c r="AF84" s="76"/>
      <c r="AG84" s="86"/>
      <c r="AH84" s="77">
        <f t="shared" si="13"/>
        <v>17</v>
      </c>
      <c r="AI84" s="56">
        <v>10</v>
      </c>
      <c r="AJ84" s="56">
        <v>10</v>
      </c>
      <c r="AK84" s="56">
        <v>45</v>
      </c>
      <c r="AL84" s="57">
        <f t="shared" si="14"/>
        <v>82</v>
      </c>
      <c r="AM84" s="55">
        <f t="shared" si="15"/>
        <v>82</v>
      </c>
      <c r="AN84" s="78">
        <f t="shared" si="16"/>
        <v>1.02</v>
      </c>
      <c r="AO84" s="79"/>
      <c r="AP84" s="80">
        <f t="shared" ref="AP84:AQ103" si="26">100%+AO84</f>
        <v>1</v>
      </c>
      <c r="AQ84" s="80">
        <f t="shared" si="26"/>
        <v>2</v>
      </c>
      <c r="AR84" s="61"/>
      <c r="AS84" s="62"/>
      <c r="AT84" s="81"/>
      <c r="AU84" s="81"/>
      <c r="AV84" s="81"/>
      <c r="AW84" s="81"/>
      <c r="AX84" s="82"/>
      <c r="AY84" s="83">
        <f t="shared" si="17"/>
        <v>0</v>
      </c>
      <c r="AZ84" s="83">
        <f t="shared" si="5"/>
        <v>0</v>
      </c>
    </row>
    <row r="85" spans="1:52" s="66" customFormat="1" ht="39.75" customHeight="1" thickBot="1" x14ac:dyDescent="0.2">
      <c r="A85" s="108"/>
      <c r="B85" s="108"/>
      <c r="C85" s="108"/>
      <c r="D85" s="108"/>
      <c r="E85" s="108"/>
      <c r="F85" s="105"/>
      <c r="G85" s="170"/>
      <c r="H85" s="158"/>
      <c r="I85" s="92">
        <v>0.7</v>
      </c>
      <c r="J85" s="41">
        <v>0.3</v>
      </c>
      <c r="K85" s="41"/>
      <c r="L85" s="42"/>
      <c r="M85" s="68"/>
      <c r="N85" s="94">
        <f t="shared" si="24"/>
        <v>1</v>
      </c>
      <c r="O85" s="44">
        <v>1</v>
      </c>
      <c r="P85" s="45">
        <v>15</v>
      </c>
      <c r="Q85" s="46">
        <v>15</v>
      </c>
      <c r="R85" s="46"/>
      <c r="S85" s="121"/>
      <c r="T85" s="70"/>
      <c r="U85" s="71">
        <f t="shared" si="8"/>
        <v>15</v>
      </c>
      <c r="V85" s="72">
        <f t="shared" si="9"/>
        <v>15</v>
      </c>
      <c r="W85" s="99"/>
      <c r="X85" s="100"/>
      <c r="Y85" s="85"/>
      <c r="Z85" s="95"/>
      <c r="AA85" s="74"/>
      <c r="AB85" s="75">
        <f t="shared" si="10"/>
        <v>0</v>
      </c>
      <c r="AC85" s="72">
        <f t="shared" si="11"/>
        <v>0</v>
      </c>
      <c r="AD85" s="52">
        <v>2</v>
      </c>
      <c r="AE85" s="71">
        <f t="shared" si="12"/>
        <v>2</v>
      </c>
      <c r="AF85" s="76"/>
      <c r="AG85" s="86"/>
      <c r="AH85" s="77">
        <f t="shared" si="13"/>
        <v>17</v>
      </c>
      <c r="AI85" s="56">
        <v>10</v>
      </c>
      <c r="AJ85" s="56">
        <v>10</v>
      </c>
      <c r="AK85" s="56">
        <v>45</v>
      </c>
      <c r="AL85" s="57">
        <f t="shared" si="14"/>
        <v>82</v>
      </c>
      <c r="AM85" s="55">
        <f t="shared" si="15"/>
        <v>82</v>
      </c>
      <c r="AN85" s="78">
        <f t="shared" si="16"/>
        <v>1.02</v>
      </c>
      <c r="AO85" s="79"/>
      <c r="AP85" s="80">
        <f t="shared" si="26"/>
        <v>1</v>
      </c>
      <c r="AQ85" s="80">
        <f t="shared" si="26"/>
        <v>2</v>
      </c>
      <c r="AR85" s="61"/>
      <c r="AS85" s="62"/>
      <c r="AT85" s="81"/>
      <c r="AU85" s="81"/>
      <c r="AV85" s="81"/>
      <c r="AW85" s="81"/>
      <c r="AX85" s="82"/>
      <c r="AY85" s="83">
        <f t="shared" si="17"/>
        <v>0</v>
      </c>
      <c r="AZ85" s="83">
        <f t="shared" si="5"/>
        <v>0</v>
      </c>
    </row>
    <row r="86" spans="1:52" s="66" customFormat="1" ht="39.75" customHeight="1" thickBot="1" x14ac:dyDescent="0.2">
      <c r="A86" s="106"/>
      <c r="B86" s="106"/>
      <c r="C86" s="106"/>
      <c r="D86" s="106"/>
      <c r="E86" s="106"/>
      <c r="F86" s="105"/>
      <c r="G86" s="170"/>
      <c r="H86" s="158"/>
      <c r="I86" s="92">
        <v>0.7</v>
      </c>
      <c r="J86" s="41">
        <v>0.3</v>
      </c>
      <c r="K86" s="41"/>
      <c r="L86" s="42"/>
      <c r="M86" s="68"/>
      <c r="N86" s="94">
        <f t="shared" si="24"/>
        <v>1</v>
      </c>
      <c r="O86" s="44">
        <v>1</v>
      </c>
      <c r="P86" s="45">
        <v>15</v>
      </c>
      <c r="Q86" s="46">
        <v>15</v>
      </c>
      <c r="R86" s="46"/>
      <c r="S86" s="121"/>
      <c r="T86" s="70"/>
      <c r="U86" s="71">
        <f t="shared" si="8"/>
        <v>15</v>
      </c>
      <c r="V86" s="72">
        <f t="shared" si="9"/>
        <v>15</v>
      </c>
      <c r="W86" s="99"/>
      <c r="X86" s="100"/>
      <c r="Y86" s="85"/>
      <c r="Z86" s="95"/>
      <c r="AA86" s="74"/>
      <c r="AB86" s="75">
        <f t="shared" si="10"/>
        <v>0</v>
      </c>
      <c r="AC86" s="72">
        <f t="shared" si="11"/>
        <v>0</v>
      </c>
      <c r="AD86" s="52">
        <v>2</v>
      </c>
      <c r="AE86" s="71">
        <f t="shared" si="12"/>
        <v>2</v>
      </c>
      <c r="AF86" s="76"/>
      <c r="AG86" s="86"/>
      <c r="AH86" s="77">
        <f t="shared" si="13"/>
        <v>17</v>
      </c>
      <c r="AI86" s="56">
        <v>10</v>
      </c>
      <c r="AJ86" s="56">
        <v>10</v>
      </c>
      <c r="AK86" s="56">
        <v>45</v>
      </c>
      <c r="AL86" s="57">
        <f t="shared" si="14"/>
        <v>82</v>
      </c>
      <c r="AM86" s="55">
        <f t="shared" si="15"/>
        <v>82</v>
      </c>
      <c r="AN86" s="78">
        <f t="shared" si="16"/>
        <v>1.02</v>
      </c>
      <c r="AO86" s="79"/>
      <c r="AP86" s="80">
        <f t="shared" si="26"/>
        <v>1</v>
      </c>
      <c r="AQ86" s="80">
        <f t="shared" si="26"/>
        <v>2</v>
      </c>
      <c r="AR86" s="61"/>
      <c r="AS86" s="62"/>
      <c r="AT86" s="81"/>
      <c r="AU86" s="81"/>
      <c r="AV86" s="81"/>
      <c r="AW86" s="81"/>
      <c r="AX86" s="82"/>
      <c r="AY86" s="83">
        <f t="shared" si="17"/>
        <v>0</v>
      </c>
      <c r="AZ86" s="83">
        <f t="shared" si="5"/>
        <v>0</v>
      </c>
    </row>
    <row r="87" spans="1:52" s="66" customFormat="1" ht="39.75" customHeight="1" thickBot="1" x14ac:dyDescent="0.2">
      <c r="A87" s="106"/>
      <c r="B87" s="106"/>
      <c r="C87" s="106"/>
      <c r="D87" s="106"/>
      <c r="E87" s="106"/>
      <c r="F87" s="105"/>
      <c r="G87" s="170"/>
      <c r="H87" s="158"/>
      <c r="I87" s="92">
        <v>0.7</v>
      </c>
      <c r="J87" s="41">
        <v>0.3</v>
      </c>
      <c r="K87" s="41"/>
      <c r="L87" s="42"/>
      <c r="M87" s="68"/>
      <c r="N87" s="94">
        <f t="shared" si="24"/>
        <v>1</v>
      </c>
      <c r="O87" s="44">
        <v>1</v>
      </c>
      <c r="P87" s="45">
        <v>15</v>
      </c>
      <c r="Q87" s="46">
        <v>15</v>
      </c>
      <c r="R87" s="46"/>
      <c r="S87" s="121"/>
      <c r="T87" s="70"/>
      <c r="U87" s="71">
        <f t="shared" si="8"/>
        <v>15</v>
      </c>
      <c r="V87" s="72">
        <f t="shared" si="9"/>
        <v>15</v>
      </c>
      <c r="W87" s="99"/>
      <c r="X87" s="100"/>
      <c r="Y87" s="85"/>
      <c r="Z87" s="95"/>
      <c r="AA87" s="74"/>
      <c r="AB87" s="75">
        <f t="shared" si="10"/>
        <v>0</v>
      </c>
      <c r="AC87" s="72">
        <f t="shared" si="11"/>
        <v>0</v>
      </c>
      <c r="AD87" s="52">
        <v>2</v>
      </c>
      <c r="AE87" s="71">
        <f t="shared" si="12"/>
        <v>2</v>
      </c>
      <c r="AF87" s="76"/>
      <c r="AG87" s="86"/>
      <c r="AH87" s="77">
        <f t="shared" si="13"/>
        <v>17</v>
      </c>
      <c r="AI87" s="56">
        <v>10</v>
      </c>
      <c r="AJ87" s="56">
        <v>10</v>
      </c>
      <c r="AK87" s="56">
        <v>45</v>
      </c>
      <c r="AL87" s="57">
        <f t="shared" si="14"/>
        <v>82</v>
      </c>
      <c r="AM87" s="55">
        <f t="shared" si="15"/>
        <v>82</v>
      </c>
      <c r="AN87" s="78">
        <f t="shared" si="16"/>
        <v>1.02</v>
      </c>
      <c r="AO87" s="79"/>
      <c r="AP87" s="80">
        <f t="shared" si="26"/>
        <v>1</v>
      </c>
      <c r="AQ87" s="80">
        <f t="shared" si="26"/>
        <v>2</v>
      </c>
      <c r="AR87" s="61"/>
      <c r="AS87" s="62"/>
      <c r="AT87" s="81"/>
      <c r="AU87" s="81"/>
      <c r="AV87" s="81"/>
      <c r="AW87" s="81"/>
      <c r="AX87" s="82"/>
      <c r="AY87" s="83">
        <f t="shared" si="17"/>
        <v>0</v>
      </c>
      <c r="AZ87" s="83">
        <f t="shared" si="5"/>
        <v>0</v>
      </c>
    </row>
    <row r="88" spans="1:52" s="66" customFormat="1" ht="39.75" customHeight="1" thickBot="1" x14ac:dyDescent="0.2">
      <c r="A88" s="101"/>
      <c r="B88" s="101"/>
      <c r="C88" s="108"/>
      <c r="D88" s="108"/>
      <c r="E88" s="108"/>
      <c r="F88" s="105"/>
      <c r="G88" s="170"/>
      <c r="H88" s="158"/>
      <c r="I88" s="92">
        <v>0.7</v>
      </c>
      <c r="J88" s="41">
        <v>0.3</v>
      </c>
      <c r="K88" s="41"/>
      <c r="L88" s="42"/>
      <c r="M88" s="68"/>
      <c r="N88" s="94">
        <f t="shared" si="24"/>
        <v>1</v>
      </c>
      <c r="O88" s="44">
        <v>1</v>
      </c>
      <c r="P88" s="45">
        <v>15</v>
      </c>
      <c r="Q88" s="46">
        <v>15</v>
      </c>
      <c r="R88" s="46"/>
      <c r="S88" s="121"/>
      <c r="T88" s="70"/>
      <c r="U88" s="71">
        <f t="shared" si="8"/>
        <v>15</v>
      </c>
      <c r="V88" s="72">
        <f t="shared" si="9"/>
        <v>15</v>
      </c>
      <c r="W88" s="99"/>
      <c r="X88" s="100"/>
      <c r="Y88" s="85"/>
      <c r="Z88" s="95"/>
      <c r="AA88" s="74"/>
      <c r="AB88" s="75">
        <f t="shared" si="10"/>
        <v>0</v>
      </c>
      <c r="AC88" s="72">
        <f t="shared" si="11"/>
        <v>0</v>
      </c>
      <c r="AD88" s="52">
        <v>2</v>
      </c>
      <c r="AE88" s="71">
        <f t="shared" si="12"/>
        <v>2</v>
      </c>
      <c r="AF88" s="76"/>
      <c r="AG88" s="86"/>
      <c r="AH88" s="77">
        <f t="shared" si="13"/>
        <v>17</v>
      </c>
      <c r="AI88" s="56">
        <v>10</v>
      </c>
      <c r="AJ88" s="56">
        <v>10</v>
      </c>
      <c r="AK88" s="56">
        <v>45</v>
      </c>
      <c r="AL88" s="57">
        <f t="shared" si="14"/>
        <v>82</v>
      </c>
      <c r="AM88" s="55">
        <f t="shared" si="15"/>
        <v>82</v>
      </c>
      <c r="AN88" s="78">
        <f t="shared" si="16"/>
        <v>1.02</v>
      </c>
      <c r="AO88" s="79"/>
      <c r="AP88" s="80">
        <f t="shared" si="26"/>
        <v>1</v>
      </c>
      <c r="AQ88" s="80">
        <f t="shared" si="26"/>
        <v>2</v>
      </c>
      <c r="AR88" s="61"/>
      <c r="AS88" s="62"/>
      <c r="AT88" s="81"/>
      <c r="AU88" s="81"/>
      <c r="AV88" s="81"/>
      <c r="AW88" s="81"/>
      <c r="AX88" s="82"/>
      <c r="AY88" s="83">
        <f t="shared" si="17"/>
        <v>0</v>
      </c>
      <c r="AZ88" s="83">
        <f t="shared" si="5"/>
        <v>0</v>
      </c>
    </row>
    <row r="89" spans="1:52" s="66" customFormat="1" ht="39.75" customHeight="1" thickBot="1" x14ac:dyDescent="0.2">
      <c r="A89" s="101"/>
      <c r="B89" s="101"/>
      <c r="C89" s="108"/>
      <c r="D89" s="108"/>
      <c r="E89" s="108"/>
      <c r="F89" s="110"/>
      <c r="G89" s="169"/>
      <c r="H89" s="158"/>
      <c r="I89" s="92">
        <v>0.7</v>
      </c>
      <c r="J89" s="41">
        <v>0.3</v>
      </c>
      <c r="K89" s="41"/>
      <c r="L89" s="42"/>
      <c r="M89" s="68"/>
      <c r="N89" s="94">
        <f t="shared" si="24"/>
        <v>1</v>
      </c>
      <c r="O89" s="44">
        <v>1</v>
      </c>
      <c r="P89" s="45">
        <v>15</v>
      </c>
      <c r="Q89" s="46">
        <v>15</v>
      </c>
      <c r="R89" s="46"/>
      <c r="S89" s="121"/>
      <c r="T89" s="70"/>
      <c r="U89" s="71">
        <f t="shared" si="8"/>
        <v>15</v>
      </c>
      <c r="V89" s="72">
        <f t="shared" si="9"/>
        <v>15</v>
      </c>
      <c r="W89" s="99"/>
      <c r="X89" s="100"/>
      <c r="Y89" s="85"/>
      <c r="Z89" s="95"/>
      <c r="AA89" s="74"/>
      <c r="AB89" s="75">
        <f t="shared" si="10"/>
        <v>0</v>
      </c>
      <c r="AC89" s="72">
        <f t="shared" si="11"/>
        <v>0</v>
      </c>
      <c r="AD89" s="52">
        <v>2</v>
      </c>
      <c r="AE89" s="71">
        <f t="shared" si="12"/>
        <v>2</v>
      </c>
      <c r="AF89" s="76"/>
      <c r="AG89" s="86"/>
      <c r="AH89" s="77">
        <f t="shared" si="13"/>
        <v>17</v>
      </c>
      <c r="AI89" s="56">
        <v>10</v>
      </c>
      <c r="AJ89" s="56">
        <v>10</v>
      </c>
      <c r="AK89" s="56">
        <v>45</v>
      </c>
      <c r="AL89" s="57">
        <f t="shared" si="14"/>
        <v>82</v>
      </c>
      <c r="AM89" s="55">
        <f t="shared" si="15"/>
        <v>82</v>
      </c>
      <c r="AN89" s="78">
        <f t="shared" si="16"/>
        <v>1.02</v>
      </c>
      <c r="AO89" s="79"/>
      <c r="AP89" s="80">
        <f t="shared" si="26"/>
        <v>1</v>
      </c>
      <c r="AQ89" s="80">
        <f t="shared" si="26"/>
        <v>2</v>
      </c>
      <c r="AR89" s="61"/>
      <c r="AS89" s="62"/>
      <c r="AT89" s="81"/>
      <c r="AU89" s="81"/>
      <c r="AV89" s="81"/>
      <c r="AW89" s="81"/>
      <c r="AX89" s="82"/>
      <c r="AY89" s="83">
        <f t="shared" si="17"/>
        <v>0</v>
      </c>
      <c r="AZ89" s="83">
        <f t="shared" ref="AZ89:AZ151" si="27">(AT89*I89)+(AU89*J89)+(AV89*K89)+(AW89*L89)+(AX89*M89)</f>
        <v>0</v>
      </c>
    </row>
    <row r="90" spans="1:52" s="66" customFormat="1" ht="39.75" customHeight="1" thickBot="1" x14ac:dyDescent="0.2">
      <c r="A90" s="101"/>
      <c r="B90" s="101"/>
      <c r="C90" s="101"/>
      <c r="D90" s="101"/>
      <c r="E90" s="101"/>
      <c r="F90" s="40"/>
      <c r="G90" s="90"/>
      <c r="H90" s="158"/>
      <c r="I90" s="92">
        <v>0.7</v>
      </c>
      <c r="J90" s="41">
        <v>0.3</v>
      </c>
      <c r="K90" s="41"/>
      <c r="L90" s="42"/>
      <c r="M90" s="68"/>
      <c r="N90" s="94">
        <f t="shared" si="24"/>
        <v>1</v>
      </c>
      <c r="O90" s="44">
        <v>1</v>
      </c>
      <c r="P90" s="45">
        <v>15</v>
      </c>
      <c r="Q90" s="46">
        <v>15</v>
      </c>
      <c r="R90" s="46"/>
      <c r="S90" s="121"/>
      <c r="T90" s="70"/>
      <c r="U90" s="71">
        <f t="shared" si="8"/>
        <v>15</v>
      </c>
      <c r="V90" s="72">
        <f t="shared" si="9"/>
        <v>15</v>
      </c>
      <c r="W90" s="99"/>
      <c r="X90" s="100"/>
      <c r="Y90" s="85"/>
      <c r="Z90" s="95"/>
      <c r="AA90" s="74"/>
      <c r="AB90" s="75">
        <f t="shared" si="10"/>
        <v>0</v>
      </c>
      <c r="AC90" s="72">
        <f t="shared" si="11"/>
        <v>0</v>
      </c>
      <c r="AD90" s="52">
        <v>2</v>
      </c>
      <c r="AE90" s="71">
        <f t="shared" si="12"/>
        <v>2</v>
      </c>
      <c r="AF90" s="76"/>
      <c r="AG90" s="86"/>
      <c r="AH90" s="77">
        <f t="shared" si="13"/>
        <v>17</v>
      </c>
      <c r="AI90" s="56">
        <v>10</v>
      </c>
      <c r="AJ90" s="56">
        <v>10</v>
      </c>
      <c r="AK90" s="56">
        <v>45</v>
      </c>
      <c r="AL90" s="57">
        <f t="shared" si="14"/>
        <v>82</v>
      </c>
      <c r="AM90" s="55">
        <f t="shared" si="15"/>
        <v>82</v>
      </c>
      <c r="AN90" s="78">
        <f t="shared" si="16"/>
        <v>1.02</v>
      </c>
      <c r="AO90" s="79"/>
      <c r="AP90" s="80">
        <f t="shared" si="26"/>
        <v>1</v>
      </c>
      <c r="AQ90" s="80">
        <f t="shared" si="26"/>
        <v>2</v>
      </c>
      <c r="AR90" s="61"/>
      <c r="AS90" s="62"/>
      <c r="AT90" s="81"/>
      <c r="AU90" s="81"/>
      <c r="AV90" s="81"/>
      <c r="AW90" s="81"/>
      <c r="AX90" s="82"/>
      <c r="AY90" s="83">
        <f t="shared" si="17"/>
        <v>0</v>
      </c>
      <c r="AZ90" s="83">
        <f t="shared" si="27"/>
        <v>0</v>
      </c>
    </row>
    <row r="91" spans="1:52" s="66" customFormat="1" ht="39.75" customHeight="1" thickBot="1" x14ac:dyDescent="0.2">
      <c r="A91" s="101"/>
      <c r="B91" s="101"/>
      <c r="C91" s="101"/>
      <c r="D91" s="101"/>
      <c r="E91" s="101"/>
      <c r="F91" s="40"/>
      <c r="G91" s="90"/>
      <c r="H91" s="158"/>
      <c r="I91" s="92">
        <v>0.7</v>
      </c>
      <c r="J91" s="41">
        <v>0.3</v>
      </c>
      <c r="K91" s="41"/>
      <c r="L91" s="42"/>
      <c r="M91" s="68"/>
      <c r="N91" s="94">
        <f t="shared" si="24"/>
        <v>1</v>
      </c>
      <c r="O91" s="44">
        <v>1</v>
      </c>
      <c r="P91" s="45">
        <v>15</v>
      </c>
      <c r="Q91" s="46">
        <v>15</v>
      </c>
      <c r="R91" s="46"/>
      <c r="S91" s="121"/>
      <c r="T91" s="70"/>
      <c r="U91" s="71">
        <f t="shared" si="8"/>
        <v>15</v>
      </c>
      <c r="V91" s="72">
        <f t="shared" si="9"/>
        <v>15</v>
      </c>
      <c r="W91" s="99"/>
      <c r="X91" s="100"/>
      <c r="Y91" s="85"/>
      <c r="Z91" s="95"/>
      <c r="AA91" s="74"/>
      <c r="AB91" s="75">
        <f t="shared" si="10"/>
        <v>0</v>
      </c>
      <c r="AC91" s="72">
        <f t="shared" si="11"/>
        <v>0</v>
      </c>
      <c r="AD91" s="52">
        <v>2</v>
      </c>
      <c r="AE91" s="71">
        <f t="shared" si="12"/>
        <v>2</v>
      </c>
      <c r="AF91" s="76"/>
      <c r="AG91" s="86"/>
      <c r="AH91" s="77">
        <f t="shared" si="13"/>
        <v>17</v>
      </c>
      <c r="AI91" s="56">
        <v>10</v>
      </c>
      <c r="AJ91" s="56">
        <v>10</v>
      </c>
      <c r="AK91" s="56">
        <v>45</v>
      </c>
      <c r="AL91" s="57">
        <f t="shared" si="14"/>
        <v>82</v>
      </c>
      <c r="AM91" s="55">
        <f t="shared" si="15"/>
        <v>82</v>
      </c>
      <c r="AN91" s="78">
        <f t="shared" si="16"/>
        <v>1.02</v>
      </c>
      <c r="AO91" s="79"/>
      <c r="AP91" s="80">
        <f t="shared" si="26"/>
        <v>1</v>
      </c>
      <c r="AQ91" s="80">
        <f t="shared" si="26"/>
        <v>2</v>
      </c>
      <c r="AR91" s="61"/>
      <c r="AS91" s="62"/>
      <c r="AT91" s="81"/>
      <c r="AU91" s="81"/>
      <c r="AV91" s="81"/>
      <c r="AW91" s="81"/>
      <c r="AX91" s="82"/>
      <c r="AY91" s="83">
        <f t="shared" si="17"/>
        <v>0</v>
      </c>
      <c r="AZ91" s="83">
        <f t="shared" si="27"/>
        <v>0</v>
      </c>
    </row>
    <row r="92" spans="1:52" s="66" customFormat="1" ht="39.75" customHeight="1" thickBot="1" x14ac:dyDescent="0.2">
      <c r="A92" s="101"/>
      <c r="B92" s="101"/>
      <c r="C92" s="101"/>
      <c r="D92" s="101"/>
      <c r="E92" s="101"/>
      <c r="F92" s="40"/>
      <c r="G92" s="90"/>
      <c r="H92" s="158"/>
      <c r="I92" s="92">
        <v>0.7</v>
      </c>
      <c r="J92" s="41">
        <v>0.3</v>
      </c>
      <c r="K92" s="41"/>
      <c r="L92" s="42"/>
      <c r="M92" s="68"/>
      <c r="N92" s="94">
        <f t="shared" si="24"/>
        <v>1</v>
      </c>
      <c r="O92" s="44">
        <v>1</v>
      </c>
      <c r="P92" s="45">
        <v>15</v>
      </c>
      <c r="Q92" s="46">
        <v>15</v>
      </c>
      <c r="R92" s="46"/>
      <c r="S92" s="121"/>
      <c r="T92" s="70"/>
      <c r="U92" s="71">
        <f t="shared" si="8"/>
        <v>15</v>
      </c>
      <c r="V92" s="72">
        <f t="shared" si="9"/>
        <v>15</v>
      </c>
      <c r="W92" s="99"/>
      <c r="X92" s="100"/>
      <c r="Y92" s="85"/>
      <c r="Z92" s="95"/>
      <c r="AA92" s="74"/>
      <c r="AB92" s="75">
        <f t="shared" si="10"/>
        <v>0</v>
      </c>
      <c r="AC92" s="72">
        <f t="shared" si="11"/>
        <v>0</v>
      </c>
      <c r="AD92" s="52">
        <v>2</v>
      </c>
      <c r="AE92" s="71">
        <f t="shared" si="12"/>
        <v>2</v>
      </c>
      <c r="AF92" s="76"/>
      <c r="AG92" s="86"/>
      <c r="AH92" s="77">
        <f t="shared" si="13"/>
        <v>17</v>
      </c>
      <c r="AI92" s="56">
        <v>10</v>
      </c>
      <c r="AJ92" s="56">
        <v>10</v>
      </c>
      <c r="AK92" s="56">
        <v>45</v>
      </c>
      <c r="AL92" s="57">
        <f t="shared" si="14"/>
        <v>82</v>
      </c>
      <c r="AM92" s="55">
        <f t="shared" si="15"/>
        <v>82</v>
      </c>
      <c r="AN92" s="78">
        <f t="shared" si="16"/>
        <v>1.02</v>
      </c>
      <c r="AO92" s="79"/>
      <c r="AP92" s="80">
        <f t="shared" si="26"/>
        <v>1</v>
      </c>
      <c r="AQ92" s="80">
        <f t="shared" si="26"/>
        <v>2</v>
      </c>
      <c r="AR92" s="61"/>
      <c r="AS92" s="62"/>
      <c r="AT92" s="81"/>
      <c r="AU92" s="81"/>
      <c r="AV92" s="81"/>
      <c r="AW92" s="81"/>
      <c r="AX92" s="82"/>
      <c r="AY92" s="83">
        <f t="shared" si="17"/>
        <v>0</v>
      </c>
      <c r="AZ92" s="83">
        <f t="shared" si="27"/>
        <v>0</v>
      </c>
    </row>
    <row r="93" spans="1:52" s="66" customFormat="1" ht="39.75" customHeight="1" thickBot="1" x14ac:dyDescent="0.2">
      <c r="A93" s="101"/>
      <c r="B93" s="101"/>
      <c r="C93" s="101"/>
      <c r="D93" s="101"/>
      <c r="E93" s="101"/>
      <c r="F93" s="40"/>
      <c r="G93" s="90"/>
      <c r="H93" s="158"/>
      <c r="I93" s="92">
        <v>0.7</v>
      </c>
      <c r="J93" s="41">
        <v>0.3</v>
      </c>
      <c r="K93" s="41"/>
      <c r="L93" s="42"/>
      <c r="M93" s="68"/>
      <c r="N93" s="94">
        <f t="shared" si="24"/>
        <v>1</v>
      </c>
      <c r="O93" s="44">
        <v>1</v>
      </c>
      <c r="P93" s="45">
        <v>15</v>
      </c>
      <c r="Q93" s="46">
        <v>15</v>
      </c>
      <c r="R93" s="46"/>
      <c r="S93" s="121"/>
      <c r="T93" s="70"/>
      <c r="U93" s="71">
        <f t="shared" si="8"/>
        <v>15</v>
      </c>
      <c r="V93" s="72">
        <f t="shared" si="9"/>
        <v>15</v>
      </c>
      <c r="W93" s="99"/>
      <c r="X93" s="100"/>
      <c r="Y93" s="85"/>
      <c r="Z93" s="95"/>
      <c r="AA93" s="74"/>
      <c r="AB93" s="75">
        <f t="shared" si="10"/>
        <v>0</v>
      </c>
      <c r="AC93" s="72">
        <f t="shared" si="11"/>
        <v>0</v>
      </c>
      <c r="AD93" s="52">
        <v>2</v>
      </c>
      <c r="AE93" s="71">
        <f t="shared" si="12"/>
        <v>2</v>
      </c>
      <c r="AF93" s="76"/>
      <c r="AG93" s="86"/>
      <c r="AH93" s="77">
        <f t="shared" si="13"/>
        <v>17</v>
      </c>
      <c r="AI93" s="56">
        <v>10</v>
      </c>
      <c r="AJ93" s="56">
        <v>10</v>
      </c>
      <c r="AK93" s="56">
        <v>45</v>
      </c>
      <c r="AL93" s="57">
        <f t="shared" si="14"/>
        <v>82</v>
      </c>
      <c r="AM93" s="55">
        <f t="shared" si="15"/>
        <v>82</v>
      </c>
      <c r="AN93" s="78">
        <f t="shared" si="16"/>
        <v>1.02</v>
      </c>
      <c r="AO93" s="79"/>
      <c r="AP93" s="80">
        <f t="shared" si="26"/>
        <v>1</v>
      </c>
      <c r="AQ93" s="80">
        <f t="shared" si="26"/>
        <v>2</v>
      </c>
      <c r="AR93" s="61"/>
      <c r="AS93" s="62"/>
      <c r="AT93" s="81"/>
      <c r="AU93" s="81"/>
      <c r="AV93" s="81"/>
      <c r="AW93" s="81"/>
      <c r="AX93" s="82"/>
      <c r="AY93" s="83">
        <f t="shared" si="17"/>
        <v>0</v>
      </c>
      <c r="AZ93" s="83">
        <f t="shared" si="27"/>
        <v>0</v>
      </c>
    </row>
    <row r="94" spans="1:52" s="66" customFormat="1" ht="39.75" customHeight="1" thickBot="1" x14ac:dyDescent="0.2">
      <c r="A94" s="101"/>
      <c r="B94" s="101"/>
      <c r="C94" s="101"/>
      <c r="D94" s="101"/>
      <c r="E94" s="101"/>
      <c r="F94" s="40"/>
      <c r="G94" s="90"/>
      <c r="H94" s="158"/>
      <c r="I94" s="92">
        <v>0.51</v>
      </c>
      <c r="J94" s="41">
        <v>0.49</v>
      </c>
      <c r="K94" s="41"/>
      <c r="L94" s="42"/>
      <c r="M94" s="68"/>
      <c r="N94" s="94">
        <f t="shared" si="24"/>
        <v>1</v>
      </c>
      <c r="O94" s="44">
        <v>1</v>
      </c>
      <c r="P94" s="45">
        <v>15</v>
      </c>
      <c r="Q94" s="46">
        <v>15</v>
      </c>
      <c r="R94" s="46"/>
      <c r="S94" s="121"/>
      <c r="T94" s="70"/>
      <c r="U94" s="71">
        <f t="shared" si="8"/>
        <v>15</v>
      </c>
      <c r="V94" s="72">
        <f t="shared" si="9"/>
        <v>15</v>
      </c>
      <c r="W94" s="99"/>
      <c r="X94" s="100"/>
      <c r="Y94" s="85"/>
      <c r="Z94" s="95"/>
      <c r="AA94" s="74"/>
      <c r="AB94" s="75">
        <f t="shared" si="10"/>
        <v>0</v>
      </c>
      <c r="AC94" s="72">
        <f t="shared" si="11"/>
        <v>0</v>
      </c>
      <c r="AD94" s="52">
        <v>2</v>
      </c>
      <c r="AE94" s="71">
        <f t="shared" si="12"/>
        <v>2</v>
      </c>
      <c r="AF94" s="76"/>
      <c r="AG94" s="86"/>
      <c r="AH94" s="77">
        <f t="shared" si="13"/>
        <v>17</v>
      </c>
      <c r="AI94" s="56">
        <v>10</v>
      </c>
      <c r="AJ94" s="56">
        <v>10</v>
      </c>
      <c r="AK94" s="56">
        <v>45</v>
      </c>
      <c r="AL94" s="57">
        <f t="shared" si="14"/>
        <v>82</v>
      </c>
      <c r="AM94" s="55">
        <f t="shared" si="15"/>
        <v>82</v>
      </c>
      <c r="AN94" s="78">
        <f t="shared" si="16"/>
        <v>1.02</v>
      </c>
      <c r="AO94" s="79"/>
      <c r="AP94" s="80">
        <f t="shared" si="26"/>
        <v>1</v>
      </c>
      <c r="AQ94" s="80">
        <f t="shared" si="26"/>
        <v>2</v>
      </c>
      <c r="AR94" s="61"/>
      <c r="AS94" s="62"/>
      <c r="AT94" s="81"/>
      <c r="AU94" s="81"/>
      <c r="AV94" s="81"/>
      <c r="AW94" s="81"/>
      <c r="AX94" s="82"/>
      <c r="AY94" s="83">
        <f t="shared" si="17"/>
        <v>0</v>
      </c>
      <c r="AZ94" s="83">
        <f t="shared" si="27"/>
        <v>0</v>
      </c>
    </row>
    <row r="95" spans="1:52" s="66" customFormat="1" ht="39.75" customHeight="1" thickBot="1" x14ac:dyDescent="0.2">
      <c r="A95" s="101"/>
      <c r="B95" s="101"/>
      <c r="C95" s="101"/>
      <c r="D95" s="101"/>
      <c r="E95" s="101"/>
      <c r="F95" s="40"/>
      <c r="G95" s="90"/>
      <c r="H95" s="158"/>
      <c r="I95" s="92">
        <v>0.51</v>
      </c>
      <c r="J95" s="41">
        <v>0.49</v>
      </c>
      <c r="K95" s="41"/>
      <c r="L95" s="42"/>
      <c r="M95" s="68"/>
      <c r="N95" s="94">
        <f t="shared" si="24"/>
        <v>1</v>
      </c>
      <c r="O95" s="44">
        <v>1</v>
      </c>
      <c r="P95" s="45">
        <v>15</v>
      </c>
      <c r="Q95" s="46">
        <v>15</v>
      </c>
      <c r="R95" s="46"/>
      <c r="S95" s="121"/>
      <c r="T95" s="70"/>
      <c r="U95" s="71">
        <f t="shared" si="8"/>
        <v>15</v>
      </c>
      <c r="V95" s="72">
        <f t="shared" si="9"/>
        <v>15</v>
      </c>
      <c r="W95" s="99"/>
      <c r="X95" s="100"/>
      <c r="Y95" s="85"/>
      <c r="Z95" s="95"/>
      <c r="AA95" s="74"/>
      <c r="AB95" s="75">
        <f t="shared" si="10"/>
        <v>0</v>
      </c>
      <c r="AC95" s="72">
        <f t="shared" si="11"/>
        <v>0</v>
      </c>
      <c r="AD95" s="52">
        <v>2</v>
      </c>
      <c r="AE95" s="71">
        <f t="shared" si="12"/>
        <v>2</v>
      </c>
      <c r="AF95" s="76"/>
      <c r="AG95" s="86"/>
      <c r="AH95" s="77">
        <f t="shared" si="13"/>
        <v>17</v>
      </c>
      <c r="AI95" s="56">
        <v>10</v>
      </c>
      <c r="AJ95" s="56">
        <v>10</v>
      </c>
      <c r="AK95" s="56">
        <v>45</v>
      </c>
      <c r="AL95" s="57">
        <f t="shared" si="14"/>
        <v>82</v>
      </c>
      <c r="AM95" s="55">
        <f t="shared" si="15"/>
        <v>82</v>
      </c>
      <c r="AN95" s="78">
        <f t="shared" si="16"/>
        <v>1.02</v>
      </c>
      <c r="AO95" s="79"/>
      <c r="AP95" s="80">
        <f t="shared" si="26"/>
        <v>1</v>
      </c>
      <c r="AQ95" s="80">
        <f t="shared" si="26"/>
        <v>2</v>
      </c>
      <c r="AR95" s="61"/>
      <c r="AS95" s="62"/>
      <c r="AT95" s="81"/>
      <c r="AU95" s="81"/>
      <c r="AV95" s="81"/>
      <c r="AW95" s="81"/>
      <c r="AX95" s="82"/>
      <c r="AY95" s="83">
        <f t="shared" si="17"/>
        <v>0</v>
      </c>
      <c r="AZ95" s="83">
        <f t="shared" si="27"/>
        <v>0</v>
      </c>
    </row>
    <row r="96" spans="1:52" s="66" customFormat="1" ht="39.75" customHeight="1" thickBot="1" x14ac:dyDescent="0.2">
      <c r="A96" s="101"/>
      <c r="B96" s="101"/>
      <c r="C96" s="101"/>
      <c r="D96" s="101"/>
      <c r="E96" s="101"/>
      <c r="F96" s="40"/>
      <c r="G96" s="90"/>
      <c r="H96" s="158"/>
      <c r="I96" s="92">
        <v>0.51</v>
      </c>
      <c r="J96" s="41">
        <v>0.49</v>
      </c>
      <c r="K96" s="41"/>
      <c r="L96" s="42"/>
      <c r="M96" s="68"/>
      <c r="N96" s="94">
        <f t="shared" si="24"/>
        <v>1</v>
      </c>
      <c r="O96" s="44">
        <v>1</v>
      </c>
      <c r="P96" s="45">
        <v>15</v>
      </c>
      <c r="Q96" s="46">
        <v>15</v>
      </c>
      <c r="R96" s="46"/>
      <c r="S96" s="121"/>
      <c r="T96" s="70"/>
      <c r="U96" s="71">
        <f t="shared" si="8"/>
        <v>15</v>
      </c>
      <c r="V96" s="72">
        <f t="shared" si="9"/>
        <v>15</v>
      </c>
      <c r="W96" s="99"/>
      <c r="X96" s="100"/>
      <c r="Y96" s="85"/>
      <c r="Z96" s="95"/>
      <c r="AA96" s="74"/>
      <c r="AB96" s="75">
        <f t="shared" si="10"/>
        <v>0</v>
      </c>
      <c r="AC96" s="72">
        <f t="shared" si="11"/>
        <v>0</v>
      </c>
      <c r="AD96" s="52">
        <v>2</v>
      </c>
      <c r="AE96" s="71">
        <f t="shared" si="12"/>
        <v>2</v>
      </c>
      <c r="AF96" s="76"/>
      <c r="AG96" s="86"/>
      <c r="AH96" s="77">
        <f t="shared" si="13"/>
        <v>17</v>
      </c>
      <c r="AI96" s="56">
        <v>10</v>
      </c>
      <c r="AJ96" s="56">
        <v>10</v>
      </c>
      <c r="AK96" s="56">
        <v>45</v>
      </c>
      <c r="AL96" s="57">
        <f t="shared" si="14"/>
        <v>82</v>
      </c>
      <c r="AM96" s="55">
        <f t="shared" si="15"/>
        <v>82</v>
      </c>
      <c r="AN96" s="78">
        <f t="shared" si="16"/>
        <v>1.02</v>
      </c>
      <c r="AO96" s="79"/>
      <c r="AP96" s="80">
        <f t="shared" si="26"/>
        <v>1</v>
      </c>
      <c r="AQ96" s="80">
        <f t="shared" si="26"/>
        <v>2</v>
      </c>
      <c r="AR96" s="61"/>
      <c r="AS96" s="62"/>
      <c r="AT96" s="81"/>
      <c r="AU96" s="81"/>
      <c r="AV96" s="81"/>
      <c r="AW96" s="81"/>
      <c r="AX96" s="82"/>
      <c r="AY96" s="83">
        <f t="shared" si="17"/>
        <v>0</v>
      </c>
      <c r="AZ96" s="83">
        <f t="shared" si="27"/>
        <v>0</v>
      </c>
    </row>
    <row r="97" spans="1:52" s="66" customFormat="1" ht="39.75" customHeight="1" thickBot="1" x14ac:dyDescent="0.2">
      <c r="A97" s="101"/>
      <c r="B97" s="101"/>
      <c r="C97" s="101"/>
      <c r="D97" s="101"/>
      <c r="E97" s="101"/>
      <c r="F97" s="40"/>
      <c r="G97" s="90"/>
      <c r="H97" s="158"/>
      <c r="I97" s="92">
        <v>0.51</v>
      </c>
      <c r="J97" s="41">
        <v>0.49</v>
      </c>
      <c r="K97" s="41"/>
      <c r="L97" s="42"/>
      <c r="M97" s="68"/>
      <c r="N97" s="94">
        <f t="shared" si="24"/>
        <v>1</v>
      </c>
      <c r="O97" s="44">
        <v>1</v>
      </c>
      <c r="P97" s="45">
        <v>15</v>
      </c>
      <c r="Q97" s="46">
        <v>15</v>
      </c>
      <c r="R97" s="46"/>
      <c r="S97" s="46"/>
      <c r="T97" s="70"/>
      <c r="U97" s="71">
        <f t="shared" si="8"/>
        <v>15</v>
      </c>
      <c r="V97" s="72">
        <f t="shared" si="9"/>
        <v>15</v>
      </c>
      <c r="W97" s="99"/>
      <c r="X97" s="100"/>
      <c r="Y97" s="85"/>
      <c r="Z97" s="95"/>
      <c r="AA97" s="74"/>
      <c r="AB97" s="75">
        <f t="shared" si="10"/>
        <v>0</v>
      </c>
      <c r="AC97" s="72">
        <f t="shared" si="11"/>
        <v>0</v>
      </c>
      <c r="AD97" s="52">
        <v>2</v>
      </c>
      <c r="AE97" s="71">
        <f t="shared" si="12"/>
        <v>2</v>
      </c>
      <c r="AF97" s="76"/>
      <c r="AG97" s="86"/>
      <c r="AH97" s="77">
        <f t="shared" si="13"/>
        <v>17</v>
      </c>
      <c r="AI97" s="56">
        <v>10</v>
      </c>
      <c r="AJ97" s="56">
        <v>10</v>
      </c>
      <c r="AK97" s="56">
        <v>45</v>
      </c>
      <c r="AL97" s="57">
        <f t="shared" si="14"/>
        <v>82</v>
      </c>
      <c r="AM97" s="55">
        <f t="shared" si="15"/>
        <v>82</v>
      </c>
      <c r="AN97" s="78">
        <f t="shared" si="16"/>
        <v>1.02</v>
      </c>
      <c r="AO97" s="79"/>
      <c r="AP97" s="80">
        <f t="shared" si="26"/>
        <v>1</v>
      </c>
      <c r="AQ97" s="80">
        <f t="shared" si="26"/>
        <v>2</v>
      </c>
      <c r="AR97" s="61"/>
      <c r="AS97" s="62"/>
      <c r="AT97" s="81"/>
      <c r="AU97" s="81"/>
      <c r="AV97" s="81"/>
      <c r="AW97" s="81"/>
      <c r="AX97" s="82"/>
      <c r="AY97" s="83">
        <f t="shared" si="17"/>
        <v>0</v>
      </c>
      <c r="AZ97" s="83">
        <f t="shared" si="27"/>
        <v>0</v>
      </c>
    </row>
    <row r="98" spans="1:52" s="66" customFormat="1" ht="39.75" customHeight="1" thickBot="1" x14ac:dyDescent="0.2">
      <c r="A98" s="101"/>
      <c r="B98" s="101"/>
      <c r="C98" s="101"/>
      <c r="D98" s="101"/>
      <c r="E98" s="101"/>
      <c r="F98" s="40"/>
      <c r="G98" s="90"/>
      <c r="H98" s="158"/>
      <c r="I98" s="92">
        <v>0.51</v>
      </c>
      <c r="J98" s="41">
        <v>0.49</v>
      </c>
      <c r="K98" s="41"/>
      <c r="L98" s="42"/>
      <c r="M98" s="68"/>
      <c r="N98" s="94">
        <f t="shared" si="24"/>
        <v>1</v>
      </c>
      <c r="O98" s="44">
        <v>1</v>
      </c>
      <c r="P98" s="45">
        <v>15</v>
      </c>
      <c r="Q98" s="46">
        <v>15</v>
      </c>
      <c r="R98" s="46"/>
      <c r="S98" s="46"/>
      <c r="T98" s="70"/>
      <c r="U98" s="71">
        <f t="shared" si="8"/>
        <v>15</v>
      </c>
      <c r="V98" s="72">
        <f t="shared" si="9"/>
        <v>15</v>
      </c>
      <c r="W98" s="99"/>
      <c r="X98" s="100"/>
      <c r="Y98" s="85"/>
      <c r="Z98" s="95"/>
      <c r="AA98" s="74"/>
      <c r="AB98" s="75">
        <f t="shared" si="10"/>
        <v>0</v>
      </c>
      <c r="AC98" s="72">
        <f t="shared" si="11"/>
        <v>0</v>
      </c>
      <c r="AD98" s="52">
        <v>2</v>
      </c>
      <c r="AE98" s="71">
        <f t="shared" si="12"/>
        <v>2</v>
      </c>
      <c r="AF98" s="76"/>
      <c r="AG98" s="86"/>
      <c r="AH98" s="77">
        <f t="shared" si="13"/>
        <v>17</v>
      </c>
      <c r="AI98" s="56">
        <v>10</v>
      </c>
      <c r="AJ98" s="56">
        <v>10</v>
      </c>
      <c r="AK98" s="56">
        <v>45</v>
      </c>
      <c r="AL98" s="57">
        <f t="shared" si="14"/>
        <v>82</v>
      </c>
      <c r="AM98" s="55">
        <f t="shared" si="15"/>
        <v>82</v>
      </c>
      <c r="AN98" s="78">
        <f t="shared" si="16"/>
        <v>1.02</v>
      </c>
      <c r="AO98" s="79"/>
      <c r="AP98" s="80">
        <f t="shared" si="26"/>
        <v>1</v>
      </c>
      <c r="AQ98" s="80">
        <f t="shared" si="26"/>
        <v>2</v>
      </c>
      <c r="AR98" s="61"/>
      <c r="AS98" s="62"/>
      <c r="AT98" s="81"/>
      <c r="AU98" s="81"/>
      <c r="AV98" s="81"/>
      <c r="AW98" s="81"/>
      <c r="AX98" s="82"/>
      <c r="AY98" s="83">
        <f t="shared" si="17"/>
        <v>0</v>
      </c>
      <c r="AZ98" s="83">
        <f t="shared" si="27"/>
        <v>0</v>
      </c>
    </row>
    <row r="99" spans="1:52" s="66" customFormat="1" ht="39.75" customHeight="1" thickBot="1" x14ac:dyDescent="0.2">
      <c r="A99" s="101"/>
      <c r="B99" s="101"/>
      <c r="C99" s="101"/>
      <c r="D99" s="101"/>
      <c r="E99" s="101"/>
      <c r="F99" s="40"/>
      <c r="G99" s="90"/>
      <c r="H99" s="158"/>
      <c r="I99" s="92">
        <v>0.51</v>
      </c>
      <c r="J99" s="41">
        <v>0.49</v>
      </c>
      <c r="K99" s="41"/>
      <c r="L99" s="42"/>
      <c r="M99" s="68"/>
      <c r="N99" s="94">
        <f t="shared" si="24"/>
        <v>1</v>
      </c>
      <c r="O99" s="44">
        <v>1</v>
      </c>
      <c r="P99" s="45">
        <v>15</v>
      </c>
      <c r="Q99" s="46">
        <v>15</v>
      </c>
      <c r="R99" s="46"/>
      <c r="S99" s="46"/>
      <c r="T99" s="70"/>
      <c r="U99" s="71">
        <f t="shared" si="8"/>
        <v>15</v>
      </c>
      <c r="V99" s="72">
        <f t="shared" si="9"/>
        <v>15</v>
      </c>
      <c r="W99" s="99"/>
      <c r="X99" s="100"/>
      <c r="Y99" s="85"/>
      <c r="Z99" s="95"/>
      <c r="AA99" s="74"/>
      <c r="AB99" s="75">
        <f t="shared" si="10"/>
        <v>0</v>
      </c>
      <c r="AC99" s="72">
        <f t="shared" si="11"/>
        <v>0</v>
      </c>
      <c r="AD99" s="52">
        <v>2</v>
      </c>
      <c r="AE99" s="71">
        <f t="shared" si="12"/>
        <v>2</v>
      </c>
      <c r="AF99" s="76"/>
      <c r="AG99" s="86"/>
      <c r="AH99" s="77">
        <f t="shared" si="13"/>
        <v>17</v>
      </c>
      <c r="AI99" s="56">
        <v>10</v>
      </c>
      <c r="AJ99" s="56">
        <v>10</v>
      </c>
      <c r="AK99" s="56">
        <v>45</v>
      </c>
      <c r="AL99" s="57">
        <f t="shared" si="14"/>
        <v>82</v>
      </c>
      <c r="AM99" s="55">
        <f t="shared" si="15"/>
        <v>82</v>
      </c>
      <c r="AN99" s="78">
        <f t="shared" si="16"/>
        <v>1.02</v>
      </c>
      <c r="AO99" s="79"/>
      <c r="AP99" s="80">
        <f t="shared" si="26"/>
        <v>1</v>
      </c>
      <c r="AQ99" s="80">
        <f t="shared" si="26"/>
        <v>2</v>
      </c>
      <c r="AR99" s="61"/>
      <c r="AS99" s="62"/>
      <c r="AT99" s="81"/>
      <c r="AU99" s="81"/>
      <c r="AV99" s="81"/>
      <c r="AW99" s="81"/>
      <c r="AX99" s="82"/>
      <c r="AY99" s="83">
        <f t="shared" si="17"/>
        <v>0</v>
      </c>
      <c r="AZ99" s="83">
        <f t="shared" si="27"/>
        <v>0</v>
      </c>
    </row>
    <row r="100" spans="1:52" s="66" customFormat="1" ht="39.75" customHeight="1" thickBot="1" x14ac:dyDescent="0.2">
      <c r="A100" s="101"/>
      <c r="B100" s="101"/>
      <c r="C100" s="101"/>
      <c r="D100" s="101"/>
      <c r="E100" s="101"/>
      <c r="F100" s="40"/>
      <c r="G100" s="90"/>
      <c r="H100" s="158"/>
      <c r="I100" s="92">
        <v>0.51</v>
      </c>
      <c r="J100" s="41">
        <v>0.49</v>
      </c>
      <c r="K100" s="41"/>
      <c r="L100" s="42"/>
      <c r="M100" s="68"/>
      <c r="N100" s="94">
        <f t="shared" si="24"/>
        <v>1</v>
      </c>
      <c r="O100" s="44">
        <v>1</v>
      </c>
      <c r="P100" s="45">
        <v>15</v>
      </c>
      <c r="Q100" s="46">
        <v>15</v>
      </c>
      <c r="R100" s="46"/>
      <c r="S100" s="46"/>
      <c r="T100" s="70"/>
      <c r="U100" s="71">
        <f t="shared" si="8"/>
        <v>15</v>
      </c>
      <c r="V100" s="72">
        <f t="shared" si="9"/>
        <v>15</v>
      </c>
      <c r="W100" s="99"/>
      <c r="X100" s="100"/>
      <c r="Y100" s="85"/>
      <c r="Z100" s="95"/>
      <c r="AA100" s="74"/>
      <c r="AB100" s="75">
        <f t="shared" si="10"/>
        <v>0</v>
      </c>
      <c r="AC100" s="72">
        <f t="shared" si="11"/>
        <v>0</v>
      </c>
      <c r="AD100" s="52">
        <v>2</v>
      </c>
      <c r="AE100" s="71">
        <f t="shared" si="12"/>
        <v>2</v>
      </c>
      <c r="AF100" s="76"/>
      <c r="AG100" s="86"/>
      <c r="AH100" s="77">
        <f t="shared" si="13"/>
        <v>17</v>
      </c>
      <c r="AI100" s="56">
        <v>10</v>
      </c>
      <c r="AJ100" s="56">
        <v>10</v>
      </c>
      <c r="AK100" s="56">
        <v>45</v>
      </c>
      <c r="AL100" s="57">
        <f t="shared" si="14"/>
        <v>82</v>
      </c>
      <c r="AM100" s="55">
        <f t="shared" si="15"/>
        <v>82</v>
      </c>
      <c r="AN100" s="78">
        <f t="shared" si="16"/>
        <v>1.02</v>
      </c>
      <c r="AO100" s="79"/>
      <c r="AP100" s="80">
        <f t="shared" si="26"/>
        <v>1</v>
      </c>
      <c r="AQ100" s="80">
        <f t="shared" si="26"/>
        <v>2</v>
      </c>
      <c r="AR100" s="61"/>
      <c r="AS100" s="62"/>
      <c r="AT100" s="81"/>
      <c r="AU100" s="81"/>
      <c r="AV100" s="81"/>
      <c r="AW100" s="81"/>
      <c r="AX100" s="82"/>
      <c r="AY100" s="83">
        <f t="shared" si="17"/>
        <v>0</v>
      </c>
      <c r="AZ100" s="83">
        <f t="shared" si="27"/>
        <v>0</v>
      </c>
    </row>
    <row r="101" spans="1:52" s="66" customFormat="1" ht="39.75" customHeight="1" thickBot="1" x14ac:dyDescent="0.2">
      <c r="A101" s="101"/>
      <c r="B101" s="101"/>
      <c r="C101" s="101"/>
      <c r="D101" s="101"/>
      <c r="E101" s="101"/>
      <c r="F101" s="40"/>
      <c r="G101" s="90"/>
      <c r="H101" s="158"/>
      <c r="I101" s="92">
        <v>0.51</v>
      </c>
      <c r="J101" s="41">
        <v>0.49</v>
      </c>
      <c r="K101" s="41"/>
      <c r="L101" s="88"/>
      <c r="M101" s="68"/>
      <c r="N101" s="94">
        <f t="shared" si="24"/>
        <v>1</v>
      </c>
      <c r="O101" s="44">
        <v>1</v>
      </c>
      <c r="P101" s="45">
        <v>15</v>
      </c>
      <c r="Q101" s="46">
        <v>15</v>
      </c>
      <c r="R101" s="46"/>
      <c r="S101" s="46"/>
      <c r="T101" s="70"/>
      <c r="U101" s="71">
        <f t="shared" ref="U101:U151" si="28">ROUND(((P101*I101)+(Q101*J101)+(R101*K101)+(S101*L101)+(T101*M101))*O101,2)</f>
        <v>15</v>
      </c>
      <c r="V101" s="72">
        <f t="shared" ref="V101:V151" si="29">IF(U101&gt;=15,15,U101)</f>
        <v>15</v>
      </c>
      <c r="W101" s="99"/>
      <c r="X101" s="100"/>
      <c r="Y101" s="85"/>
      <c r="Z101" s="95"/>
      <c r="AA101" s="74"/>
      <c r="AB101" s="75">
        <f t="shared" ref="AB101:AB151" si="30">ROUND((((W101*I101)+(X101*J101)+(Y101*K101)+(Z101*L101)+(AA101*M101))/$I$2),2)*13</f>
        <v>0</v>
      </c>
      <c r="AC101" s="72">
        <f t="shared" ref="AC101:AC151" si="31">IF(AB101&gt;=13,13,AB101)</f>
        <v>0</v>
      </c>
      <c r="AD101" s="52">
        <v>2</v>
      </c>
      <c r="AE101" s="71">
        <f t="shared" ref="AE101:AE151" si="32">IF((AC101+AD101)&gt;=15,15,(AC101+AD101))</f>
        <v>2</v>
      </c>
      <c r="AF101" s="76"/>
      <c r="AG101" s="86"/>
      <c r="AH101" s="77">
        <f t="shared" ref="AH101:AH151" si="33">IF((V101+AE101+AF101)&gt;=30,30,(V101+AE101+AF101))</f>
        <v>17</v>
      </c>
      <c r="AI101" s="56">
        <v>10</v>
      </c>
      <c r="AJ101" s="56">
        <v>10</v>
      </c>
      <c r="AK101" s="56">
        <v>45</v>
      </c>
      <c r="AL101" s="57">
        <f t="shared" ref="AL101:AL151" si="34">V101+AE101+AF101+AI101+AJ101+AK101+AG101</f>
        <v>82</v>
      </c>
      <c r="AM101" s="55">
        <f t="shared" ref="AM101:AM151" si="35">IF(AH101+AI101+AJ101+AK101+AG101&gt;=95,95,AH101+AI101+AJ101+AK101+AG101)</f>
        <v>82</v>
      </c>
      <c r="AN101" s="78">
        <f t="shared" ref="AN101:AN151" si="36">-((50-((176+(45+(50-AH101)))))/200)</f>
        <v>1.02</v>
      </c>
      <c r="AO101" s="79"/>
      <c r="AP101" s="80">
        <f t="shared" si="26"/>
        <v>1</v>
      </c>
      <c r="AQ101" s="80">
        <f t="shared" si="26"/>
        <v>2</v>
      </c>
      <c r="AR101" s="61"/>
      <c r="AS101" s="62"/>
      <c r="AT101" s="81"/>
      <c r="AU101" s="81"/>
      <c r="AV101" s="81"/>
      <c r="AW101" s="81"/>
      <c r="AX101" s="82"/>
      <c r="AY101" s="83">
        <f t="shared" ref="AY101:AY151" si="37">AT101+AU101+AV101+AW101+AX101</f>
        <v>0</v>
      </c>
      <c r="AZ101" s="83">
        <f t="shared" si="27"/>
        <v>0</v>
      </c>
    </row>
    <row r="102" spans="1:52" s="66" customFormat="1" ht="39.75" customHeight="1" thickBot="1" x14ac:dyDescent="0.2">
      <c r="A102" s="101"/>
      <c r="B102" s="101"/>
      <c r="C102" s="101"/>
      <c r="D102" s="101"/>
      <c r="E102" s="101"/>
      <c r="F102" s="40"/>
      <c r="G102" s="90"/>
      <c r="H102" s="158"/>
      <c r="I102" s="92">
        <v>0.51</v>
      </c>
      <c r="J102" s="41">
        <v>0.49</v>
      </c>
      <c r="K102" s="41"/>
      <c r="L102" s="88"/>
      <c r="M102" s="68"/>
      <c r="N102" s="94">
        <f t="shared" si="24"/>
        <v>1</v>
      </c>
      <c r="O102" s="44">
        <v>1</v>
      </c>
      <c r="P102" s="45">
        <v>15</v>
      </c>
      <c r="Q102" s="46">
        <v>15</v>
      </c>
      <c r="R102" s="46"/>
      <c r="S102" s="46"/>
      <c r="T102" s="70"/>
      <c r="U102" s="71">
        <f t="shared" si="28"/>
        <v>15</v>
      </c>
      <c r="V102" s="72">
        <f t="shared" si="29"/>
        <v>15</v>
      </c>
      <c r="W102" s="99"/>
      <c r="X102" s="100"/>
      <c r="Y102" s="85"/>
      <c r="Z102" s="95"/>
      <c r="AA102" s="74"/>
      <c r="AB102" s="75">
        <f t="shared" si="30"/>
        <v>0</v>
      </c>
      <c r="AC102" s="72">
        <f t="shared" si="31"/>
        <v>0</v>
      </c>
      <c r="AD102" s="52">
        <v>2</v>
      </c>
      <c r="AE102" s="71">
        <f t="shared" si="32"/>
        <v>2</v>
      </c>
      <c r="AF102" s="76"/>
      <c r="AG102" s="86"/>
      <c r="AH102" s="77">
        <f t="shared" si="33"/>
        <v>17</v>
      </c>
      <c r="AI102" s="56">
        <v>10</v>
      </c>
      <c r="AJ102" s="56">
        <v>10</v>
      </c>
      <c r="AK102" s="56">
        <v>45</v>
      </c>
      <c r="AL102" s="57">
        <f t="shared" si="34"/>
        <v>82</v>
      </c>
      <c r="AM102" s="55">
        <f t="shared" si="35"/>
        <v>82</v>
      </c>
      <c r="AN102" s="78">
        <f t="shared" si="36"/>
        <v>1.02</v>
      </c>
      <c r="AO102" s="79"/>
      <c r="AP102" s="80">
        <f t="shared" si="26"/>
        <v>1</v>
      </c>
      <c r="AQ102" s="80">
        <f t="shared" si="26"/>
        <v>2</v>
      </c>
      <c r="AR102" s="61"/>
      <c r="AS102" s="62"/>
      <c r="AT102" s="81"/>
      <c r="AU102" s="81"/>
      <c r="AV102" s="81"/>
      <c r="AW102" s="81"/>
      <c r="AX102" s="82"/>
      <c r="AY102" s="83">
        <f t="shared" si="37"/>
        <v>0</v>
      </c>
      <c r="AZ102" s="83">
        <f t="shared" si="27"/>
        <v>0</v>
      </c>
    </row>
    <row r="103" spans="1:52" s="66" customFormat="1" ht="39.75" customHeight="1" thickBot="1" x14ac:dyDescent="0.2">
      <c r="A103" s="101"/>
      <c r="B103" s="101"/>
      <c r="C103" s="101"/>
      <c r="D103" s="101"/>
      <c r="E103" s="101"/>
      <c r="F103" s="40"/>
      <c r="G103" s="90"/>
      <c r="H103" s="158"/>
      <c r="I103" s="92">
        <v>0.51</v>
      </c>
      <c r="J103" s="41">
        <v>0.49</v>
      </c>
      <c r="K103" s="41"/>
      <c r="L103" s="88"/>
      <c r="M103" s="68"/>
      <c r="N103" s="94">
        <f t="shared" si="24"/>
        <v>1</v>
      </c>
      <c r="O103" s="44">
        <v>1</v>
      </c>
      <c r="P103" s="45">
        <v>15</v>
      </c>
      <c r="Q103" s="46">
        <v>15</v>
      </c>
      <c r="R103" s="46"/>
      <c r="S103" s="46"/>
      <c r="T103" s="70"/>
      <c r="U103" s="71">
        <f t="shared" si="28"/>
        <v>15</v>
      </c>
      <c r="V103" s="72">
        <f t="shared" si="29"/>
        <v>15</v>
      </c>
      <c r="W103" s="99"/>
      <c r="X103" s="100"/>
      <c r="Y103" s="85"/>
      <c r="Z103" s="95"/>
      <c r="AA103" s="74"/>
      <c r="AB103" s="75">
        <f t="shared" si="30"/>
        <v>0</v>
      </c>
      <c r="AC103" s="72">
        <f t="shared" si="31"/>
        <v>0</v>
      </c>
      <c r="AD103" s="52">
        <v>2</v>
      </c>
      <c r="AE103" s="71">
        <f t="shared" si="32"/>
        <v>2</v>
      </c>
      <c r="AF103" s="76"/>
      <c r="AG103" s="86"/>
      <c r="AH103" s="77">
        <f t="shared" si="33"/>
        <v>17</v>
      </c>
      <c r="AI103" s="56">
        <v>10</v>
      </c>
      <c r="AJ103" s="56">
        <v>10</v>
      </c>
      <c r="AK103" s="56">
        <v>45</v>
      </c>
      <c r="AL103" s="57">
        <f t="shared" si="34"/>
        <v>82</v>
      </c>
      <c r="AM103" s="55">
        <f t="shared" si="35"/>
        <v>82</v>
      </c>
      <c r="AN103" s="78">
        <f t="shared" si="36"/>
        <v>1.02</v>
      </c>
      <c r="AO103" s="79"/>
      <c r="AP103" s="80">
        <f t="shared" si="26"/>
        <v>1</v>
      </c>
      <c r="AQ103" s="80">
        <f t="shared" si="26"/>
        <v>2</v>
      </c>
      <c r="AR103" s="61"/>
      <c r="AS103" s="62"/>
      <c r="AT103" s="81"/>
      <c r="AU103" s="81"/>
      <c r="AV103" s="81"/>
      <c r="AW103" s="81"/>
      <c r="AX103" s="82"/>
      <c r="AY103" s="83">
        <f t="shared" si="37"/>
        <v>0</v>
      </c>
      <c r="AZ103" s="83">
        <f t="shared" si="27"/>
        <v>0</v>
      </c>
    </row>
    <row r="104" spans="1:52" s="66" customFormat="1" ht="39.75" customHeight="1" thickBot="1" x14ac:dyDescent="0.2">
      <c r="A104" s="101"/>
      <c r="B104" s="101"/>
      <c r="C104" s="101"/>
      <c r="D104" s="101"/>
      <c r="E104" s="101"/>
      <c r="F104" s="40"/>
      <c r="G104" s="90"/>
      <c r="H104" s="158"/>
      <c r="I104" s="92">
        <v>0.51</v>
      </c>
      <c r="J104" s="41">
        <v>0.49</v>
      </c>
      <c r="K104" s="41"/>
      <c r="L104" s="88"/>
      <c r="M104" s="68"/>
      <c r="N104" s="94">
        <f t="shared" si="24"/>
        <v>1</v>
      </c>
      <c r="O104" s="44">
        <v>1</v>
      </c>
      <c r="P104" s="45">
        <v>15</v>
      </c>
      <c r="Q104" s="46">
        <v>15</v>
      </c>
      <c r="R104" s="46"/>
      <c r="S104" s="46"/>
      <c r="T104" s="70"/>
      <c r="U104" s="71">
        <f t="shared" si="28"/>
        <v>15</v>
      </c>
      <c r="V104" s="72">
        <f t="shared" si="29"/>
        <v>15</v>
      </c>
      <c r="W104" s="99"/>
      <c r="X104" s="100"/>
      <c r="Y104" s="85"/>
      <c r="Z104" s="95"/>
      <c r="AA104" s="74"/>
      <c r="AB104" s="75">
        <f t="shared" si="30"/>
        <v>0</v>
      </c>
      <c r="AC104" s="72">
        <f t="shared" si="31"/>
        <v>0</v>
      </c>
      <c r="AD104" s="52">
        <v>2</v>
      </c>
      <c r="AE104" s="71">
        <f t="shared" si="32"/>
        <v>2</v>
      </c>
      <c r="AF104" s="76"/>
      <c r="AG104" s="86"/>
      <c r="AH104" s="77">
        <f t="shared" si="33"/>
        <v>17</v>
      </c>
      <c r="AI104" s="56">
        <v>10</v>
      </c>
      <c r="AJ104" s="56">
        <v>10</v>
      </c>
      <c r="AK104" s="56">
        <v>45</v>
      </c>
      <c r="AL104" s="57">
        <f t="shared" si="34"/>
        <v>82</v>
      </c>
      <c r="AM104" s="55">
        <f t="shared" si="35"/>
        <v>82</v>
      </c>
      <c r="AN104" s="78">
        <f t="shared" si="36"/>
        <v>1.02</v>
      </c>
      <c r="AO104" s="79"/>
      <c r="AP104" s="80">
        <f t="shared" ref="AP104:AQ123" si="38">100%+AO104</f>
        <v>1</v>
      </c>
      <c r="AQ104" s="80">
        <f t="shared" si="38"/>
        <v>2</v>
      </c>
      <c r="AR104" s="61"/>
      <c r="AS104" s="62"/>
      <c r="AT104" s="81"/>
      <c r="AU104" s="81"/>
      <c r="AV104" s="81"/>
      <c r="AW104" s="81"/>
      <c r="AX104" s="82"/>
      <c r="AY104" s="83">
        <f t="shared" si="37"/>
        <v>0</v>
      </c>
      <c r="AZ104" s="83">
        <f t="shared" si="27"/>
        <v>0</v>
      </c>
    </row>
    <row r="105" spans="1:52" s="66" customFormat="1" ht="39.75" customHeight="1" thickBot="1" x14ac:dyDescent="0.2">
      <c r="A105" s="101"/>
      <c r="B105" s="101"/>
      <c r="C105" s="101"/>
      <c r="D105" s="101"/>
      <c r="E105" s="101"/>
      <c r="F105" s="40"/>
      <c r="G105" s="90"/>
      <c r="H105" s="158"/>
      <c r="I105" s="92">
        <v>0.51</v>
      </c>
      <c r="J105" s="41">
        <v>0.49</v>
      </c>
      <c r="K105" s="41"/>
      <c r="L105" s="88"/>
      <c r="M105" s="68"/>
      <c r="N105" s="94">
        <f t="shared" si="24"/>
        <v>1</v>
      </c>
      <c r="O105" s="44">
        <v>1</v>
      </c>
      <c r="P105" s="45">
        <v>15</v>
      </c>
      <c r="Q105" s="46">
        <v>15</v>
      </c>
      <c r="R105" s="46"/>
      <c r="S105" s="46"/>
      <c r="T105" s="70"/>
      <c r="U105" s="71">
        <f t="shared" si="28"/>
        <v>15</v>
      </c>
      <c r="V105" s="72">
        <f t="shared" si="29"/>
        <v>15</v>
      </c>
      <c r="W105" s="99"/>
      <c r="X105" s="100"/>
      <c r="Y105" s="85"/>
      <c r="Z105" s="95"/>
      <c r="AA105" s="74"/>
      <c r="AB105" s="75">
        <f t="shared" si="30"/>
        <v>0</v>
      </c>
      <c r="AC105" s="72">
        <f t="shared" si="31"/>
        <v>0</v>
      </c>
      <c r="AD105" s="52">
        <v>2</v>
      </c>
      <c r="AE105" s="71">
        <f t="shared" si="32"/>
        <v>2</v>
      </c>
      <c r="AF105" s="76"/>
      <c r="AG105" s="86"/>
      <c r="AH105" s="77">
        <f t="shared" si="33"/>
        <v>17</v>
      </c>
      <c r="AI105" s="56">
        <v>10</v>
      </c>
      <c r="AJ105" s="56">
        <v>10</v>
      </c>
      <c r="AK105" s="56">
        <v>45</v>
      </c>
      <c r="AL105" s="57">
        <f t="shared" si="34"/>
        <v>82</v>
      </c>
      <c r="AM105" s="55">
        <f t="shared" si="35"/>
        <v>82</v>
      </c>
      <c r="AN105" s="78">
        <f t="shared" si="36"/>
        <v>1.02</v>
      </c>
      <c r="AO105" s="79"/>
      <c r="AP105" s="80">
        <f t="shared" si="38"/>
        <v>1</v>
      </c>
      <c r="AQ105" s="80">
        <f t="shared" si="38"/>
        <v>2</v>
      </c>
      <c r="AR105" s="61"/>
      <c r="AS105" s="62"/>
      <c r="AT105" s="81"/>
      <c r="AU105" s="81"/>
      <c r="AV105" s="81"/>
      <c r="AW105" s="81"/>
      <c r="AX105" s="82"/>
      <c r="AY105" s="83">
        <f t="shared" si="37"/>
        <v>0</v>
      </c>
      <c r="AZ105" s="83">
        <f t="shared" si="27"/>
        <v>0</v>
      </c>
    </row>
    <row r="106" spans="1:52" s="66" customFormat="1" ht="39.75" customHeight="1" thickBot="1" x14ac:dyDescent="0.2">
      <c r="A106" s="101"/>
      <c r="B106" s="101"/>
      <c r="C106" s="101"/>
      <c r="D106" s="101"/>
      <c r="E106" s="101"/>
      <c r="F106" s="40"/>
      <c r="G106" s="90"/>
      <c r="H106" s="158"/>
      <c r="I106" s="92">
        <v>0.51</v>
      </c>
      <c r="J106" s="41">
        <v>0.49</v>
      </c>
      <c r="K106" s="41"/>
      <c r="L106" s="88"/>
      <c r="M106" s="68"/>
      <c r="N106" s="94">
        <f t="shared" si="24"/>
        <v>1</v>
      </c>
      <c r="O106" s="44">
        <v>1</v>
      </c>
      <c r="P106" s="45">
        <v>15</v>
      </c>
      <c r="Q106" s="46">
        <v>15</v>
      </c>
      <c r="R106" s="46"/>
      <c r="S106" s="46"/>
      <c r="T106" s="70"/>
      <c r="U106" s="71">
        <f t="shared" si="28"/>
        <v>15</v>
      </c>
      <c r="V106" s="72">
        <f t="shared" si="29"/>
        <v>15</v>
      </c>
      <c r="W106" s="99"/>
      <c r="X106" s="100"/>
      <c r="Y106" s="85"/>
      <c r="Z106" s="73"/>
      <c r="AA106" s="74"/>
      <c r="AB106" s="75">
        <f t="shared" si="30"/>
        <v>0</v>
      </c>
      <c r="AC106" s="72">
        <f t="shared" si="31"/>
        <v>0</v>
      </c>
      <c r="AD106" s="52">
        <v>2</v>
      </c>
      <c r="AE106" s="71">
        <f t="shared" si="32"/>
        <v>2</v>
      </c>
      <c r="AF106" s="76"/>
      <c r="AG106" s="86"/>
      <c r="AH106" s="77">
        <f t="shared" si="33"/>
        <v>17</v>
      </c>
      <c r="AI106" s="56">
        <v>10</v>
      </c>
      <c r="AJ106" s="56">
        <v>10</v>
      </c>
      <c r="AK106" s="56">
        <v>45</v>
      </c>
      <c r="AL106" s="57">
        <f t="shared" si="34"/>
        <v>82</v>
      </c>
      <c r="AM106" s="55">
        <f t="shared" si="35"/>
        <v>82</v>
      </c>
      <c r="AN106" s="78">
        <f t="shared" si="36"/>
        <v>1.02</v>
      </c>
      <c r="AO106" s="79"/>
      <c r="AP106" s="80">
        <f t="shared" si="38"/>
        <v>1</v>
      </c>
      <c r="AQ106" s="80">
        <f t="shared" si="38"/>
        <v>2</v>
      </c>
      <c r="AR106" s="61"/>
      <c r="AS106" s="62"/>
      <c r="AT106" s="81"/>
      <c r="AU106" s="81"/>
      <c r="AV106" s="81"/>
      <c r="AW106" s="81"/>
      <c r="AX106" s="82"/>
      <c r="AY106" s="83">
        <f t="shared" si="37"/>
        <v>0</v>
      </c>
      <c r="AZ106" s="83">
        <f t="shared" si="27"/>
        <v>0</v>
      </c>
    </row>
    <row r="107" spans="1:52" s="66" customFormat="1" ht="39.75" customHeight="1" thickBot="1" x14ac:dyDescent="0.2">
      <c r="A107" s="101"/>
      <c r="B107" s="101"/>
      <c r="C107" s="101"/>
      <c r="D107" s="101"/>
      <c r="E107" s="101"/>
      <c r="F107" s="40"/>
      <c r="G107" s="90"/>
      <c r="H107" s="158"/>
      <c r="I107" s="92">
        <v>0.51</v>
      </c>
      <c r="J107" s="41">
        <v>0.49</v>
      </c>
      <c r="K107" s="41"/>
      <c r="L107" s="88"/>
      <c r="M107" s="68"/>
      <c r="N107" s="94">
        <f t="shared" si="24"/>
        <v>1</v>
      </c>
      <c r="O107" s="44">
        <v>1</v>
      </c>
      <c r="P107" s="45">
        <v>15</v>
      </c>
      <c r="Q107" s="46">
        <v>15</v>
      </c>
      <c r="R107" s="46"/>
      <c r="S107" s="46"/>
      <c r="T107" s="70"/>
      <c r="U107" s="71">
        <f t="shared" si="28"/>
        <v>15</v>
      </c>
      <c r="V107" s="72">
        <f t="shared" si="29"/>
        <v>15</v>
      </c>
      <c r="W107" s="99"/>
      <c r="X107" s="100"/>
      <c r="Y107" s="85"/>
      <c r="Z107" s="73"/>
      <c r="AA107" s="74"/>
      <c r="AB107" s="75">
        <f t="shared" si="30"/>
        <v>0</v>
      </c>
      <c r="AC107" s="72">
        <f t="shared" si="31"/>
        <v>0</v>
      </c>
      <c r="AD107" s="52">
        <v>2</v>
      </c>
      <c r="AE107" s="71">
        <f t="shared" si="32"/>
        <v>2</v>
      </c>
      <c r="AF107" s="76"/>
      <c r="AG107" s="86"/>
      <c r="AH107" s="77">
        <f t="shared" si="33"/>
        <v>17</v>
      </c>
      <c r="AI107" s="56">
        <v>10</v>
      </c>
      <c r="AJ107" s="56">
        <v>10</v>
      </c>
      <c r="AK107" s="56">
        <v>45</v>
      </c>
      <c r="AL107" s="57">
        <f t="shared" si="34"/>
        <v>82</v>
      </c>
      <c r="AM107" s="55">
        <f t="shared" si="35"/>
        <v>82</v>
      </c>
      <c r="AN107" s="78">
        <f t="shared" si="36"/>
        <v>1.02</v>
      </c>
      <c r="AO107" s="79"/>
      <c r="AP107" s="80">
        <f t="shared" si="38"/>
        <v>1</v>
      </c>
      <c r="AQ107" s="80">
        <f t="shared" si="38"/>
        <v>2</v>
      </c>
      <c r="AR107" s="61"/>
      <c r="AS107" s="62"/>
      <c r="AT107" s="81"/>
      <c r="AU107" s="81"/>
      <c r="AV107" s="81"/>
      <c r="AW107" s="81"/>
      <c r="AX107" s="82"/>
      <c r="AY107" s="83">
        <f t="shared" si="37"/>
        <v>0</v>
      </c>
      <c r="AZ107" s="83">
        <f t="shared" si="27"/>
        <v>0</v>
      </c>
    </row>
    <row r="108" spans="1:52" s="66" customFormat="1" ht="39.75" customHeight="1" thickBot="1" x14ac:dyDescent="0.2">
      <c r="A108" s="101"/>
      <c r="B108" s="101"/>
      <c r="C108" s="101"/>
      <c r="D108" s="101"/>
      <c r="E108" s="101"/>
      <c r="F108" s="40"/>
      <c r="G108" s="90"/>
      <c r="H108" s="158"/>
      <c r="I108" s="92">
        <v>0.51</v>
      </c>
      <c r="J108" s="41">
        <v>0.49</v>
      </c>
      <c r="K108" s="41"/>
      <c r="L108" s="88"/>
      <c r="M108" s="68"/>
      <c r="N108" s="94">
        <f t="shared" si="24"/>
        <v>1</v>
      </c>
      <c r="O108" s="44">
        <v>1</v>
      </c>
      <c r="P108" s="45">
        <v>15</v>
      </c>
      <c r="Q108" s="46">
        <v>15</v>
      </c>
      <c r="R108" s="46"/>
      <c r="S108" s="46"/>
      <c r="T108" s="70"/>
      <c r="U108" s="71">
        <f t="shared" si="28"/>
        <v>15</v>
      </c>
      <c r="V108" s="72">
        <f t="shared" si="29"/>
        <v>15</v>
      </c>
      <c r="W108" s="99"/>
      <c r="X108" s="100"/>
      <c r="Y108" s="85"/>
      <c r="Z108" s="73"/>
      <c r="AA108" s="74"/>
      <c r="AB108" s="75">
        <f t="shared" si="30"/>
        <v>0</v>
      </c>
      <c r="AC108" s="72">
        <f t="shared" si="31"/>
        <v>0</v>
      </c>
      <c r="AD108" s="52">
        <v>2</v>
      </c>
      <c r="AE108" s="71">
        <f t="shared" si="32"/>
        <v>2</v>
      </c>
      <c r="AF108" s="76"/>
      <c r="AG108" s="86"/>
      <c r="AH108" s="77">
        <f t="shared" si="33"/>
        <v>17</v>
      </c>
      <c r="AI108" s="56">
        <v>10</v>
      </c>
      <c r="AJ108" s="56">
        <v>10</v>
      </c>
      <c r="AK108" s="56">
        <v>45</v>
      </c>
      <c r="AL108" s="57">
        <f t="shared" si="34"/>
        <v>82</v>
      </c>
      <c r="AM108" s="55">
        <f t="shared" si="35"/>
        <v>82</v>
      </c>
      <c r="AN108" s="78">
        <f t="shared" si="36"/>
        <v>1.02</v>
      </c>
      <c r="AO108" s="79"/>
      <c r="AP108" s="80">
        <f t="shared" si="38"/>
        <v>1</v>
      </c>
      <c r="AQ108" s="80">
        <f t="shared" si="38"/>
        <v>2</v>
      </c>
      <c r="AR108" s="61"/>
      <c r="AS108" s="62"/>
      <c r="AT108" s="81"/>
      <c r="AU108" s="81"/>
      <c r="AV108" s="81"/>
      <c r="AW108" s="81"/>
      <c r="AX108" s="82"/>
      <c r="AY108" s="83">
        <f t="shared" si="37"/>
        <v>0</v>
      </c>
      <c r="AZ108" s="83">
        <f t="shared" si="27"/>
        <v>0</v>
      </c>
    </row>
    <row r="109" spans="1:52" s="66" customFormat="1" ht="39.75" customHeight="1" thickBot="1" x14ac:dyDescent="0.2">
      <c r="A109" s="101"/>
      <c r="B109" s="101"/>
      <c r="C109" s="101"/>
      <c r="D109" s="101"/>
      <c r="E109" s="101"/>
      <c r="F109" s="40"/>
      <c r="G109" s="90"/>
      <c r="H109" s="158"/>
      <c r="I109" s="92">
        <v>0.51</v>
      </c>
      <c r="J109" s="41">
        <v>0.49</v>
      </c>
      <c r="K109" s="41"/>
      <c r="L109" s="88"/>
      <c r="M109" s="68"/>
      <c r="N109" s="94">
        <f t="shared" si="24"/>
        <v>1</v>
      </c>
      <c r="O109" s="44">
        <v>1</v>
      </c>
      <c r="P109" s="45">
        <v>15</v>
      </c>
      <c r="Q109" s="46">
        <v>15</v>
      </c>
      <c r="R109" s="46"/>
      <c r="S109" s="46"/>
      <c r="T109" s="70"/>
      <c r="U109" s="71">
        <f t="shared" si="28"/>
        <v>15</v>
      </c>
      <c r="V109" s="72">
        <f t="shared" si="29"/>
        <v>15</v>
      </c>
      <c r="W109" s="99"/>
      <c r="X109" s="100"/>
      <c r="Y109" s="85"/>
      <c r="Z109" s="73"/>
      <c r="AA109" s="74"/>
      <c r="AB109" s="75">
        <f t="shared" si="30"/>
        <v>0</v>
      </c>
      <c r="AC109" s="72">
        <f t="shared" si="31"/>
        <v>0</v>
      </c>
      <c r="AD109" s="52">
        <v>2</v>
      </c>
      <c r="AE109" s="71">
        <f t="shared" si="32"/>
        <v>2</v>
      </c>
      <c r="AF109" s="76"/>
      <c r="AG109" s="86"/>
      <c r="AH109" s="77">
        <f t="shared" si="33"/>
        <v>17</v>
      </c>
      <c r="AI109" s="56">
        <v>10</v>
      </c>
      <c r="AJ109" s="56">
        <v>10</v>
      </c>
      <c r="AK109" s="56">
        <v>45</v>
      </c>
      <c r="AL109" s="57">
        <f t="shared" si="34"/>
        <v>82</v>
      </c>
      <c r="AM109" s="55">
        <f t="shared" si="35"/>
        <v>82</v>
      </c>
      <c r="AN109" s="78">
        <f t="shared" si="36"/>
        <v>1.02</v>
      </c>
      <c r="AO109" s="79"/>
      <c r="AP109" s="80">
        <f t="shared" si="38"/>
        <v>1</v>
      </c>
      <c r="AQ109" s="80">
        <f t="shared" si="38"/>
        <v>2</v>
      </c>
      <c r="AR109" s="61"/>
      <c r="AS109" s="62"/>
      <c r="AT109" s="81"/>
      <c r="AU109" s="81"/>
      <c r="AV109" s="81"/>
      <c r="AW109" s="81"/>
      <c r="AX109" s="82"/>
      <c r="AY109" s="83">
        <f t="shared" si="37"/>
        <v>0</v>
      </c>
      <c r="AZ109" s="83">
        <f t="shared" si="27"/>
        <v>0</v>
      </c>
    </row>
    <row r="110" spans="1:52" s="66" customFormat="1" ht="39.75" customHeight="1" thickBot="1" x14ac:dyDescent="0.2">
      <c r="A110" s="101"/>
      <c r="B110" s="101"/>
      <c r="C110" s="101"/>
      <c r="D110" s="101"/>
      <c r="E110" s="101"/>
      <c r="F110" s="40"/>
      <c r="G110" s="90"/>
      <c r="H110" s="158"/>
      <c r="I110" s="92">
        <v>0.51</v>
      </c>
      <c r="J110" s="41">
        <v>0.49</v>
      </c>
      <c r="K110" s="41"/>
      <c r="L110" s="88"/>
      <c r="M110" s="68"/>
      <c r="N110" s="94">
        <f t="shared" si="24"/>
        <v>1</v>
      </c>
      <c r="O110" s="44">
        <v>1</v>
      </c>
      <c r="P110" s="45">
        <v>15</v>
      </c>
      <c r="Q110" s="46">
        <v>15</v>
      </c>
      <c r="R110" s="46"/>
      <c r="S110" s="46"/>
      <c r="T110" s="70"/>
      <c r="U110" s="71">
        <f t="shared" si="28"/>
        <v>15</v>
      </c>
      <c r="V110" s="72">
        <f t="shared" si="29"/>
        <v>15</v>
      </c>
      <c r="W110" s="99"/>
      <c r="X110" s="100"/>
      <c r="Y110" s="85"/>
      <c r="Z110" s="73"/>
      <c r="AA110" s="74"/>
      <c r="AB110" s="75">
        <f t="shared" si="30"/>
        <v>0</v>
      </c>
      <c r="AC110" s="72">
        <f t="shared" si="31"/>
        <v>0</v>
      </c>
      <c r="AD110" s="52">
        <v>2</v>
      </c>
      <c r="AE110" s="71">
        <f t="shared" si="32"/>
        <v>2</v>
      </c>
      <c r="AF110" s="76"/>
      <c r="AG110" s="86"/>
      <c r="AH110" s="77">
        <f t="shared" si="33"/>
        <v>17</v>
      </c>
      <c r="AI110" s="56">
        <v>10</v>
      </c>
      <c r="AJ110" s="56">
        <v>10</v>
      </c>
      <c r="AK110" s="56">
        <v>45</v>
      </c>
      <c r="AL110" s="57">
        <f t="shared" si="34"/>
        <v>82</v>
      </c>
      <c r="AM110" s="55">
        <f t="shared" si="35"/>
        <v>82</v>
      </c>
      <c r="AN110" s="78">
        <f t="shared" si="36"/>
        <v>1.02</v>
      </c>
      <c r="AO110" s="79"/>
      <c r="AP110" s="80">
        <f t="shared" si="38"/>
        <v>1</v>
      </c>
      <c r="AQ110" s="80">
        <f t="shared" si="38"/>
        <v>2</v>
      </c>
      <c r="AR110" s="61"/>
      <c r="AS110" s="62"/>
      <c r="AT110" s="81"/>
      <c r="AU110" s="81"/>
      <c r="AV110" s="81"/>
      <c r="AW110" s="81"/>
      <c r="AX110" s="82"/>
      <c r="AY110" s="83">
        <f t="shared" si="37"/>
        <v>0</v>
      </c>
      <c r="AZ110" s="83">
        <f t="shared" si="27"/>
        <v>0</v>
      </c>
    </row>
    <row r="111" spans="1:52" s="66" customFormat="1" ht="39.75" customHeight="1" thickBot="1" x14ac:dyDescent="0.2">
      <c r="A111" s="101"/>
      <c r="B111" s="101"/>
      <c r="C111" s="101"/>
      <c r="D111" s="101"/>
      <c r="E111" s="101"/>
      <c r="F111" s="40"/>
      <c r="G111" s="90"/>
      <c r="H111" s="158"/>
      <c r="I111" s="92">
        <v>0.51</v>
      </c>
      <c r="J111" s="41">
        <v>0.49</v>
      </c>
      <c r="K111" s="41"/>
      <c r="L111" s="88"/>
      <c r="M111" s="68"/>
      <c r="N111" s="94">
        <f t="shared" si="24"/>
        <v>1</v>
      </c>
      <c r="O111" s="44">
        <v>1</v>
      </c>
      <c r="P111" s="45">
        <v>15</v>
      </c>
      <c r="Q111" s="46">
        <v>15</v>
      </c>
      <c r="R111" s="46"/>
      <c r="S111" s="46"/>
      <c r="T111" s="70"/>
      <c r="U111" s="71">
        <f t="shared" si="28"/>
        <v>15</v>
      </c>
      <c r="V111" s="72">
        <f t="shared" si="29"/>
        <v>15</v>
      </c>
      <c r="W111" s="99"/>
      <c r="X111" s="100"/>
      <c r="Y111" s="85"/>
      <c r="Z111" s="73"/>
      <c r="AA111" s="74"/>
      <c r="AB111" s="75">
        <f t="shared" si="30"/>
        <v>0</v>
      </c>
      <c r="AC111" s="72">
        <f t="shared" si="31"/>
        <v>0</v>
      </c>
      <c r="AD111" s="52">
        <v>2</v>
      </c>
      <c r="AE111" s="71">
        <f t="shared" si="32"/>
        <v>2</v>
      </c>
      <c r="AF111" s="76"/>
      <c r="AG111" s="86"/>
      <c r="AH111" s="77">
        <f t="shared" si="33"/>
        <v>17</v>
      </c>
      <c r="AI111" s="56">
        <v>10</v>
      </c>
      <c r="AJ111" s="56">
        <v>10</v>
      </c>
      <c r="AK111" s="56">
        <v>45</v>
      </c>
      <c r="AL111" s="57">
        <f t="shared" si="34"/>
        <v>82</v>
      </c>
      <c r="AM111" s="55">
        <f t="shared" si="35"/>
        <v>82</v>
      </c>
      <c r="AN111" s="78">
        <f t="shared" si="36"/>
        <v>1.02</v>
      </c>
      <c r="AO111" s="79"/>
      <c r="AP111" s="80">
        <f t="shared" si="38"/>
        <v>1</v>
      </c>
      <c r="AQ111" s="80">
        <f t="shared" si="38"/>
        <v>2</v>
      </c>
      <c r="AR111" s="61"/>
      <c r="AS111" s="62"/>
      <c r="AT111" s="81"/>
      <c r="AU111" s="81"/>
      <c r="AV111" s="81"/>
      <c r="AW111" s="81"/>
      <c r="AX111" s="82"/>
      <c r="AY111" s="83">
        <f t="shared" si="37"/>
        <v>0</v>
      </c>
      <c r="AZ111" s="83">
        <f t="shared" si="27"/>
        <v>0</v>
      </c>
    </row>
    <row r="112" spans="1:52" s="66" customFormat="1" ht="39.75" customHeight="1" thickBot="1" x14ac:dyDescent="0.2">
      <c r="A112" s="101"/>
      <c r="B112" s="101"/>
      <c r="C112" s="101"/>
      <c r="D112" s="101"/>
      <c r="E112" s="101"/>
      <c r="F112" s="40"/>
      <c r="G112" s="90"/>
      <c r="H112" s="158"/>
      <c r="I112" s="92">
        <v>0.51</v>
      </c>
      <c r="J112" s="41">
        <v>0.49</v>
      </c>
      <c r="K112" s="41"/>
      <c r="L112" s="88"/>
      <c r="M112" s="68"/>
      <c r="N112" s="94">
        <f t="shared" si="24"/>
        <v>1</v>
      </c>
      <c r="O112" s="44">
        <v>1</v>
      </c>
      <c r="P112" s="45">
        <v>15</v>
      </c>
      <c r="Q112" s="46">
        <v>15</v>
      </c>
      <c r="R112" s="46"/>
      <c r="S112" s="46"/>
      <c r="T112" s="70"/>
      <c r="U112" s="71">
        <f t="shared" si="28"/>
        <v>15</v>
      </c>
      <c r="V112" s="72">
        <f t="shared" si="29"/>
        <v>15</v>
      </c>
      <c r="W112" s="99"/>
      <c r="X112" s="100"/>
      <c r="Y112" s="85"/>
      <c r="Z112" s="73"/>
      <c r="AA112" s="74"/>
      <c r="AB112" s="75">
        <f t="shared" si="30"/>
        <v>0</v>
      </c>
      <c r="AC112" s="72">
        <f t="shared" si="31"/>
        <v>0</v>
      </c>
      <c r="AD112" s="52">
        <v>2</v>
      </c>
      <c r="AE112" s="71">
        <f t="shared" si="32"/>
        <v>2</v>
      </c>
      <c r="AF112" s="76"/>
      <c r="AG112" s="86"/>
      <c r="AH112" s="77">
        <f t="shared" si="33"/>
        <v>17</v>
      </c>
      <c r="AI112" s="56">
        <v>10</v>
      </c>
      <c r="AJ112" s="56">
        <v>10</v>
      </c>
      <c r="AK112" s="56">
        <v>45</v>
      </c>
      <c r="AL112" s="57">
        <f t="shared" si="34"/>
        <v>82</v>
      </c>
      <c r="AM112" s="55">
        <f t="shared" si="35"/>
        <v>82</v>
      </c>
      <c r="AN112" s="78">
        <f t="shared" si="36"/>
        <v>1.02</v>
      </c>
      <c r="AO112" s="79"/>
      <c r="AP112" s="80">
        <f t="shared" si="38"/>
        <v>1</v>
      </c>
      <c r="AQ112" s="80">
        <f t="shared" si="38"/>
        <v>2</v>
      </c>
      <c r="AR112" s="61"/>
      <c r="AS112" s="62"/>
      <c r="AT112" s="81"/>
      <c r="AU112" s="81"/>
      <c r="AV112" s="81"/>
      <c r="AW112" s="81"/>
      <c r="AX112" s="82"/>
      <c r="AY112" s="83">
        <f t="shared" si="37"/>
        <v>0</v>
      </c>
      <c r="AZ112" s="83">
        <f t="shared" si="27"/>
        <v>0</v>
      </c>
    </row>
    <row r="113" spans="1:52" s="23" customFormat="1" ht="39.75" customHeight="1" thickBot="1" x14ac:dyDescent="0.2">
      <c r="A113" s="101"/>
      <c r="B113" s="101"/>
      <c r="C113" s="101"/>
      <c r="D113" s="101"/>
      <c r="E113" s="101"/>
      <c r="F113" s="40"/>
      <c r="G113" s="90"/>
      <c r="H113" s="158"/>
      <c r="I113" s="92">
        <v>0.51</v>
      </c>
      <c r="J113" s="41">
        <v>0.49</v>
      </c>
      <c r="K113" s="41"/>
      <c r="L113" s="88"/>
      <c r="M113" s="68"/>
      <c r="N113" s="94">
        <f t="shared" si="24"/>
        <v>1</v>
      </c>
      <c r="O113" s="44">
        <v>1</v>
      </c>
      <c r="P113" s="45">
        <v>15</v>
      </c>
      <c r="Q113" s="46">
        <v>15</v>
      </c>
      <c r="R113" s="46"/>
      <c r="S113" s="46"/>
      <c r="T113" s="70"/>
      <c r="U113" s="71">
        <f t="shared" si="28"/>
        <v>15</v>
      </c>
      <c r="V113" s="72">
        <f t="shared" si="29"/>
        <v>15</v>
      </c>
      <c r="W113" s="99"/>
      <c r="X113" s="100"/>
      <c r="Y113" s="85"/>
      <c r="Z113" s="73"/>
      <c r="AA113" s="74"/>
      <c r="AB113" s="75">
        <f t="shared" si="30"/>
        <v>0</v>
      </c>
      <c r="AC113" s="72">
        <f t="shared" si="31"/>
        <v>0</v>
      </c>
      <c r="AD113" s="52">
        <v>2</v>
      </c>
      <c r="AE113" s="71">
        <f t="shared" si="32"/>
        <v>2</v>
      </c>
      <c r="AF113" s="76"/>
      <c r="AG113" s="86"/>
      <c r="AH113" s="77">
        <f t="shared" si="33"/>
        <v>17</v>
      </c>
      <c r="AI113" s="56">
        <v>10</v>
      </c>
      <c r="AJ113" s="56">
        <v>10</v>
      </c>
      <c r="AK113" s="56">
        <v>45</v>
      </c>
      <c r="AL113" s="57">
        <f t="shared" si="34"/>
        <v>82</v>
      </c>
      <c r="AM113" s="55">
        <f t="shared" si="35"/>
        <v>82</v>
      </c>
      <c r="AN113" s="78">
        <f t="shared" si="36"/>
        <v>1.02</v>
      </c>
      <c r="AO113" s="79"/>
      <c r="AP113" s="80">
        <f t="shared" si="38"/>
        <v>1</v>
      </c>
      <c r="AQ113" s="80">
        <f t="shared" si="38"/>
        <v>2</v>
      </c>
      <c r="AR113" s="61"/>
      <c r="AS113" s="62"/>
      <c r="AT113" s="81"/>
      <c r="AU113" s="81"/>
      <c r="AV113" s="81"/>
      <c r="AW113" s="81"/>
      <c r="AX113" s="82"/>
      <c r="AY113" s="83">
        <f t="shared" si="37"/>
        <v>0</v>
      </c>
      <c r="AZ113" s="83">
        <f t="shared" si="27"/>
        <v>0</v>
      </c>
    </row>
    <row r="114" spans="1:52" s="66" customFormat="1" ht="39.75" customHeight="1" thickBot="1" x14ac:dyDescent="0.2">
      <c r="A114" s="101"/>
      <c r="B114" s="101"/>
      <c r="C114" s="101"/>
      <c r="D114" s="101"/>
      <c r="E114" s="101"/>
      <c r="F114" s="40"/>
      <c r="G114" s="90"/>
      <c r="H114" s="158"/>
      <c r="I114" s="92">
        <v>0.51</v>
      </c>
      <c r="J114" s="41">
        <v>0.49</v>
      </c>
      <c r="K114" s="41"/>
      <c r="L114" s="88"/>
      <c r="M114" s="68"/>
      <c r="N114" s="94">
        <f t="shared" si="24"/>
        <v>1</v>
      </c>
      <c r="O114" s="44">
        <v>1</v>
      </c>
      <c r="P114" s="45">
        <v>15</v>
      </c>
      <c r="Q114" s="46">
        <v>15</v>
      </c>
      <c r="R114" s="46"/>
      <c r="S114" s="46"/>
      <c r="T114" s="70"/>
      <c r="U114" s="71">
        <f t="shared" si="28"/>
        <v>15</v>
      </c>
      <c r="V114" s="72">
        <f t="shared" si="29"/>
        <v>15</v>
      </c>
      <c r="W114" s="99"/>
      <c r="X114" s="100"/>
      <c r="Y114" s="85"/>
      <c r="Z114" s="73"/>
      <c r="AA114" s="74"/>
      <c r="AB114" s="75">
        <f t="shared" si="30"/>
        <v>0</v>
      </c>
      <c r="AC114" s="72">
        <f t="shared" si="31"/>
        <v>0</v>
      </c>
      <c r="AD114" s="52">
        <v>2</v>
      </c>
      <c r="AE114" s="71">
        <f t="shared" si="32"/>
        <v>2</v>
      </c>
      <c r="AF114" s="76"/>
      <c r="AG114" s="86"/>
      <c r="AH114" s="77">
        <f t="shared" si="33"/>
        <v>17</v>
      </c>
      <c r="AI114" s="56">
        <v>10</v>
      </c>
      <c r="AJ114" s="56">
        <v>10</v>
      </c>
      <c r="AK114" s="56">
        <v>45</v>
      </c>
      <c r="AL114" s="57">
        <f t="shared" si="34"/>
        <v>82</v>
      </c>
      <c r="AM114" s="55">
        <f t="shared" si="35"/>
        <v>82</v>
      </c>
      <c r="AN114" s="78">
        <f t="shared" si="36"/>
        <v>1.02</v>
      </c>
      <c r="AO114" s="79"/>
      <c r="AP114" s="80">
        <f t="shared" si="38"/>
        <v>1</v>
      </c>
      <c r="AQ114" s="80">
        <f t="shared" si="38"/>
        <v>2</v>
      </c>
      <c r="AR114" s="61"/>
      <c r="AS114" s="62"/>
      <c r="AT114" s="81"/>
      <c r="AU114" s="81"/>
      <c r="AV114" s="81"/>
      <c r="AW114" s="81"/>
      <c r="AX114" s="82"/>
      <c r="AY114" s="83">
        <f t="shared" si="37"/>
        <v>0</v>
      </c>
      <c r="AZ114" s="83">
        <f t="shared" si="27"/>
        <v>0</v>
      </c>
    </row>
    <row r="115" spans="1:52" s="66" customFormat="1" ht="39.75" customHeight="1" thickBot="1" x14ac:dyDescent="0.2">
      <c r="A115" s="101"/>
      <c r="B115" s="101"/>
      <c r="C115" s="101"/>
      <c r="D115" s="101"/>
      <c r="E115" s="101"/>
      <c r="F115" s="40"/>
      <c r="G115" s="90"/>
      <c r="H115" s="158"/>
      <c r="I115" s="92">
        <v>0.51</v>
      </c>
      <c r="J115" s="41">
        <v>0.49</v>
      </c>
      <c r="K115" s="41"/>
      <c r="L115" s="88"/>
      <c r="M115" s="68"/>
      <c r="N115" s="94">
        <f t="shared" si="24"/>
        <v>1</v>
      </c>
      <c r="O115" s="44">
        <v>1</v>
      </c>
      <c r="P115" s="45">
        <v>15</v>
      </c>
      <c r="Q115" s="46">
        <v>15</v>
      </c>
      <c r="R115" s="46"/>
      <c r="S115" s="46"/>
      <c r="T115" s="70"/>
      <c r="U115" s="71">
        <f t="shared" si="28"/>
        <v>15</v>
      </c>
      <c r="V115" s="72">
        <f t="shared" si="29"/>
        <v>15</v>
      </c>
      <c r="W115" s="99"/>
      <c r="X115" s="100"/>
      <c r="Y115" s="85"/>
      <c r="Z115" s="73"/>
      <c r="AA115" s="74"/>
      <c r="AB115" s="75">
        <f t="shared" si="30"/>
        <v>0</v>
      </c>
      <c r="AC115" s="72">
        <f t="shared" si="31"/>
        <v>0</v>
      </c>
      <c r="AD115" s="52">
        <v>2</v>
      </c>
      <c r="AE115" s="71">
        <f t="shared" si="32"/>
        <v>2</v>
      </c>
      <c r="AF115" s="76"/>
      <c r="AG115" s="86"/>
      <c r="AH115" s="77">
        <f t="shared" si="33"/>
        <v>17</v>
      </c>
      <c r="AI115" s="56">
        <v>10</v>
      </c>
      <c r="AJ115" s="56">
        <v>10</v>
      </c>
      <c r="AK115" s="56">
        <v>45</v>
      </c>
      <c r="AL115" s="57">
        <f t="shared" si="34"/>
        <v>82</v>
      </c>
      <c r="AM115" s="55">
        <f t="shared" si="35"/>
        <v>82</v>
      </c>
      <c r="AN115" s="78">
        <f t="shared" si="36"/>
        <v>1.02</v>
      </c>
      <c r="AO115" s="79"/>
      <c r="AP115" s="80">
        <f t="shared" si="38"/>
        <v>1</v>
      </c>
      <c r="AQ115" s="80">
        <f t="shared" si="38"/>
        <v>2</v>
      </c>
      <c r="AR115" s="61"/>
      <c r="AS115" s="62"/>
      <c r="AT115" s="81"/>
      <c r="AU115" s="81"/>
      <c r="AV115" s="81"/>
      <c r="AW115" s="81"/>
      <c r="AX115" s="82"/>
      <c r="AY115" s="83">
        <f t="shared" si="37"/>
        <v>0</v>
      </c>
      <c r="AZ115" s="83">
        <f t="shared" si="27"/>
        <v>0</v>
      </c>
    </row>
    <row r="116" spans="1:52" s="66" customFormat="1" ht="39.75" customHeight="1" thickBot="1" x14ac:dyDescent="0.2">
      <c r="A116" s="101"/>
      <c r="B116" s="101"/>
      <c r="C116" s="101"/>
      <c r="D116" s="101"/>
      <c r="E116" s="101"/>
      <c r="F116" s="40"/>
      <c r="G116" s="90"/>
      <c r="H116" s="158"/>
      <c r="I116" s="92">
        <v>0.51</v>
      </c>
      <c r="J116" s="41">
        <v>0.49</v>
      </c>
      <c r="K116" s="41"/>
      <c r="L116" s="88"/>
      <c r="M116" s="68"/>
      <c r="N116" s="94">
        <f t="shared" si="24"/>
        <v>1</v>
      </c>
      <c r="O116" s="44">
        <v>1</v>
      </c>
      <c r="P116" s="45">
        <v>15</v>
      </c>
      <c r="Q116" s="46">
        <v>15</v>
      </c>
      <c r="R116" s="46"/>
      <c r="S116" s="46"/>
      <c r="T116" s="70"/>
      <c r="U116" s="71">
        <f t="shared" si="28"/>
        <v>15</v>
      </c>
      <c r="V116" s="72">
        <f t="shared" si="29"/>
        <v>15</v>
      </c>
      <c r="W116" s="99"/>
      <c r="X116" s="100"/>
      <c r="Y116" s="85"/>
      <c r="Z116" s="73"/>
      <c r="AA116" s="74"/>
      <c r="AB116" s="75">
        <f t="shared" si="30"/>
        <v>0</v>
      </c>
      <c r="AC116" s="72">
        <f t="shared" si="31"/>
        <v>0</v>
      </c>
      <c r="AD116" s="52">
        <v>2</v>
      </c>
      <c r="AE116" s="71">
        <f t="shared" si="32"/>
        <v>2</v>
      </c>
      <c r="AF116" s="76"/>
      <c r="AG116" s="86"/>
      <c r="AH116" s="77">
        <f t="shared" si="33"/>
        <v>17</v>
      </c>
      <c r="AI116" s="56">
        <v>10</v>
      </c>
      <c r="AJ116" s="56">
        <v>10</v>
      </c>
      <c r="AK116" s="56">
        <v>45</v>
      </c>
      <c r="AL116" s="57">
        <f t="shared" si="34"/>
        <v>82</v>
      </c>
      <c r="AM116" s="55">
        <f t="shared" si="35"/>
        <v>82</v>
      </c>
      <c r="AN116" s="78">
        <f t="shared" si="36"/>
        <v>1.02</v>
      </c>
      <c r="AO116" s="79"/>
      <c r="AP116" s="80">
        <f t="shared" si="38"/>
        <v>1</v>
      </c>
      <c r="AQ116" s="80">
        <f t="shared" si="38"/>
        <v>2</v>
      </c>
      <c r="AR116" s="61"/>
      <c r="AS116" s="62"/>
      <c r="AT116" s="81"/>
      <c r="AU116" s="81"/>
      <c r="AV116" s="81"/>
      <c r="AW116" s="81"/>
      <c r="AX116" s="82"/>
      <c r="AY116" s="83">
        <f t="shared" si="37"/>
        <v>0</v>
      </c>
      <c r="AZ116" s="83">
        <f t="shared" si="27"/>
        <v>0</v>
      </c>
    </row>
    <row r="117" spans="1:52" s="66" customFormat="1" ht="39.75" customHeight="1" thickBot="1" x14ac:dyDescent="0.2">
      <c r="A117" s="101"/>
      <c r="B117" s="101"/>
      <c r="C117" s="101"/>
      <c r="D117" s="101"/>
      <c r="E117" s="101"/>
      <c r="F117" s="40"/>
      <c r="G117" s="90"/>
      <c r="H117" s="158"/>
      <c r="I117" s="92">
        <v>0.51</v>
      </c>
      <c r="J117" s="41">
        <v>0.49</v>
      </c>
      <c r="K117" s="41"/>
      <c r="L117" s="88"/>
      <c r="M117" s="68"/>
      <c r="N117" s="94">
        <f t="shared" si="24"/>
        <v>1</v>
      </c>
      <c r="O117" s="44">
        <v>1</v>
      </c>
      <c r="P117" s="45">
        <v>15</v>
      </c>
      <c r="Q117" s="46">
        <v>15</v>
      </c>
      <c r="R117" s="46"/>
      <c r="S117" s="46"/>
      <c r="T117" s="70"/>
      <c r="U117" s="71">
        <f t="shared" si="28"/>
        <v>15</v>
      </c>
      <c r="V117" s="72">
        <f t="shared" si="29"/>
        <v>15</v>
      </c>
      <c r="W117" s="99"/>
      <c r="X117" s="100"/>
      <c r="Y117" s="85"/>
      <c r="Z117" s="73"/>
      <c r="AA117" s="74"/>
      <c r="AB117" s="75">
        <f t="shared" si="30"/>
        <v>0</v>
      </c>
      <c r="AC117" s="72">
        <f t="shared" si="31"/>
        <v>0</v>
      </c>
      <c r="AD117" s="52">
        <v>2</v>
      </c>
      <c r="AE117" s="71">
        <f t="shared" si="32"/>
        <v>2</v>
      </c>
      <c r="AF117" s="76"/>
      <c r="AG117" s="86"/>
      <c r="AH117" s="77">
        <f t="shared" si="33"/>
        <v>17</v>
      </c>
      <c r="AI117" s="56">
        <v>10</v>
      </c>
      <c r="AJ117" s="56">
        <v>10</v>
      </c>
      <c r="AK117" s="56">
        <v>45</v>
      </c>
      <c r="AL117" s="57">
        <f t="shared" si="34"/>
        <v>82</v>
      </c>
      <c r="AM117" s="55">
        <f t="shared" si="35"/>
        <v>82</v>
      </c>
      <c r="AN117" s="78">
        <f t="shared" si="36"/>
        <v>1.02</v>
      </c>
      <c r="AO117" s="79"/>
      <c r="AP117" s="80">
        <f t="shared" si="38"/>
        <v>1</v>
      </c>
      <c r="AQ117" s="80">
        <f t="shared" si="38"/>
        <v>2</v>
      </c>
      <c r="AR117" s="61"/>
      <c r="AS117" s="62"/>
      <c r="AT117" s="81"/>
      <c r="AU117" s="81"/>
      <c r="AV117" s="81"/>
      <c r="AW117" s="81"/>
      <c r="AX117" s="82"/>
      <c r="AY117" s="83">
        <f t="shared" si="37"/>
        <v>0</v>
      </c>
      <c r="AZ117" s="83">
        <f t="shared" si="27"/>
        <v>0</v>
      </c>
    </row>
    <row r="118" spans="1:52" s="66" customFormat="1" ht="39.75" customHeight="1" thickBot="1" x14ac:dyDescent="0.2">
      <c r="A118" s="101"/>
      <c r="B118" s="101"/>
      <c r="C118" s="101"/>
      <c r="D118" s="101"/>
      <c r="E118" s="101"/>
      <c r="F118" s="40"/>
      <c r="G118" s="90"/>
      <c r="H118" s="158"/>
      <c r="I118" s="92">
        <v>0.51</v>
      </c>
      <c r="J118" s="41">
        <v>0.49</v>
      </c>
      <c r="K118" s="41"/>
      <c r="L118" s="88"/>
      <c r="M118" s="68"/>
      <c r="N118" s="94">
        <f t="shared" si="24"/>
        <v>1</v>
      </c>
      <c r="O118" s="44">
        <v>1</v>
      </c>
      <c r="P118" s="45">
        <v>15</v>
      </c>
      <c r="Q118" s="46">
        <v>15</v>
      </c>
      <c r="R118" s="46"/>
      <c r="S118" s="46"/>
      <c r="T118" s="70"/>
      <c r="U118" s="71">
        <f t="shared" si="28"/>
        <v>15</v>
      </c>
      <c r="V118" s="72">
        <f t="shared" si="29"/>
        <v>15</v>
      </c>
      <c r="W118" s="99"/>
      <c r="X118" s="100"/>
      <c r="Y118" s="85"/>
      <c r="Z118" s="73"/>
      <c r="AA118" s="74"/>
      <c r="AB118" s="75">
        <f t="shared" si="30"/>
        <v>0</v>
      </c>
      <c r="AC118" s="72">
        <f t="shared" si="31"/>
        <v>0</v>
      </c>
      <c r="AD118" s="52">
        <v>2</v>
      </c>
      <c r="AE118" s="71">
        <f t="shared" si="32"/>
        <v>2</v>
      </c>
      <c r="AF118" s="76"/>
      <c r="AG118" s="86"/>
      <c r="AH118" s="77">
        <f t="shared" si="33"/>
        <v>17</v>
      </c>
      <c r="AI118" s="56">
        <v>10</v>
      </c>
      <c r="AJ118" s="56">
        <v>10</v>
      </c>
      <c r="AK118" s="56">
        <v>45</v>
      </c>
      <c r="AL118" s="57">
        <f t="shared" si="34"/>
        <v>82</v>
      </c>
      <c r="AM118" s="55">
        <f t="shared" si="35"/>
        <v>82</v>
      </c>
      <c r="AN118" s="78">
        <f t="shared" si="36"/>
        <v>1.02</v>
      </c>
      <c r="AO118" s="79"/>
      <c r="AP118" s="80">
        <f t="shared" si="38"/>
        <v>1</v>
      </c>
      <c r="AQ118" s="80">
        <f t="shared" si="38"/>
        <v>2</v>
      </c>
      <c r="AR118" s="61"/>
      <c r="AS118" s="62"/>
      <c r="AT118" s="81"/>
      <c r="AU118" s="81"/>
      <c r="AV118" s="81"/>
      <c r="AW118" s="81"/>
      <c r="AX118" s="82"/>
      <c r="AY118" s="83">
        <f t="shared" si="37"/>
        <v>0</v>
      </c>
      <c r="AZ118" s="83">
        <f t="shared" si="27"/>
        <v>0</v>
      </c>
    </row>
    <row r="119" spans="1:52" s="66" customFormat="1" ht="39.75" customHeight="1" thickBot="1" x14ac:dyDescent="0.2">
      <c r="A119" s="101"/>
      <c r="B119" s="101"/>
      <c r="C119" s="101"/>
      <c r="D119" s="101"/>
      <c r="E119" s="101"/>
      <c r="F119" s="40"/>
      <c r="G119" s="90"/>
      <c r="H119" s="158"/>
      <c r="I119" s="92">
        <v>0.51</v>
      </c>
      <c r="J119" s="41">
        <v>0.49</v>
      </c>
      <c r="K119" s="41"/>
      <c r="L119" s="88"/>
      <c r="M119" s="68"/>
      <c r="N119" s="94">
        <f t="shared" si="24"/>
        <v>1</v>
      </c>
      <c r="O119" s="44">
        <v>1</v>
      </c>
      <c r="P119" s="45">
        <v>15</v>
      </c>
      <c r="Q119" s="46">
        <v>15</v>
      </c>
      <c r="R119" s="46"/>
      <c r="S119" s="46"/>
      <c r="T119" s="70"/>
      <c r="U119" s="71">
        <f t="shared" si="28"/>
        <v>15</v>
      </c>
      <c r="V119" s="72">
        <f t="shared" si="29"/>
        <v>15</v>
      </c>
      <c r="W119" s="99"/>
      <c r="X119" s="100"/>
      <c r="Y119" s="85"/>
      <c r="Z119" s="73"/>
      <c r="AA119" s="74"/>
      <c r="AB119" s="75">
        <f t="shared" si="30"/>
        <v>0</v>
      </c>
      <c r="AC119" s="72">
        <f t="shared" si="31"/>
        <v>0</v>
      </c>
      <c r="AD119" s="52">
        <v>2</v>
      </c>
      <c r="AE119" s="71">
        <f t="shared" si="32"/>
        <v>2</v>
      </c>
      <c r="AF119" s="76"/>
      <c r="AG119" s="86"/>
      <c r="AH119" s="77">
        <f t="shared" si="33"/>
        <v>17</v>
      </c>
      <c r="AI119" s="56">
        <v>10</v>
      </c>
      <c r="AJ119" s="56">
        <v>10</v>
      </c>
      <c r="AK119" s="56">
        <v>45</v>
      </c>
      <c r="AL119" s="57">
        <f t="shared" si="34"/>
        <v>82</v>
      </c>
      <c r="AM119" s="55">
        <f t="shared" si="35"/>
        <v>82</v>
      </c>
      <c r="AN119" s="78">
        <f t="shared" si="36"/>
        <v>1.02</v>
      </c>
      <c r="AO119" s="79"/>
      <c r="AP119" s="80">
        <f t="shared" si="38"/>
        <v>1</v>
      </c>
      <c r="AQ119" s="80">
        <f t="shared" si="38"/>
        <v>2</v>
      </c>
      <c r="AR119" s="61"/>
      <c r="AS119" s="62"/>
      <c r="AT119" s="81"/>
      <c r="AU119" s="81"/>
      <c r="AV119" s="81"/>
      <c r="AW119" s="81"/>
      <c r="AX119" s="82"/>
      <c r="AY119" s="83">
        <f t="shared" si="37"/>
        <v>0</v>
      </c>
      <c r="AZ119" s="83">
        <f t="shared" si="27"/>
        <v>0</v>
      </c>
    </row>
    <row r="120" spans="1:52" s="66" customFormat="1" ht="39.75" customHeight="1" thickBot="1" x14ac:dyDescent="0.2">
      <c r="A120" s="101"/>
      <c r="B120" s="101"/>
      <c r="C120" s="101"/>
      <c r="D120" s="101"/>
      <c r="E120" s="101"/>
      <c r="F120" s="101"/>
      <c r="G120" s="90"/>
      <c r="H120" s="158"/>
      <c r="I120" s="92">
        <v>0.51</v>
      </c>
      <c r="J120" s="41">
        <v>0.49</v>
      </c>
      <c r="K120" s="41"/>
      <c r="L120" s="88"/>
      <c r="M120" s="68"/>
      <c r="N120" s="94">
        <f t="shared" si="24"/>
        <v>1</v>
      </c>
      <c r="O120" s="44">
        <v>1</v>
      </c>
      <c r="P120" s="45">
        <v>15</v>
      </c>
      <c r="Q120" s="46">
        <v>15</v>
      </c>
      <c r="R120" s="46"/>
      <c r="S120" s="46"/>
      <c r="T120" s="70"/>
      <c r="U120" s="71">
        <f t="shared" si="28"/>
        <v>15</v>
      </c>
      <c r="V120" s="72">
        <f t="shared" si="29"/>
        <v>15</v>
      </c>
      <c r="W120" s="99"/>
      <c r="X120" s="100"/>
      <c r="Y120" s="85"/>
      <c r="Z120" s="73"/>
      <c r="AA120" s="74"/>
      <c r="AB120" s="75">
        <f t="shared" si="30"/>
        <v>0</v>
      </c>
      <c r="AC120" s="72">
        <f t="shared" si="31"/>
        <v>0</v>
      </c>
      <c r="AD120" s="52">
        <v>2</v>
      </c>
      <c r="AE120" s="71">
        <f t="shared" si="32"/>
        <v>2</v>
      </c>
      <c r="AF120" s="76"/>
      <c r="AG120" s="86"/>
      <c r="AH120" s="77">
        <f t="shared" si="33"/>
        <v>17</v>
      </c>
      <c r="AI120" s="56">
        <v>10</v>
      </c>
      <c r="AJ120" s="56">
        <v>10</v>
      </c>
      <c r="AK120" s="56">
        <v>45</v>
      </c>
      <c r="AL120" s="57">
        <f t="shared" si="34"/>
        <v>82</v>
      </c>
      <c r="AM120" s="55">
        <f t="shared" si="35"/>
        <v>82</v>
      </c>
      <c r="AN120" s="78">
        <f t="shared" si="36"/>
        <v>1.02</v>
      </c>
      <c r="AO120" s="79"/>
      <c r="AP120" s="80">
        <f t="shared" si="38"/>
        <v>1</v>
      </c>
      <c r="AQ120" s="80">
        <f t="shared" si="38"/>
        <v>2</v>
      </c>
      <c r="AR120" s="61"/>
      <c r="AS120" s="62"/>
      <c r="AT120" s="81"/>
      <c r="AU120" s="81"/>
      <c r="AV120" s="81"/>
      <c r="AW120" s="81"/>
      <c r="AX120" s="82"/>
      <c r="AY120" s="83">
        <f t="shared" si="37"/>
        <v>0</v>
      </c>
      <c r="AZ120" s="83">
        <f t="shared" si="27"/>
        <v>0</v>
      </c>
    </row>
    <row r="121" spans="1:52" s="66" customFormat="1" ht="39.75" customHeight="1" thickBot="1" x14ac:dyDescent="0.2">
      <c r="A121" s="101"/>
      <c r="B121" s="101"/>
      <c r="C121" s="101"/>
      <c r="D121" s="101"/>
      <c r="E121" s="101"/>
      <c r="F121" s="101"/>
      <c r="G121" s="90"/>
      <c r="H121" s="158"/>
      <c r="I121" s="92">
        <v>0.51</v>
      </c>
      <c r="J121" s="41">
        <v>0.49</v>
      </c>
      <c r="K121" s="41"/>
      <c r="L121" s="88"/>
      <c r="M121" s="68"/>
      <c r="N121" s="94">
        <f t="shared" si="24"/>
        <v>1</v>
      </c>
      <c r="O121" s="44">
        <v>1</v>
      </c>
      <c r="P121" s="45">
        <v>15</v>
      </c>
      <c r="Q121" s="46">
        <v>15</v>
      </c>
      <c r="R121" s="46"/>
      <c r="S121" s="46"/>
      <c r="T121" s="70"/>
      <c r="U121" s="71">
        <f t="shared" si="28"/>
        <v>15</v>
      </c>
      <c r="V121" s="72">
        <f t="shared" si="29"/>
        <v>15</v>
      </c>
      <c r="W121" s="99"/>
      <c r="X121" s="100"/>
      <c r="Y121" s="85"/>
      <c r="Z121" s="73"/>
      <c r="AA121" s="74"/>
      <c r="AB121" s="75">
        <f t="shared" si="30"/>
        <v>0</v>
      </c>
      <c r="AC121" s="72">
        <f t="shared" si="31"/>
        <v>0</v>
      </c>
      <c r="AD121" s="52">
        <v>2</v>
      </c>
      <c r="AE121" s="71">
        <f t="shared" si="32"/>
        <v>2</v>
      </c>
      <c r="AF121" s="76"/>
      <c r="AG121" s="86"/>
      <c r="AH121" s="77">
        <f t="shared" si="33"/>
        <v>17</v>
      </c>
      <c r="AI121" s="56">
        <v>10</v>
      </c>
      <c r="AJ121" s="56">
        <v>10</v>
      </c>
      <c r="AK121" s="56">
        <v>45</v>
      </c>
      <c r="AL121" s="57">
        <f t="shared" si="34"/>
        <v>82</v>
      </c>
      <c r="AM121" s="55">
        <f t="shared" si="35"/>
        <v>82</v>
      </c>
      <c r="AN121" s="78">
        <f t="shared" si="36"/>
        <v>1.02</v>
      </c>
      <c r="AO121" s="79"/>
      <c r="AP121" s="80">
        <f t="shared" si="38"/>
        <v>1</v>
      </c>
      <c r="AQ121" s="80">
        <f t="shared" si="38"/>
        <v>2</v>
      </c>
      <c r="AR121" s="61"/>
      <c r="AS121" s="62"/>
      <c r="AT121" s="81"/>
      <c r="AU121" s="81"/>
      <c r="AV121" s="81"/>
      <c r="AW121" s="81"/>
      <c r="AX121" s="82"/>
      <c r="AY121" s="83">
        <f t="shared" si="37"/>
        <v>0</v>
      </c>
      <c r="AZ121" s="83">
        <f t="shared" si="27"/>
        <v>0</v>
      </c>
    </row>
    <row r="122" spans="1:52" s="23" customFormat="1" ht="39.75" customHeight="1" thickBot="1" x14ac:dyDescent="0.2">
      <c r="A122" s="101"/>
      <c r="B122" s="101"/>
      <c r="C122" s="101"/>
      <c r="D122" s="101"/>
      <c r="E122" s="101"/>
      <c r="F122" s="101"/>
      <c r="G122" s="90"/>
      <c r="H122" s="158"/>
      <c r="I122" s="92">
        <v>0.51</v>
      </c>
      <c r="J122" s="41">
        <v>0.49</v>
      </c>
      <c r="K122" s="41"/>
      <c r="L122" s="88"/>
      <c r="M122" s="68"/>
      <c r="N122" s="94">
        <f t="shared" si="24"/>
        <v>1</v>
      </c>
      <c r="O122" s="44">
        <v>1</v>
      </c>
      <c r="P122" s="45">
        <v>15</v>
      </c>
      <c r="Q122" s="46">
        <v>15</v>
      </c>
      <c r="R122" s="46"/>
      <c r="S122" s="46"/>
      <c r="T122" s="70"/>
      <c r="U122" s="71">
        <f t="shared" si="28"/>
        <v>15</v>
      </c>
      <c r="V122" s="72">
        <f t="shared" si="29"/>
        <v>15</v>
      </c>
      <c r="W122" s="99"/>
      <c r="X122" s="100"/>
      <c r="Y122" s="85"/>
      <c r="Z122" s="73"/>
      <c r="AA122" s="74"/>
      <c r="AB122" s="75">
        <f t="shared" si="30"/>
        <v>0</v>
      </c>
      <c r="AC122" s="72">
        <f t="shared" si="31"/>
        <v>0</v>
      </c>
      <c r="AD122" s="52">
        <v>2</v>
      </c>
      <c r="AE122" s="71">
        <f t="shared" si="32"/>
        <v>2</v>
      </c>
      <c r="AF122" s="76"/>
      <c r="AG122" s="86"/>
      <c r="AH122" s="77">
        <f t="shared" si="33"/>
        <v>17</v>
      </c>
      <c r="AI122" s="56">
        <v>10</v>
      </c>
      <c r="AJ122" s="56">
        <v>10</v>
      </c>
      <c r="AK122" s="56">
        <v>45</v>
      </c>
      <c r="AL122" s="57">
        <f t="shared" si="34"/>
        <v>82</v>
      </c>
      <c r="AM122" s="55">
        <f t="shared" si="35"/>
        <v>82</v>
      </c>
      <c r="AN122" s="78">
        <f t="shared" si="36"/>
        <v>1.02</v>
      </c>
      <c r="AO122" s="79"/>
      <c r="AP122" s="80">
        <f t="shared" si="38"/>
        <v>1</v>
      </c>
      <c r="AQ122" s="80">
        <f t="shared" si="38"/>
        <v>2</v>
      </c>
      <c r="AR122" s="61"/>
      <c r="AS122" s="62"/>
      <c r="AT122" s="81"/>
      <c r="AU122" s="81"/>
      <c r="AV122" s="81"/>
      <c r="AW122" s="81"/>
      <c r="AX122" s="82"/>
      <c r="AY122" s="83">
        <f t="shared" si="37"/>
        <v>0</v>
      </c>
      <c r="AZ122" s="83">
        <f t="shared" si="27"/>
        <v>0</v>
      </c>
    </row>
    <row r="123" spans="1:52" s="66" customFormat="1" ht="39.75" customHeight="1" thickBot="1" x14ac:dyDescent="0.2">
      <c r="A123" s="101"/>
      <c r="B123" s="101"/>
      <c r="C123" s="101"/>
      <c r="D123" s="101"/>
      <c r="E123" s="101"/>
      <c r="F123" s="101"/>
      <c r="G123" s="90"/>
      <c r="H123" s="158"/>
      <c r="I123" s="92">
        <v>0.51</v>
      </c>
      <c r="J123" s="41">
        <v>0.49</v>
      </c>
      <c r="K123" s="41"/>
      <c r="L123" s="88"/>
      <c r="M123" s="68"/>
      <c r="N123" s="94">
        <f t="shared" si="24"/>
        <v>1</v>
      </c>
      <c r="O123" s="44">
        <v>1</v>
      </c>
      <c r="P123" s="45">
        <v>15</v>
      </c>
      <c r="Q123" s="46">
        <v>15</v>
      </c>
      <c r="R123" s="46"/>
      <c r="S123" s="46"/>
      <c r="T123" s="70"/>
      <c r="U123" s="71">
        <f t="shared" si="28"/>
        <v>15</v>
      </c>
      <c r="V123" s="72">
        <f t="shared" si="29"/>
        <v>15</v>
      </c>
      <c r="W123" s="99"/>
      <c r="X123" s="100"/>
      <c r="Y123" s="85"/>
      <c r="Z123" s="73"/>
      <c r="AA123" s="74"/>
      <c r="AB123" s="75">
        <f t="shared" si="30"/>
        <v>0</v>
      </c>
      <c r="AC123" s="72">
        <f t="shared" si="31"/>
        <v>0</v>
      </c>
      <c r="AD123" s="52">
        <v>2</v>
      </c>
      <c r="AE123" s="71">
        <f t="shared" si="32"/>
        <v>2</v>
      </c>
      <c r="AF123" s="76"/>
      <c r="AG123" s="86"/>
      <c r="AH123" s="77">
        <f t="shared" si="33"/>
        <v>17</v>
      </c>
      <c r="AI123" s="56">
        <v>10</v>
      </c>
      <c r="AJ123" s="56">
        <v>10</v>
      </c>
      <c r="AK123" s="56">
        <v>45</v>
      </c>
      <c r="AL123" s="57">
        <f t="shared" si="34"/>
        <v>82</v>
      </c>
      <c r="AM123" s="55">
        <f t="shared" si="35"/>
        <v>82</v>
      </c>
      <c r="AN123" s="78">
        <f t="shared" si="36"/>
        <v>1.02</v>
      </c>
      <c r="AO123" s="79"/>
      <c r="AP123" s="80">
        <f t="shared" si="38"/>
        <v>1</v>
      </c>
      <c r="AQ123" s="80">
        <f t="shared" si="38"/>
        <v>2</v>
      </c>
      <c r="AR123" s="61"/>
      <c r="AS123" s="62"/>
      <c r="AT123" s="81"/>
      <c r="AU123" s="81"/>
      <c r="AV123" s="81"/>
      <c r="AW123" s="81"/>
      <c r="AX123" s="82"/>
      <c r="AY123" s="83">
        <f t="shared" si="37"/>
        <v>0</v>
      </c>
      <c r="AZ123" s="83">
        <f t="shared" si="27"/>
        <v>0</v>
      </c>
    </row>
    <row r="124" spans="1:52" s="66" customFormat="1" ht="39.75" customHeight="1" thickBot="1" x14ac:dyDescent="0.2">
      <c r="A124" s="101"/>
      <c r="B124" s="101"/>
      <c r="C124" s="101"/>
      <c r="D124" s="101"/>
      <c r="E124" s="101"/>
      <c r="F124" s="101"/>
      <c r="G124" s="90"/>
      <c r="H124" s="158"/>
      <c r="I124" s="92">
        <v>0.51</v>
      </c>
      <c r="J124" s="41">
        <v>0.49</v>
      </c>
      <c r="K124" s="41"/>
      <c r="L124" s="88"/>
      <c r="M124" s="68"/>
      <c r="N124" s="94">
        <f t="shared" si="24"/>
        <v>1</v>
      </c>
      <c r="O124" s="44">
        <v>1</v>
      </c>
      <c r="P124" s="45">
        <v>15</v>
      </c>
      <c r="Q124" s="46">
        <v>15</v>
      </c>
      <c r="R124" s="46"/>
      <c r="S124" s="46"/>
      <c r="T124" s="70"/>
      <c r="U124" s="71">
        <f t="shared" si="28"/>
        <v>15</v>
      </c>
      <c r="V124" s="72">
        <f t="shared" si="29"/>
        <v>15</v>
      </c>
      <c r="W124" s="99"/>
      <c r="X124" s="100"/>
      <c r="Y124" s="85"/>
      <c r="Z124" s="73"/>
      <c r="AA124" s="74"/>
      <c r="AB124" s="75">
        <f t="shared" si="30"/>
        <v>0</v>
      </c>
      <c r="AC124" s="72">
        <f t="shared" si="31"/>
        <v>0</v>
      </c>
      <c r="AD124" s="52">
        <v>2</v>
      </c>
      <c r="AE124" s="71">
        <f t="shared" si="32"/>
        <v>2</v>
      </c>
      <c r="AF124" s="76"/>
      <c r="AG124" s="86"/>
      <c r="AH124" s="77">
        <f t="shared" si="33"/>
        <v>17</v>
      </c>
      <c r="AI124" s="56">
        <v>10</v>
      </c>
      <c r="AJ124" s="56">
        <v>10</v>
      </c>
      <c r="AK124" s="56">
        <v>45</v>
      </c>
      <c r="AL124" s="57">
        <f t="shared" si="34"/>
        <v>82</v>
      </c>
      <c r="AM124" s="55">
        <f t="shared" si="35"/>
        <v>82</v>
      </c>
      <c r="AN124" s="78">
        <f t="shared" si="36"/>
        <v>1.02</v>
      </c>
      <c r="AO124" s="79"/>
      <c r="AP124" s="80">
        <f t="shared" ref="AP124:AQ143" si="39">100%+AO124</f>
        <v>1</v>
      </c>
      <c r="AQ124" s="80">
        <f t="shared" si="39"/>
        <v>2</v>
      </c>
      <c r="AR124" s="61"/>
      <c r="AS124" s="62"/>
      <c r="AT124" s="81"/>
      <c r="AU124" s="81"/>
      <c r="AV124" s="81"/>
      <c r="AW124" s="81"/>
      <c r="AX124" s="82"/>
      <c r="AY124" s="83">
        <f t="shared" si="37"/>
        <v>0</v>
      </c>
      <c r="AZ124" s="83">
        <f t="shared" si="27"/>
        <v>0</v>
      </c>
    </row>
    <row r="125" spans="1:52" s="23" customFormat="1" ht="39.75" customHeight="1" thickBot="1" x14ac:dyDescent="0.2">
      <c r="A125" s="101"/>
      <c r="B125" s="101"/>
      <c r="C125" s="101"/>
      <c r="D125" s="101"/>
      <c r="E125" s="101"/>
      <c r="F125" s="101"/>
      <c r="G125" s="90"/>
      <c r="H125" s="158"/>
      <c r="I125" s="92">
        <v>0.51</v>
      </c>
      <c r="J125" s="41">
        <v>0.49</v>
      </c>
      <c r="K125" s="41"/>
      <c r="L125" s="88"/>
      <c r="M125" s="68"/>
      <c r="N125" s="94">
        <f t="shared" si="24"/>
        <v>1</v>
      </c>
      <c r="O125" s="44">
        <v>1</v>
      </c>
      <c r="P125" s="45">
        <v>15</v>
      </c>
      <c r="Q125" s="46">
        <v>15</v>
      </c>
      <c r="R125" s="46"/>
      <c r="S125" s="46"/>
      <c r="T125" s="70"/>
      <c r="U125" s="71">
        <f t="shared" si="28"/>
        <v>15</v>
      </c>
      <c r="V125" s="72">
        <f t="shared" si="29"/>
        <v>15</v>
      </c>
      <c r="W125" s="99"/>
      <c r="X125" s="100"/>
      <c r="Y125" s="85"/>
      <c r="Z125" s="73"/>
      <c r="AA125" s="74"/>
      <c r="AB125" s="75">
        <f t="shared" si="30"/>
        <v>0</v>
      </c>
      <c r="AC125" s="72">
        <f t="shared" si="31"/>
        <v>0</v>
      </c>
      <c r="AD125" s="52">
        <v>2</v>
      </c>
      <c r="AE125" s="71">
        <f t="shared" si="32"/>
        <v>2</v>
      </c>
      <c r="AF125" s="76"/>
      <c r="AG125" s="86"/>
      <c r="AH125" s="77">
        <f t="shared" si="33"/>
        <v>17</v>
      </c>
      <c r="AI125" s="56">
        <v>10</v>
      </c>
      <c r="AJ125" s="56">
        <v>10</v>
      </c>
      <c r="AK125" s="56">
        <v>45</v>
      </c>
      <c r="AL125" s="57">
        <f t="shared" si="34"/>
        <v>82</v>
      </c>
      <c r="AM125" s="55">
        <f t="shared" si="35"/>
        <v>82</v>
      </c>
      <c r="AN125" s="78">
        <f t="shared" si="36"/>
        <v>1.02</v>
      </c>
      <c r="AO125" s="79"/>
      <c r="AP125" s="80">
        <f t="shared" si="39"/>
        <v>1</v>
      </c>
      <c r="AQ125" s="80">
        <f t="shared" si="39"/>
        <v>2</v>
      </c>
      <c r="AR125" s="61"/>
      <c r="AS125" s="62"/>
      <c r="AT125" s="81"/>
      <c r="AU125" s="81"/>
      <c r="AV125" s="81"/>
      <c r="AW125" s="81"/>
      <c r="AX125" s="82"/>
      <c r="AY125" s="83">
        <f t="shared" si="37"/>
        <v>0</v>
      </c>
      <c r="AZ125" s="83">
        <f t="shared" si="27"/>
        <v>0</v>
      </c>
    </row>
    <row r="126" spans="1:52" s="66" customFormat="1" ht="39.75" customHeight="1" thickBot="1" x14ac:dyDescent="0.2">
      <c r="A126" s="101"/>
      <c r="B126" s="101"/>
      <c r="C126" s="101"/>
      <c r="D126" s="101"/>
      <c r="E126" s="101"/>
      <c r="F126" s="101"/>
      <c r="G126" s="90"/>
      <c r="H126" s="158"/>
      <c r="I126" s="92">
        <v>0.51</v>
      </c>
      <c r="J126" s="41">
        <v>0.49</v>
      </c>
      <c r="K126" s="41"/>
      <c r="L126" s="88"/>
      <c r="M126" s="68"/>
      <c r="N126" s="94">
        <f t="shared" si="24"/>
        <v>1</v>
      </c>
      <c r="O126" s="44">
        <v>1</v>
      </c>
      <c r="P126" s="45">
        <v>15</v>
      </c>
      <c r="Q126" s="46">
        <v>15</v>
      </c>
      <c r="R126" s="46"/>
      <c r="S126" s="46"/>
      <c r="T126" s="70"/>
      <c r="U126" s="71">
        <f t="shared" si="28"/>
        <v>15</v>
      </c>
      <c r="V126" s="72">
        <f t="shared" si="29"/>
        <v>15</v>
      </c>
      <c r="W126" s="99"/>
      <c r="X126" s="100"/>
      <c r="Y126" s="85"/>
      <c r="Z126" s="73"/>
      <c r="AA126" s="74"/>
      <c r="AB126" s="75">
        <f t="shared" si="30"/>
        <v>0</v>
      </c>
      <c r="AC126" s="72">
        <f t="shared" si="31"/>
        <v>0</v>
      </c>
      <c r="AD126" s="52">
        <v>2</v>
      </c>
      <c r="AE126" s="71">
        <f t="shared" si="32"/>
        <v>2</v>
      </c>
      <c r="AF126" s="76"/>
      <c r="AG126" s="86"/>
      <c r="AH126" s="77">
        <f t="shared" si="33"/>
        <v>17</v>
      </c>
      <c r="AI126" s="56">
        <v>10</v>
      </c>
      <c r="AJ126" s="56">
        <v>10</v>
      </c>
      <c r="AK126" s="56">
        <v>45</v>
      </c>
      <c r="AL126" s="57">
        <f t="shared" si="34"/>
        <v>82</v>
      </c>
      <c r="AM126" s="55">
        <f t="shared" si="35"/>
        <v>82</v>
      </c>
      <c r="AN126" s="78">
        <f t="shared" si="36"/>
        <v>1.02</v>
      </c>
      <c r="AO126" s="79"/>
      <c r="AP126" s="80">
        <f t="shared" si="39"/>
        <v>1</v>
      </c>
      <c r="AQ126" s="80">
        <f t="shared" si="39"/>
        <v>2</v>
      </c>
      <c r="AR126" s="61"/>
      <c r="AS126" s="62"/>
      <c r="AT126" s="81"/>
      <c r="AU126" s="81"/>
      <c r="AV126" s="81"/>
      <c r="AW126" s="81"/>
      <c r="AX126" s="82"/>
      <c r="AY126" s="83">
        <f t="shared" si="37"/>
        <v>0</v>
      </c>
      <c r="AZ126" s="83">
        <f t="shared" si="27"/>
        <v>0</v>
      </c>
    </row>
    <row r="127" spans="1:52" s="66" customFormat="1" ht="39.75" customHeight="1" thickBot="1" x14ac:dyDescent="0.2">
      <c r="A127" s="101"/>
      <c r="B127" s="101"/>
      <c r="C127" s="101"/>
      <c r="D127" s="101"/>
      <c r="E127" s="101"/>
      <c r="F127" s="101"/>
      <c r="G127" s="90"/>
      <c r="H127" s="158"/>
      <c r="I127" s="92">
        <v>0.51</v>
      </c>
      <c r="J127" s="41">
        <v>0.49</v>
      </c>
      <c r="K127" s="41"/>
      <c r="L127" s="88"/>
      <c r="M127" s="68"/>
      <c r="N127" s="94">
        <f t="shared" si="24"/>
        <v>1</v>
      </c>
      <c r="O127" s="44">
        <v>1</v>
      </c>
      <c r="P127" s="45">
        <v>15</v>
      </c>
      <c r="Q127" s="46">
        <v>15</v>
      </c>
      <c r="R127" s="46"/>
      <c r="S127" s="46"/>
      <c r="T127" s="70"/>
      <c r="U127" s="71">
        <f t="shared" si="28"/>
        <v>15</v>
      </c>
      <c r="V127" s="72">
        <f t="shared" si="29"/>
        <v>15</v>
      </c>
      <c r="W127" s="99"/>
      <c r="X127" s="100"/>
      <c r="Y127" s="85"/>
      <c r="Z127" s="73"/>
      <c r="AA127" s="74"/>
      <c r="AB127" s="75">
        <f t="shared" si="30"/>
        <v>0</v>
      </c>
      <c r="AC127" s="72">
        <f t="shared" si="31"/>
        <v>0</v>
      </c>
      <c r="AD127" s="52">
        <v>2</v>
      </c>
      <c r="AE127" s="71">
        <f t="shared" si="32"/>
        <v>2</v>
      </c>
      <c r="AF127" s="76"/>
      <c r="AG127" s="86"/>
      <c r="AH127" s="77">
        <f t="shared" si="33"/>
        <v>17</v>
      </c>
      <c r="AI127" s="56">
        <v>10</v>
      </c>
      <c r="AJ127" s="56">
        <v>10</v>
      </c>
      <c r="AK127" s="56">
        <v>45</v>
      </c>
      <c r="AL127" s="57">
        <f t="shared" si="34"/>
        <v>82</v>
      </c>
      <c r="AM127" s="55">
        <f t="shared" si="35"/>
        <v>82</v>
      </c>
      <c r="AN127" s="78">
        <f t="shared" si="36"/>
        <v>1.02</v>
      </c>
      <c r="AO127" s="79"/>
      <c r="AP127" s="80">
        <f t="shared" si="39"/>
        <v>1</v>
      </c>
      <c r="AQ127" s="80">
        <f t="shared" si="39"/>
        <v>2</v>
      </c>
      <c r="AR127" s="61"/>
      <c r="AS127" s="62"/>
      <c r="AT127" s="81"/>
      <c r="AU127" s="81"/>
      <c r="AV127" s="81"/>
      <c r="AW127" s="81"/>
      <c r="AX127" s="82"/>
      <c r="AY127" s="83">
        <f t="shared" si="37"/>
        <v>0</v>
      </c>
      <c r="AZ127" s="83">
        <f t="shared" si="27"/>
        <v>0</v>
      </c>
    </row>
    <row r="128" spans="1:52" s="66" customFormat="1" ht="39.75" customHeight="1" thickBot="1" x14ac:dyDescent="0.2">
      <c r="A128" s="101"/>
      <c r="B128" s="101"/>
      <c r="C128" s="101"/>
      <c r="D128" s="101"/>
      <c r="E128" s="101"/>
      <c r="F128" s="101"/>
      <c r="G128" s="90"/>
      <c r="H128" s="158"/>
      <c r="I128" s="92">
        <v>0.51</v>
      </c>
      <c r="J128" s="41">
        <v>0.49</v>
      </c>
      <c r="K128" s="41"/>
      <c r="L128" s="88"/>
      <c r="M128" s="68"/>
      <c r="N128" s="94">
        <f t="shared" ref="N128:N151" si="40">SUM(I128:M128)</f>
        <v>1</v>
      </c>
      <c r="O128" s="44">
        <v>1</v>
      </c>
      <c r="P128" s="45">
        <v>15</v>
      </c>
      <c r="Q128" s="46">
        <v>15</v>
      </c>
      <c r="R128" s="46"/>
      <c r="S128" s="46"/>
      <c r="T128" s="70"/>
      <c r="U128" s="71">
        <f t="shared" si="28"/>
        <v>15</v>
      </c>
      <c r="V128" s="72">
        <f t="shared" si="29"/>
        <v>15</v>
      </c>
      <c r="W128" s="99"/>
      <c r="X128" s="100"/>
      <c r="Y128" s="85"/>
      <c r="Z128" s="73"/>
      <c r="AA128" s="74"/>
      <c r="AB128" s="75">
        <f t="shared" si="30"/>
        <v>0</v>
      </c>
      <c r="AC128" s="72">
        <f t="shared" si="31"/>
        <v>0</v>
      </c>
      <c r="AD128" s="52">
        <v>2</v>
      </c>
      <c r="AE128" s="71">
        <f t="shared" si="32"/>
        <v>2</v>
      </c>
      <c r="AF128" s="76"/>
      <c r="AG128" s="86"/>
      <c r="AH128" s="77">
        <f t="shared" si="33"/>
        <v>17</v>
      </c>
      <c r="AI128" s="56">
        <v>10</v>
      </c>
      <c r="AJ128" s="56">
        <v>10</v>
      </c>
      <c r="AK128" s="56">
        <v>45</v>
      </c>
      <c r="AL128" s="57">
        <f t="shared" si="34"/>
        <v>82</v>
      </c>
      <c r="AM128" s="55">
        <f t="shared" si="35"/>
        <v>82</v>
      </c>
      <c r="AN128" s="78">
        <f t="shared" si="36"/>
        <v>1.02</v>
      </c>
      <c r="AO128" s="79"/>
      <c r="AP128" s="80">
        <f t="shared" si="39"/>
        <v>1</v>
      </c>
      <c r="AQ128" s="80">
        <f t="shared" si="39"/>
        <v>2</v>
      </c>
      <c r="AR128" s="61"/>
      <c r="AS128" s="62"/>
      <c r="AT128" s="81"/>
      <c r="AU128" s="81"/>
      <c r="AV128" s="81"/>
      <c r="AW128" s="81"/>
      <c r="AX128" s="82"/>
      <c r="AY128" s="83">
        <f t="shared" si="37"/>
        <v>0</v>
      </c>
      <c r="AZ128" s="83">
        <f t="shared" si="27"/>
        <v>0</v>
      </c>
    </row>
    <row r="129" spans="1:52" s="66" customFormat="1" ht="39.75" customHeight="1" thickBot="1" x14ac:dyDescent="0.2">
      <c r="A129" s="101"/>
      <c r="B129" s="101"/>
      <c r="C129" s="101"/>
      <c r="D129" s="101"/>
      <c r="E129" s="101"/>
      <c r="F129" s="101"/>
      <c r="G129" s="90"/>
      <c r="H129" s="158"/>
      <c r="I129" s="92">
        <v>0.51</v>
      </c>
      <c r="J129" s="41">
        <v>0.49</v>
      </c>
      <c r="K129" s="41"/>
      <c r="L129" s="88"/>
      <c r="M129" s="68"/>
      <c r="N129" s="94">
        <f t="shared" si="40"/>
        <v>1</v>
      </c>
      <c r="O129" s="44">
        <v>1</v>
      </c>
      <c r="P129" s="45">
        <v>15</v>
      </c>
      <c r="Q129" s="46">
        <v>15</v>
      </c>
      <c r="R129" s="46"/>
      <c r="S129" s="46"/>
      <c r="T129" s="70"/>
      <c r="U129" s="71">
        <f t="shared" si="28"/>
        <v>15</v>
      </c>
      <c r="V129" s="72">
        <f t="shared" si="29"/>
        <v>15</v>
      </c>
      <c r="W129" s="99"/>
      <c r="X129" s="100"/>
      <c r="Y129" s="85"/>
      <c r="Z129" s="73"/>
      <c r="AA129" s="74"/>
      <c r="AB129" s="75">
        <f t="shared" si="30"/>
        <v>0</v>
      </c>
      <c r="AC129" s="72">
        <f t="shared" si="31"/>
        <v>0</v>
      </c>
      <c r="AD129" s="52">
        <v>2</v>
      </c>
      <c r="AE129" s="71">
        <f t="shared" si="32"/>
        <v>2</v>
      </c>
      <c r="AF129" s="76"/>
      <c r="AG129" s="86"/>
      <c r="AH129" s="77">
        <f t="shared" si="33"/>
        <v>17</v>
      </c>
      <c r="AI129" s="56">
        <v>10</v>
      </c>
      <c r="AJ129" s="56">
        <v>10</v>
      </c>
      <c r="AK129" s="56">
        <v>45</v>
      </c>
      <c r="AL129" s="57">
        <f t="shared" si="34"/>
        <v>82</v>
      </c>
      <c r="AM129" s="55">
        <f t="shared" si="35"/>
        <v>82</v>
      </c>
      <c r="AN129" s="78">
        <f t="shared" si="36"/>
        <v>1.02</v>
      </c>
      <c r="AO129" s="79"/>
      <c r="AP129" s="80">
        <f t="shared" si="39"/>
        <v>1</v>
      </c>
      <c r="AQ129" s="80">
        <f t="shared" si="39"/>
        <v>2</v>
      </c>
      <c r="AR129" s="61"/>
      <c r="AS129" s="62"/>
      <c r="AT129" s="81"/>
      <c r="AU129" s="81"/>
      <c r="AV129" s="81"/>
      <c r="AW129" s="81"/>
      <c r="AX129" s="82"/>
      <c r="AY129" s="83">
        <f t="shared" si="37"/>
        <v>0</v>
      </c>
      <c r="AZ129" s="83">
        <f t="shared" si="27"/>
        <v>0</v>
      </c>
    </row>
    <row r="130" spans="1:52" s="66" customFormat="1" ht="39.75" customHeight="1" thickBot="1" x14ac:dyDescent="0.2">
      <c r="A130" s="101"/>
      <c r="B130" s="101"/>
      <c r="C130" s="101"/>
      <c r="D130" s="101"/>
      <c r="E130" s="101"/>
      <c r="F130" s="101"/>
      <c r="G130" s="90"/>
      <c r="H130" s="158"/>
      <c r="I130" s="92">
        <v>0.51</v>
      </c>
      <c r="J130" s="41">
        <v>0.49</v>
      </c>
      <c r="K130" s="41"/>
      <c r="L130" s="88"/>
      <c r="M130" s="68"/>
      <c r="N130" s="94">
        <f t="shared" si="40"/>
        <v>1</v>
      </c>
      <c r="O130" s="44">
        <v>1</v>
      </c>
      <c r="P130" s="45">
        <v>15</v>
      </c>
      <c r="Q130" s="46">
        <v>15</v>
      </c>
      <c r="R130" s="46"/>
      <c r="S130" s="46"/>
      <c r="T130" s="70"/>
      <c r="U130" s="71">
        <f t="shared" si="28"/>
        <v>15</v>
      </c>
      <c r="V130" s="72">
        <f t="shared" si="29"/>
        <v>15</v>
      </c>
      <c r="W130" s="99"/>
      <c r="X130" s="100"/>
      <c r="Y130" s="85"/>
      <c r="Z130" s="73"/>
      <c r="AA130" s="74"/>
      <c r="AB130" s="75">
        <f t="shared" si="30"/>
        <v>0</v>
      </c>
      <c r="AC130" s="72">
        <f t="shared" si="31"/>
        <v>0</v>
      </c>
      <c r="AD130" s="52">
        <v>2</v>
      </c>
      <c r="AE130" s="71">
        <f t="shared" si="32"/>
        <v>2</v>
      </c>
      <c r="AF130" s="76"/>
      <c r="AG130" s="86"/>
      <c r="AH130" s="77">
        <f t="shared" si="33"/>
        <v>17</v>
      </c>
      <c r="AI130" s="56">
        <v>10</v>
      </c>
      <c r="AJ130" s="56">
        <v>10</v>
      </c>
      <c r="AK130" s="56">
        <v>45</v>
      </c>
      <c r="AL130" s="57">
        <f t="shared" si="34"/>
        <v>82</v>
      </c>
      <c r="AM130" s="55">
        <f t="shared" si="35"/>
        <v>82</v>
      </c>
      <c r="AN130" s="78">
        <f t="shared" si="36"/>
        <v>1.02</v>
      </c>
      <c r="AO130" s="79"/>
      <c r="AP130" s="80">
        <f t="shared" si="39"/>
        <v>1</v>
      </c>
      <c r="AQ130" s="80">
        <f t="shared" si="39"/>
        <v>2</v>
      </c>
      <c r="AR130" s="61"/>
      <c r="AS130" s="62"/>
      <c r="AT130" s="81"/>
      <c r="AU130" s="81"/>
      <c r="AV130" s="81"/>
      <c r="AW130" s="81"/>
      <c r="AX130" s="82"/>
      <c r="AY130" s="83">
        <f t="shared" si="37"/>
        <v>0</v>
      </c>
      <c r="AZ130" s="83">
        <f t="shared" si="27"/>
        <v>0</v>
      </c>
    </row>
    <row r="131" spans="1:52" s="66" customFormat="1" ht="39.75" customHeight="1" thickBot="1" x14ac:dyDescent="0.2">
      <c r="A131" s="101"/>
      <c r="B131" s="101"/>
      <c r="C131" s="101"/>
      <c r="D131" s="101"/>
      <c r="E131" s="101"/>
      <c r="F131" s="101"/>
      <c r="G131" s="90"/>
      <c r="H131" s="158"/>
      <c r="I131" s="92">
        <v>0.51</v>
      </c>
      <c r="J131" s="41">
        <v>0.49</v>
      </c>
      <c r="K131" s="41"/>
      <c r="L131" s="41"/>
      <c r="M131" s="93"/>
      <c r="N131" s="94">
        <f t="shared" si="40"/>
        <v>1</v>
      </c>
      <c r="O131" s="44">
        <v>1</v>
      </c>
      <c r="P131" s="45">
        <v>15</v>
      </c>
      <c r="Q131" s="46">
        <v>15</v>
      </c>
      <c r="R131" s="46"/>
      <c r="S131" s="46"/>
      <c r="T131" s="70"/>
      <c r="U131" s="71">
        <f t="shared" si="28"/>
        <v>15</v>
      </c>
      <c r="V131" s="72">
        <f t="shared" si="29"/>
        <v>15</v>
      </c>
      <c r="W131" s="99"/>
      <c r="X131" s="100"/>
      <c r="Y131" s="85"/>
      <c r="Z131" s="73"/>
      <c r="AA131" s="74"/>
      <c r="AB131" s="75">
        <f t="shared" si="30"/>
        <v>0</v>
      </c>
      <c r="AC131" s="72">
        <f t="shared" si="31"/>
        <v>0</v>
      </c>
      <c r="AD131" s="52">
        <v>2</v>
      </c>
      <c r="AE131" s="71">
        <f t="shared" si="32"/>
        <v>2</v>
      </c>
      <c r="AF131" s="76"/>
      <c r="AG131" s="86"/>
      <c r="AH131" s="77">
        <f t="shared" si="33"/>
        <v>17</v>
      </c>
      <c r="AI131" s="56">
        <v>10</v>
      </c>
      <c r="AJ131" s="56">
        <v>10</v>
      </c>
      <c r="AK131" s="56">
        <v>45</v>
      </c>
      <c r="AL131" s="57">
        <f t="shared" si="34"/>
        <v>82</v>
      </c>
      <c r="AM131" s="55">
        <f t="shared" si="35"/>
        <v>82</v>
      </c>
      <c r="AN131" s="78">
        <f t="shared" si="36"/>
        <v>1.02</v>
      </c>
      <c r="AO131" s="79"/>
      <c r="AP131" s="80">
        <f t="shared" si="39"/>
        <v>1</v>
      </c>
      <c r="AQ131" s="80">
        <f t="shared" si="39"/>
        <v>2</v>
      </c>
      <c r="AR131" s="61"/>
      <c r="AS131" s="62"/>
      <c r="AT131" s="81"/>
      <c r="AU131" s="81"/>
      <c r="AV131" s="81"/>
      <c r="AW131" s="81"/>
      <c r="AX131" s="82"/>
      <c r="AY131" s="83">
        <f t="shared" si="37"/>
        <v>0</v>
      </c>
      <c r="AZ131" s="83">
        <f t="shared" si="27"/>
        <v>0</v>
      </c>
    </row>
    <row r="132" spans="1:52" s="66" customFormat="1" ht="39.75" customHeight="1" thickBot="1" x14ac:dyDescent="0.2">
      <c r="A132" s="101"/>
      <c r="B132" s="101"/>
      <c r="C132" s="101"/>
      <c r="D132" s="101"/>
      <c r="E132" s="101"/>
      <c r="F132" s="101"/>
      <c r="G132" s="90"/>
      <c r="H132" s="158"/>
      <c r="I132" s="92">
        <v>0.51</v>
      </c>
      <c r="J132" s="41">
        <v>0.49</v>
      </c>
      <c r="K132" s="41"/>
      <c r="L132" s="41"/>
      <c r="M132" s="93"/>
      <c r="N132" s="94">
        <f t="shared" si="40"/>
        <v>1</v>
      </c>
      <c r="O132" s="44">
        <v>1</v>
      </c>
      <c r="P132" s="45">
        <v>15</v>
      </c>
      <c r="Q132" s="46">
        <v>15</v>
      </c>
      <c r="R132" s="46"/>
      <c r="S132" s="46"/>
      <c r="T132" s="70"/>
      <c r="U132" s="71">
        <f t="shared" si="28"/>
        <v>15</v>
      </c>
      <c r="V132" s="72">
        <f t="shared" si="29"/>
        <v>15</v>
      </c>
      <c r="W132" s="99"/>
      <c r="X132" s="100"/>
      <c r="Y132" s="85"/>
      <c r="Z132" s="73"/>
      <c r="AA132" s="74"/>
      <c r="AB132" s="75">
        <f t="shared" si="30"/>
        <v>0</v>
      </c>
      <c r="AC132" s="72">
        <f t="shared" si="31"/>
        <v>0</v>
      </c>
      <c r="AD132" s="52">
        <v>2</v>
      </c>
      <c r="AE132" s="71">
        <f t="shared" si="32"/>
        <v>2</v>
      </c>
      <c r="AF132" s="76"/>
      <c r="AG132" s="86"/>
      <c r="AH132" s="77">
        <f t="shared" si="33"/>
        <v>17</v>
      </c>
      <c r="AI132" s="56">
        <v>10</v>
      </c>
      <c r="AJ132" s="56">
        <v>10</v>
      </c>
      <c r="AK132" s="56">
        <v>45</v>
      </c>
      <c r="AL132" s="57">
        <f t="shared" si="34"/>
        <v>82</v>
      </c>
      <c r="AM132" s="55">
        <f t="shared" si="35"/>
        <v>82</v>
      </c>
      <c r="AN132" s="78">
        <f t="shared" si="36"/>
        <v>1.02</v>
      </c>
      <c r="AO132" s="79"/>
      <c r="AP132" s="80">
        <f t="shared" si="39"/>
        <v>1</v>
      </c>
      <c r="AQ132" s="80">
        <f t="shared" si="39"/>
        <v>2</v>
      </c>
      <c r="AR132" s="61"/>
      <c r="AS132" s="62"/>
      <c r="AT132" s="81"/>
      <c r="AU132" s="81"/>
      <c r="AV132" s="81"/>
      <c r="AW132" s="81"/>
      <c r="AX132" s="82"/>
      <c r="AY132" s="83">
        <f t="shared" si="37"/>
        <v>0</v>
      </c>
      <c r="AZ132" s="83">
        <f t="shared" si="27"/>
        <v>0</v>
      </c>
    </row>
    <row r="133" spans="1:52" s="23" customFormat="1" ht="39.75" customHeight="1" thickBot="1" x14ac:dyDescent="0.2">
      <c r="A133" s="101"/>
      <c r="B133" s="101"/>
      <c r="C133" s="101"/>
      <c r="D133" s="101"/>
      <c r="E133" s="101"/>
      <c r="F133" s="101"/>
      <c r="G133" s="90"/>
      <c r="H133" s="158"/>
      <c r="I133" s="92">
        <v>0.51</v>
      </c>
      <c r="J133" s="41">
        <v>0.49</v>
      </c>
      <c r="K133" s="41"/>
      <c r="L133" s="41"/>
      <c r="M133" s="93"/>
      <c r="N133" s="94">
        <f t="shared" si="40"/>
        <v>1</v>
      </c>
      <c r="O133" s="44">
        <v>1</v>
      </c>
      <c r="P133" s="45">
        <v>15</v>
      </c>
      <c r="Q133" s="46">
        <v>15</v>
      </c>
      <c r="R133" s="46"/>
      <c r="S133" s="46"/>
      <c r="T133" s="70"/>
      <c r="U133" s="71">
        <f t="shared" si="28"/>
        <v>15</v>
      </c>
      <c r="V133" s="72">
        <f t="shared" si="29"/>
        <v>15</v>
      </c>
      <c r="W133" s="99"/>
      <c r="X133" s="100"/>
      <c r="Y133" s="85"/>
      <c r="Z133" s="73"/>
      <c r="AA133" s="74"/>
      <c r="AB133" s="75">
        <f t="shared" si="30"/>
        <v>0</v>
      </c>
      <c r="AC133" s="72">
        <f t="shared" si="31"/>
        <v>0</v>
      </c>
      <c r="AD133" s="52">
        <v>2</v>
      </c>
      <c r="AE133" s="71">
        <f t="shared" si="32"/>
        <v>2</v>
      </c>
      <c r="AF133" s="76"/>
      <c r="AG133" s="86"/>
      <c r="AH133" s="77">
        <f t="shared" si="33"/>
        <v>17</v>
      </c>
      <c r="AI133" s="56">
        <v>10</v>
      </c>
      <c r="AJ133" s="56">
        <v>10</v>
      </c>
      <c r="AK133" s="56">
        <v>45</v>
      </c>
      <c r="AL133" s="57">
        <f t="shared" si="34"/>
        <v>82</v>
      </c>
      <c r="AM133" s="55">
        <f t="shared" si="35"/>
        <v>82</v>
      </c>
      <c r="AN133" s="78">
        <f t="shared" si="36"/>
        <v>1.02</v>
      </c>
      <c r="AO133" s="79"/>
      <c r="AP133" s="80">
        <f t="shared" si="39"/>
        <v>1</v>
      </c>
      <c r="AQ133" s="80">
        <f t="shared" si="39"/>
        <v>2</v>
      </c>
      <c r="AR133" s="61"/>
      <c r="AS133" s="62"/>
      <c r="AT133" s="81"/>
      <c r="AU133" s="81"/>
      <c r="AV133" s="81"/>
      <c r="AW133" s="81"/>
      <c r="AX133" s="82"/>
      <c r="AY133" s="83">
        <f t="shared" si="37"/>
        <v>0</v>
      </c>
      <c r="AZ133" s="83">
        <f t="shared" si="27"/>
        <v>0</v>
      </c>
    </row>
    <row r="134" spans="1:52" s="23" customFormat="1" ht="39.75" customHeight="1" thickBot="1" x14ac:dyDescent="0.2">
      <c r="A134" s="101"/>
      <c r="B134" s="101"/>
      <c r="C134" s="101"/>
      <c r="D134" s="101"/>
      <c r="E134" s="101"/>
      <c r="F134" s="101"/>
      <c r="G134" s="90"/>
      <c r="H134" s="158"/>
      <c r="I134" s="92">
        <v>0.51</v>
      </c>
      <c r="J134" s="41">
        <v>0.49</v>
      </c>
      <c r="K134" s="41"/>
      <c r="L134" s="41"/>
      <c r="M134" s="93"/>
      <c r="N134" s="94">
        <f t="shared" si="40"/>
        <v>1</v>
      </c>
      <c r="O134" s="44">
        <v>1</v>
      </c>
      <c r="P134" s="45">
        <v>15</v>
      </c>
      <c r="Q134" s="46">
        <v>15</v>
      </c>
      <c r="R134" s="46"/>
      <c r="S134" s="46"/>
      <c r="T134" s="70"/>
      <c r="U134" s="71">
        <f t="shared" si="28"/>
        <v>15</v>
      </c>
      <c r="V134" s="72">
        <f t="shared" si="29"/>
        <v>15</v>
      </c>
      <c r="W134" s="99"/>
      <c r="X134" s="100"/>
      <c r="Y134" s="85"/>
      <c r="Z134" s="73"/>
      <c r="AA134" s="74"/>
      <c r="AB134" s="75">
        <f t="shared" si="30"/>
        <v>0</v>
      </c>
      <c r="AC134" s="72">
        <f t="shared" si="31"/>
        <v>0</v>
      </c>
      <c r="AD134" s="52">
        <v>2</v>
      </c>
      <c r="AE134" s="71">
        <f t="shared" si="32"/>
        <v>2</v>
      </c>
      <c r="AF134" s="76"/>
      <c r="AG134" s="86"/>
      <c r="AH134" s="77">
        <f t="shared" si="33"/>
        <v>17</v>
      </c>
      <c r="AI134" s="56">
        <v>10</v>
      </c>
      <c r="AJ134" s="56">
        <v>10</v>
      </c>
      <c r="AK134" s="56">
        <v>45</v>
      </c>
      <c r="AL134" s="57">
        <f t="shared" si="34"/>
        <v>82</v>
      </c>
      <c r="AM134" s="55">
        <f t="shared" si="35"/>
        <v>82</v>
      </c>
      <c r="AN134" s="78">
        <f t="shared" si="36"/>
        <v>1.02</v>
      </c>
      <c r="AO134" s="79"/>
      <c r="AP134" s="80">
        <f t="shared" si="39"/>
        <v>1</v>
      </c>
      <c r="AQ134" s="80">
        <f t="shared" si="39"/>
        <v>2</v>
      </c>
      <c r="AR134" s="61"/>
      <c r="AS134" s="62"/>
      <c r="AT134" s="81"/>
      <c r="AU134" s="81"/>
      <c r="AV134" s="81"/>
      <c r="AW134" s="81"/>
      <c r="AX134" s="82"/>
      <c r="AY134" s="83">
        <f t="shared" si="37"/>
        <v>0</v>
      </c>
      <c r="AZ134" s="83">
        <f t="shared" si="27"/>
        <v>0</v>
      </c>
    </row>
    <row r="135" spans="1:52" s="66" customFormat="1" ht="39.75" customHeight="1" thickBot="1" x14ac:dyDescent="0.2">
      <c r="A135" s="101"/>
      <c r="B135" s="101"/>
      <c r="C135" s="101"/>
      <c r="D135" s="101"/>
      <c r="E135" s="101"/>
      <c r="F135" s="101"/>
      <c r="G135" s="90"/>
      <c r="H135" s="158"/>
      <c r="I135" s="92">
        <v>0.51</v>
      </c>
      <c r="J135" s="41">
        <v>0.49</v>
      </c>
      <c r="K135" s="41"/>
      <c r="L135" s="41"/>
      <c r="M135" s="93"/>
      <c r="N135" s="94">
        <f t="shared" si="40"/>
        <v>1</v>
      </c>
      <c r="O135" s="44">
        <v>1</v>
      </c>
      <c r="P135" s="45">
        <v>15</v>
      </c>
      <c r="Q135" s="46">
        <v>15</v>
      </c>
      <c r="R135" s="46"/>
      <c r="S135" s="46"/>
      <c r="T135" s="70"/>
      <c r="U135" s="71">
        <f t="shared" si="28"/>
        <v>15</v>
      </c>
      <c r="V135" s="72">
        <f t="shared" si="29"/>
        <v>15</v>
      </c>
      <c r="W135" s="99"/>
      <c r="X135" s="100"/>
      <c r="Y135" s="85"/>
      <c r="Z135" s="73"/>
      <c r="AA135" s="74"/>
      <c r="AB135" s="75">
        <f t="shared" si="30"/>
        <v>0</v>
      </c>
      <c r="AC135" s="72">
        <f t="shared" si="31"/>
        <v>0</v>
      </c>
      <c r="AD135" s="52">
        <v>2</v>
      </c>
      <c r="AE135" s="71">
        <f t="shared" si="32"/>
        <v>2</v>
      </c>
      <c r="AF135" s="76"/>
      <c r="AG135" s="86"/>
      <c r="AH135" s="77">
        <f t="shared" si="33"/>
        <v>17</v>
      </c>
      <c r="AI135" s="56">
        <v>10</v>
      </c>
      <c r="AJ135" s="56">
        <v>10</v>
      </c>
      <c r="AK135" s="56">
        <v>45</v>
      </c>
      <c r="AL135" s="57">
        <f t="shared" si="34"/>
        <v>82</v>
      </c>
      <c r="AM135" s="55">
        <f t="shared" si="35"/>
        <v>82</v>
      </c>
      <c r="AN135" s="78">
        <f t="shared" si="36"/>
        <v>1.02</v>
      </c>
      <c r="AO135" s="79"/>
      <c r="AP135" s="80">
        <f t="shared" si="39"/>
        <v>1</v>
      </c>
      <c r="AQ135" s="80">
        <f t="shared" si="39"/>
        <v>2</v>
      </c>
      <c r="AR135" s="61"/>
      <c r="AS135" s="62"/>
      <c r="AT135" s="81"/>
      <c r="AU135" s="81"/>
      <c r="AV135" s="81"/>
      <c r="AW135" s="81"/>
      <c r="AX135" s="82"/>
      <c r="AY135" s="83">
        <f t="shared" si="37"/>
        <v>0</v>
      </c>
      <c r="AZ135" s="83">
        <f t="shared" si="27"/>
        <v>0</v>
      </c>
    </row>
    <row r="136" spans="1:52" s="23" customFormat="1" ht="39.75" customHeight="1" thickBot="1" x14ac:dyDescent="0.2">
      <c r="A136" s="101"/>
      <c r="B136" s="101"/>
      <c r="C136" s="101"/>
      <c r="D136" s="101"/>
      <c r="E136" s="101"/>
      <c r="F136" s="101"/>
      <c r="G136" s="90"/>
      <c r="H136" s="158"/>
      <c r="I136" s="92">
        <v>0.51</v>
      </c>
      <c r="J136" s="41">
        <v>0.49</v>
      </c>
      <c r="K136" s="41"/>
      <c r="L136" s="41"/>
      <c r="M136" s="93"/>
      <c r="N136" s="94">
        <f t="shared" si="40"/>
        <v>1</v>
      </c>
      <c r="O136" s="44">
        <v>1</v>
      </c>
      <c r="P136" s="45">
        <v>15</v>
      </c>
      <c r="Q136" s="46">
        <v>15</v>
      </c>
      <c r="R136" s="46"/>
      <c r="S136" s="46"/>
      <c r="T136" s="70"/>
      <c r="U136" s="71">
        <f t="shared" si="28"/>
        <v>15</v>
      </c>
      <c r="V136" s="72">
        <f t="shared" si="29"/>
        <v>15</v>
      </c>
      <c r="W136" s="99"/>
      <c r="X136" s="100"/>
      <c r="Y136" s="85"/>
      <c r="Z136" s="73"/>
      <c r="AA136" s="74"/>
      <c r="AB136" s="75">
        <f t="shared" si="30"/>
        <v>0</v>
      </c>
      <c r="AC136" s="72">
        <f t="shared" si="31"/>
        <v>0</v>
      </c>
      <c r="AD136" s="52">
        <v>2</v>
      </c>
      <c r="AE136" s="71">
        <f t="shared" si="32"/>
        <v>2</v>
      </c>
      <c r="AF136" s="76"/>
      <c r="AG136" s="86"/>
      <c r="AH136" s="77">
        <f t="shared" si="33"/>
        <v>17</v>
      </c>
      <c r="AI136" s="56">
        <v>10</v>
      </c>
      <c r="AJ136" s="56">
        <v>10</v>
      </c>
      <c r="AK136" s="56">
        <v>45</v>
      </c>
      <c r="AL136" s="57">
        <f t="shared" si="34"/>
        <v>82</v>
      </c>
      <c r="AM136" s="55">
        <f t="shared" si="35"/>
        <v>82</v>
      </c>
      <c r="AN136" s="78">
        <f t="shared" si="36"/>
        <v>1.02</v>
      </c>
      <c r="AO136" s="79"/>
      <c r="AP136" s="80">
        <f t="shared" si="39"/>
        <v>1</v>
      </c>
      <c r="AQ136" s="80">
        <f t="shared" si="39"/>
        <v>2</v>
      </c>
      <c r="AR136" s="61"/>
      <c r="AS136" s="62"/>
      <c r="AT136" s="81"/>
      <c r="AU136" s="81"/>
      <c r="AV136" s="81"/>
      <c r="AW136" s="81"/>
      <c r="AX136" s="82"/>
      <c r="AY136" s="83">
        <f t="shared" si="37"/>
        <v>0</v>
      </c>
      <c r="AZ136" s="83">
        <f t="shared" si="27"/>
        <v>0</v>
      </c>
    </row>
    <row r="137" spans="1:52" s="66" customFormat="1" ht="39.75" customHeight="1" thickBot="1" x14ac:dyDescent="0.2">
      <c r="A137" s="101"/>
      <c r="B137" s="101"/>
      <c r="C137" s="101"/>
      <c r="D137" s="101"/>
      <c r="E137" s="101"/>
      <c r="F137" s="101"/>
      <c r="G137" s="90"/>
      <c r="H137" s="158"/>
      <c r="I137" s="92">
        <v>0.51</v>
      </c>
      <c r="J137" s="41">
        <v>0.49</v>
      </c>
      <c r="K137" s="41"/>
      <c r="L137" s="41"/>
      <c r="M137" s="93"/>
      <c r="N137" s="94">
        <f t="shared" si="40"/>
        <v>1</v>
      </c>
      <c r="O137" s="44">
        <v>1</v>
      </c>
      <c r="P137" s="45">
        <v>15</v>
      </c>
      <c r="Q137" s="46">
        <v>15</v>
      </c>
      <c r="R137" s="46"/>
      <c r="S137" s="46"/>
      <c r="T137" s="70"/>
      <c r="U137" s="71">
        <f t="shared" si="28"/>
        <v>15</v>
      </c>
      <c r="V137" s="72">
        <f t="shared" si="29"/>
        <v>15</v>
      </c>
      <c r="W137" s="99"/>
      <c r="X137" s="100"/>
      <c r="Y137" s="85"/>
      <c r="Z137" s="73"/>
      <c r="AA137" s="74"/>
      <c r="AB137" s="75">
        <f t="shared" si="30"/>
        <v>0</v>
      </c>
      <c r="AC137" s="72">
        <f t="shared" si="31"/>
        <v>0</v>
      </c>
      <c r="AD137" s="52">
        <v>2</v>
      </c>
      <c r="AE137" s="71">
        <f t="shared" si="32"/>
        <v>2</v>
      </c>
      <c r="AF137" s="76"/>
      <c r="AG137" s="86"/>
      <c r="AH137" s="77">
        <f t="shared" si="33"/>
        <v>17</v>
      </c>
      <c r="AI137" s="56">
        <v>10</v>
      </c>
      <c r="AJ137" s="56">
        <v>10</v>
      </c>
      <c r="AK137" s="56">
        <v>45</v>
      </c>
      <c r="AL137" s="57">
        <f t="shared" si="34"/>
        <v>82</v>
      </c>
      <c r="AM137" s="55">
        <f t="shared" si="35"/>
        <v>82</v>
      </c>
      <c r="AN137" s="78">
        <f t="shared" si="36"/>
        <v>1.02</v>
      </c>
      <c r="AO137" s="79"/>
      <c r="AP137" s="80">
        <f t="shared" si="39"/>
        <v>1</v>
      </c>
      <c r="AQ137" s="80">
        <f t="shared" si="39"/>
        <v>2</v>
      </c>
      <c r="AR137" s="61"/>
      <c r="AS137" s="62"/>
      <c r="AT137" s="81"/>
      <c r="AU137" s="81"/>
      <c r="AV137" s="81"/>
      <c r="AW137" s="81"/>
      <c r="AX137" s="82"/>
      <c r="AY137" s="83">
        <f t="shared" si="37"/>
        <v>0</v>
      </c>
      <c r="AZ137" s="83">
        <f t="shared" si="27"/>
        <v>0</v>
      </c>
    </row>
    <row r="138" spans="1:52" s="66" customFormat="1" ht="39.75" customHeight="1" thickBot="1" x14ac:dyDescent="0.2">
      <c r="A138" s="101"/>
      <c r="B138" s="101"/>
      <c r="C138" s="101"/>
      <c r="D138" s="101"/>
      <c r="E138" s="101"/>
      <c r="F138" s="101"/>
      <c r="G138" s="90"/>
      <c r="H138" s="158"/>
      <c r="I138" s="92">
        <v>0.51</v>
      </c>
      <c r="J138" s="41">
        <v>0.49</v>
      </c>
      <c r="K138" s="41"/>
      <c r="L138" s="41"/>
      <c r="M138" s="93"/>
      <c r="N138" s="94">
        <f t="shared" si="40"/>
        <v>1</v>
      </c>
      <c r="O138" s="44">
        <v>1</v>
      </c>
      <c r="P138" s="45">
        <v>15</v>
      </c>
      <c r="Q138" s="46">
        <v>15</v>
      </c>
      <c r="R138" s="46"/>
      <c r="S138" s="46"/>
      <c r="T138" s="70"/>
      <c r="U138" s="71">
        <f t="shared" si="28"/>
        <v>15</v>
      </c>
      <c r="V138" s="72">
        <f t="shared" si="29"/>
        <v>15</v>
      </c>
      <c r="W138" s="99"/>
      <c r="X138" s="100"/>
      <c r="Y138" s="85"/>
      <c r="Z138" s="73"/>
      <c r="AA138" s="74"/>
      <c r="AB138" s="75">
        <f t="shared" si="30"/>
        <v>0</v>
      </c>
      <c r="AC138" s="72">
        <f t="shared" si="31"/>
        <v>0</v>
      </c>
      <c r="AD138" s="52">
        <v>2</v>
      </c>
      <c r="AE138" s="71">
        <f t="shared" si="32"/>
        <v>2</v>
      </c>
      <c r="AF138" s="76"/>
      <c r="AG138" s="86"/>
      <c r="AH138" s="77">
        <f t="shared" si="33"/>
        <v>17</v>
      </c>
      <c r="AI138" s="56">
        <v>10</v>
      </c>
      <c r="AJ138" s="56">
        <v>10</v>
      </c>
      <c r="AK138" s="56">
        <v>45</v>
      </c>
      <c r="AL138" s="57">
        <f t="shared" si="34"/>
        <v>82</v>
      </c>
      <c r="AM138" s="55">
        <f t="shared" si="35"/>
        <v>82</v>
      </c>
      <c r="AN138" s="78">
        <f t="shared" si="36"/>
        <v>1.02</v>
      </c>
      <c r="AO138" s="79"/>
      <c r="AP138" s="80">
        <f t="shared" si="39"/>
        <v>1</v>
      </c>
      <c r="AQ138" s="80">
        <f t="shared" si="39"/>
        <v>2</v>
      </c>
      <c r="AR138" s="61"/>
      <c r="AS138" s="62"/>
      <c r="AT138" s="81"/>
      <c r="AU138" s="81"/>
      <c r="AV138" s="81"/>
      <c r="AW138" s="81"/>
      <c r="AX138" s="82"/>
      <c r="AY138" s="83">
        <f t="shared" si="37"/>
        <v>0</v>
      </c>
      <c r="AZ138" s="83">
        <f t="shared" si="27"/>
        <v>0</v>
      </c>
    </row>
    <row r="139" spans="1:52" s="66" customFormat="1" ht="39.75" customHeight="1" thickBot="1" x14ac:dyDescent="0.2">
      <c r="A139" s="101"/>
      <c r="B139" s="101"/>
      <c r="C139" s="101"/>
      <c r="D139" s="101"/>
      <c r="E139" s="101"/>
      <c r="F139" s="101"/>
      <c r="G139" s="90"/>
      <c r="H139" s="158"/>
      <c r="I139" s="92">
        <v>0.51</v>
      </c>
      <c r="J139" s="41">
        <v>0.49</v>
      </c>
      <c r="K139" s="41"/>
      <c r="L139" s="41"/>
      <c r="M139" s="93"/>
      <c r="N139" s="94">
        <f t="shared" si="40"/>
        <v>1</v>
      </c>
      <c r="O139" s="44">
        <v>1</v>
      </c>
      <c r="P139" s="45">
        <v>15</v>
      </c>
      <c r="Q139" s="46">
        <v>15</v>
      </c>
      <c r="R139" s="46"/>
      <c r="S139" s="46"/>
      <c r="T139" s="47"/>
      <c r="U139" s="71">
        <f t="shared" si="28"/>
        <v>15</v>
      </c>
      <c r="V139" s="72">
        <f t="shared" si="29"/>
        <v>15</v>
      </c>
      <c r="W139" s="99"/>
      <c r="X139" s="100"/>
      <c r="Y139" s="85"/>
      <c r="Z139" s="73"/>
      <c r="AA139" s="74"/>
      <c r="AB139" s="75">
        <f t="shared" si="30"/>
        <v>0</v>
      </c>
      <c r="AC139" s="72">
        <f t="shared" si="31"/>
        <v>0</v>
      </c>
      <c r="AD139" s="52">
        <v>2</v>
      </c>
      <c r="AE139" s="71">
        <f t="shared" si="32"/>
        <v>2</v>
      </c>
      <c r="AF139" s="76"/>
      <c r="AG139" s="86"/>
      <c r="AH139" s="77">
        <f t="shared" si="33"/>
        <v>17</v>
      </c>
      <c r="AI139" s="56">
        <v>10</v>
      </c>
      <c r="AJ139" s="56">
        <v>10</v>
      </c>
      <c r="AK139" s="56">
        <v>45</v>
      </c>
      <c r="AL139" s="57">
        <f t="shared" si="34"/>
        <v>82</v>
      </c>
      <c r="AM139" s="55">
        <f t="shared" si="35"/>
        <v>82</v>
      </c>
      <c r="AN139" s="78">
        <f t="shared" si="36"/>
        <v>1.02</v>
      </c>
      <c r="AO139" s="79"/>
      <c r="AP139" s="80">
        <f t="shared" si="39"/>
        <v>1</v>
      </c>
      <c r="AQ139" s="80">
        <f t="shared" si="39"/>
        <v>2</v>
      </c>
      <c r="AR139" s="61"/>
      <c r="AS139" s="62"/>
      <c r="AT139" s="81"/>
      <c r="AU139" s="81"/>
      <c r="AV139" s="81"/>
      <c r="AW139" s="81"/>
      <c r="AX139" s="82"/>
      <c r="AY139" s="83">
        <f t="shared" si="37"/>
        <v>0</v>
      </c>
      <c r="AZ139" s="83">
        <f t="shared" si="27"/>
        <v>0</v>
      </c>
    </row>
    <row r="140" spans="1:52" s="66" customFormat="1" ht="39.75" customHeight="1" thickBot="1" x14ac:dyDescent="0.2">
      <c r="A140" s="101"/>
      <c r="B140" s="101"/>
      <c r="C140" s="101"/>
      <c r="D140" s="101"/>
      <c r="E140" s="101"/>
      <c r="F140" s="101"/>
      <c r="G140" s="90"/>
      <c r="H140" s="158"/>
      <c r="I140" s="92">
        <v>0.51</v>
      </c>
      <c r="J140" s="41">
        <v>0.49</v>
      </c>
      <c r="K140" s="41"/>
      <c r="L140" s="41"/>
      <c r="M140" s="93"/>
      <c r="N140" s="94">
        <f t="shared" si="40"/>
        <v>1</v>
      </c>
      <c r="O140" s="44">
        <v>1</v>
      </c>
      <c r="P140" s="45">
        <v>15</v>
      </c>
      <c r="Q140" s="46">
        <v>15</v>
      </c>
      <c r="R140" s="46"/>
      <c r="S140" s="46"/>
      <c r="T140" s="47"/>
      <c r="U140" s="71">
        <f t="shared" si="28"/>
        <v>15</v>
      </c>
      <c r="V140" s="72">
        <f t="shared" si="29"/>
        <v>15</v>
      </c>
      <c r="W140" s="99"/>
      <c r="X140" s="100"/>
      <c r="Y140" s="85"/>
      <c r="Z140" s="73"/>
      <c r="AA140" s="74"/>
      <c r="AB140" s="75">
        <f t="shared" si="30"/>
        <v>0</v>
      </c>
      <c r="AC140" s="72">
        <f t="shared" si="31"/>
        <v>0</v>
      </c>
      <c r="AD140" s="52">
        <v>2</v>
      </c>
      <c r="AE140" s="71">
        <f t="shared" si="32"/>
        <v>2</v>
      </c>
      <c r="AF140" s="76"/>
      <c r="AG140" s="86"/>
      <c r="AH140" s="77">
        <f t="shared" si="33"/>
        <v>17</v>
      </c>
      <c r="AI140" s="56">
        <v>10</v>
      </c>
      <c r="AJ140" s="56">
        <v>10</v>
      </c>
      <c r="AK140" s="56">
        <v>45</v>
      </c>
      <c r="AL140" s="57">
        <f t="shared" si="34"/>
        <v>82</v>
      </c>
      <c r="AM140" s="55">
        <f t="shared" si="35"/>
        <v>82</v>
      </c>
      <c r="AN140" s="78">
        <f t="shared" si="36"/>
        <v>1.02</v>
      </c>
      <c r="AO140" s="79"/>
      <c r="AP140" s="80">
        <f t="shared" si="39"/>
        <v>1</v>
      </c>
      <c r="AQ140" s="80">
        <f t="shared" si="39"/>
        <v>2</v>
      </c>
      <c r="AR140" s="61"/>
      <c r="AS140" s="62"/>
      <c r="AT140" s="81"/>
      <c r="AU140" s="81"/>
      <c r="AV140" s="81"/>
      <c r="AW140" s="81"/>
      <c r="AX140" s="82"/>
      <c r="AY140" s="83">
        <f t="shared" si="37"/>
        <v>0</v>
      </c>
      <c r="AZ140" s="83">
        <f t="shared" si="27"/>
        <v>0</v>
      </c>
    </row>
    <row r="141" spans="1:52" s="23" customFormat="1" ht="39.75" customHeight="1" thickBot="1" x14ac:dyDescent="0.2">
      <c r="A141" s="101"/>
      <c r="B141" s="101"/>
      <c r="C141" s="101"/>
      <c r="D141" s="101"/>
      <c r="E141" s="101"/>
      <c r="F141" s="101"/>
      <c r="G141" s="90"/>
      <c r="H141" s="158"/>
      <c r="I141" s="92">
        <v>0.51</v>
      </c>
      <c r="J141" s="41">
        <v>0.49</v>
      </c>
      <c r="K141" s="41"/>
      <c r="L141" s="41"/>
      <c r="M141" s="93"/>
      <c r="N141" s="94">
        <f t="shared" si="40"/>
        <v>1</v>
      </c>
      <c r="O141" s="44">
        <v>1</v>
      </c>
      <c r="P141" s="45">
        <v>15</v>
      </c>
      <c r="Q141" s="46">
        <v>15</v>
      </c>
      <c r="R141" s="46"/>
      <c r="S141" s="46"/>
      <c r="T141" s="47"/>
      <c r="U141" s="71">
        <f t="shared" si="28"/>
        <v>15</v>
      </c>
      <c r="V141" s="72">
        <f t="shared" si="29"/>
        <v>15</v>
      </c>
      <c r="W141" s="99"/>
      <c r="X141" s="100"/>
      <c r="Y141" s="85"/>
      <c r="Z141" s="73"/>
      <c r="AA141" s="74"/>
      <c r="AB141" s="75">
        <f t="shared" si="30"/>
        <v>0</v>
      </c>
      <c r="AC141" s="72">
        <f t="shared" si="31"/>
        <v>0</v>
      </c>
      <c r="AD141" s="52">
        <v>2</v>
      </c>
      <c r="AE141" s="71">
        <f t="shared" si="32"/>
        <v>2</v>
      </c>
      <c r="AF141" s="76"/>
      <c r="AG141" s="86"/>
      <c r="AH141" s="77">
        <f t="shared" si="33"/>
        <v>17</v>
      </c>
      <c r="AI141" s="56">
        <v>10</v>
      </c>
      <c r="AJ141" s="56">
        <v>10</v>
      </c>
      <c r="AK141" s="56">
        <v>45</v>
      </c>
      <c r="AL141" s="57">
        <f t="shared" si="34"/>
        <v>82</v>
      </c>
      <c r="AM141" s="55">
        <f t="shared" si="35"/>
        <v>82</v>
      </c>
      <c r="AN141" s="78">
        <f t="shared" si="36"/>
        <v>1.02</v>
      </c>
      <c r="AO141" s="79"/>
      <c r="AP141" s="80">
        <f t="shared" si="39"/>
        <v>1</v>
      </c>
      <c r="AQ141" s="80">
        <f t="shared" si="39"/>
        <v>2</v>
      </c>
      <c r="AR141" s="61"/>
      <c r="AS141" s="62"/>
      <c r="AT141" s="81"/>
      <c r="AU141" s="81"/>
      <c r="AV141" s="81"/>
      <c r="AW141" s="81"/>
      <c r="AX141" s="82"/>
      <c r="AY141" s="83">
        <f t="shared" si="37"/>
        <v>0</v>
      </c>
      <c r="AZ141" s="83">
        <f t="shared" si="27"/>
        <v>0</v>
      </c>
    </row>
    <row r="142" spans="1:52" s="66" customFormat="1" ht="39.75" customHeight="1" thickBot="1" x14ac:dyDescent="0.2">
      <c r="A142" s="101"/>
      <c r="B142" s="101"/>
      <c r="C142" s="101"/>
      <c r="D142" s="101"/>
      <c r="E142" s="101"/>
      <c r="F142" s="101"/>
      <c r="G142" s="90"/>
      <c r="H142" s="158"/>
      <c r="I142" s="92">
        <v>0.51</v>
      </c>
      <c r="J142" s="41">
        <v>0.49</v>
      </c>
      <c r="K142" s="41"/>
      <c r="L142" s="41"/>
      <c r="M142" s="93"/>
      <c r="N142" s="94">
        <f t="shared" si="40"/>
        <v>1</v>
      </c>
      <c r="O142" s="44">
        <v>1</v>
      </c>
      <c r="P142" s="45">
        <v>15</v>
      </c>
      <c r="Q142" s="46">
        <v>15</v>
      </c>
      <c r="R142" s="46"/>
      <c r="S142" s="46"/>
      <c r="T142" s="47"/>
      <c r="U142" s="71">
        <f t="shared" si="28"/>
        <v>15</v>
      </c>
      <c r="V142" s="72">
        <f t="shared" si="29"/>
        <v>15</v>
      </c>
      <c r="W142" s="99"/>
      <c r="X142" s="100"/>
      <c r="Y142" s="85"/>
      <c r="Z142" s="73"/>
      <c r="AA142" s="74"/>
      <c r="AB142" s="75">
        <f t="shared" si="30"/>
        <v>0</v>
      </c>
      <c r="AC142" s="72">
        <f t="shared" si="31"/>
        <v>0</v>
      </c>
      <c r="AD142" s="52">
        <v>2</v>
      </c>
      <c r="AE142" s="71">
        <f t="shared" si="32"/>
        <v>2</v>
      </c>
      <c r="AF142" s="76"/>
      <c r="AG142" s="86"/>
      <c r="AH142" s="77">
        <f t="shared" si="33"/>
        <v>17</v>
      </c>
      <c r="AI142" s="56">
        <v>10</v>
      </c>
      <c r="AJ142" s="56">
        <v>10</v>
      </c>
      <c r="AK142" s="56">
        <v>45</v>
      </c>
      <c r="AL142" s="57">
        <f t="shared" si="34"/>
        <v>82</v>
      </c>
      <c r="AM142" s="55">
        <f t="shared" si="35"/>
        <v>82</v>
      </c>
      <c r="AN142" s="78">
        <f t="shared" si="36"/>
        <v>1.02</v>
      </c>
      <c r="AO142" s="79"/>
      <c r="AP142" s="80">
        <f t="shared" si="39"/>
        <v>1</v>
      </c>
      <c r="AQ142" s="80">
        <f t="shared" si="39"/>
        <v>2</v>
      </c>
      <c r="AR142" s="61"/>
      <c r="AS142" s="62"/>
      <c r="AT142" s="81"/>
      <c r="AU142" s="81"/>
      <c r="AV142" s="81"/>
      <c r="AW142" s="81"/>
      <c r="AX142" s="82"/>
      <c r="AY142" s="83">
        <f t="shared" si="37"/>
        <v>0</v>
      </c>
      <c r="AZ142" s="83">
        <f t="shared" si="27"/>
        <v>0</v>
      </c>
    </row>
    <row r="143" spans="1:52" s="23" customFormat="1" ht="39.75" customHeight="1" thickBot="1" x14ac:dyDescent="0.2">
      <c r="A143" s="101"/>
      <c r="B143" s="101"/>
      <c r="C143" s="101"/>
      <c r="D143" s="101"/>
      <c r="E143" s="101"/>
      <c r="F143" s="101"/>
      <c r="G143" s="90"/>
      <c r="H143" s="158"/>
      <c r="I143" s="92">
        <v>0.51</v>
      </c>
      <c r="J143" s="41">
        <v>0.49</v>
      </c>
      <c r="K143" s="41"/>
      <c r="L143" s="41"/>
      <c r="M143" s="93"/>
      <c r="N143" s="94">
        <f t="shared" si="40"/>
        <v>1</v>
      </c>
      <c r="O143" s="44">
        <v>1</v>
      </c>
      <c r="P143" s="45">
        <v>15</v>
      </c>
      <c r="Q143" s="46">
        <v>15</v>
      </c>
      <c r="R143" s="46"/>
      <c r="S143" s="46"/>
      <c r="T143" s="47"/>
      <c r="U143" s="71">
        <f t="shared" si="28"/>
        <v>15</v>
      </c>
      <c r="V143" s="72">
        <f t="shared" si="29"/>
        <v>15</v>
      </c>
      <c r="W143" s="99"/>
      <c r="X143" s="100"/>
      <c r="Y143" s="85"/>
      <c r="Z143" s="73"/>
      <c r="AA143" s="74"/>
      <c r="AB143" s="75">
        <f t="shared" si="30"/>
        <v>0</v>
      </c>
      <c r="AC143" s="72">
        <f t="shared" si="31"/>
        <v>0</v>
      </c>
      <c r="AD143" s="52">
        <v>2</v>
      </c>
      <c r="AE143" s="71">
        <f t="shared" si="32"/>
        <v>2</v>
      </c>
      <c r="AF143" s="76"/>
      <c r="AG143" s="86"/>
      <c r="AH143" s="77">
        <f t="shared" si="33"/>
        <v>17</v>
      </c>
      <c r="AI143" s="56">
        <v>10</v>
      </c>
      <c r="AJ143" s="56">
        <v>10</v>
      </c>
      <c r="AK143" s="56">
        <v>45</v>
      </c>
      <c r="AL143" s="57">
        <f t="shared" si="34"/>
        <v>82</v>
      </c>
      <c r="AM143" s="55">
        <f t="shared" si="35"/>
        <v>82</v>
      </c>
      <c r="AN143" s="78">
        <f t="shared" si="36"/>
        <v>1.02</v>
      </c>
      <c r="AO143" s="79"/>
      <c r="AP143" s="80">
        <f t="shared" si="39"/>
        <v>1</v>
      </c>
      <c r="AQ143" s="80">
        <f t="shared" si="39"/>
        <v>2</v>
      </c>
      <c r="AR143" s="61"/>
      <c r="AS143" s="62"/>
      <c r="AT143" s="81"/>
      <c r="AU143" s="81"/>
      <c r="AV143" s="81"/>
      <c r="AW143" s="81"/>
      <c r="AX143" s="82"/>
      <c r="AY143" s="83">
        <f t="shared" si="37"/>
        <v>0</v>
      </c>
      <c r="AZ143" s="83">
        <f t="shared" si="27"/>
        <v>0</v>
      </c>
    </row>
    <row r="144" spans="1:52" s="66" customFormat="1" ht="39.75" customHeight="1" thickBot="1" x14ac:dyDescent="0.2">
      <c r="A144" s="101"/>
      <c r="B144" s="101"/>
      <c r="C144" s="101"/>
      <c r="D144" s="101"/>
      <c r="E144" s="101"/>
      <c r="F144" s="101"/>
      <c r="G144" s="90"/>
      <c r="H144" s="158"/>
      <c r="I144" s="92">
        <v>0.51</v>
      </c>
      <c r="J144" s="41">
        <v>0.49</v>
      </c>
      <c r="K144" s="41"/>
      <c r="L144" s="41"/>
      <c r="M144" s="93"/>
      <c r="N144" s="94">
        <f t="shared" si="40"/>
        <v>1</v>
      </c>
      <c r="O144" s="44">
        <v>1</v>
      </c>
      <c r="P144" s="45">
        <v>15</v>
      </c>
      <c r="Q144" s="46">
        <v>15</v>
      </c>
      <c r="R144" s="46"/>
      <c r="S144" s="46"/>
      <c r="T144" s="47"/>
      <c r="U144" s="71">
        <f t="shared" si="28"/>
        <v>15</v>
      </c>
      <c r="V144" s="72">
        <f t="shared" si="29"/>
        <v>15</v>
      </c>
      <c r="W144" s="99"/>
      <c r="X144" s="100"/>
      <c r="Y144" s="85"/>
      <c r="Z144" s="73"/>
      <c r="AA144" s="74"/>
      <c r="AB144" s="75">
        <f t="shared" si="30"/>
        <v>0</v>
      </c>
      <c r="AC144" s="72">
        <f t="shared" si="31"/>
        <v>0</v>
      </c>
      <c r="AD144" s="52">
        <v>2</v>
      </c>
      <c r="AE144" s="71">
        <f t="shared" si="32"/>
        <v>2</v>
      </c>
      <c r="AF144" s="76"/>
      <c r="AG144" s="86"/>
      <c r="AH144" s="77">
        <f t="shared" si="33"/>
        <v>17</v>
      </c>
      <c r="AI144" s="56">
        <v>10</v>
      </c>
      <c r="AJ144" s="56">
        <v>10</v>
      </c>
      <c r="AK144" s="56">
        <v>45</v>
      </c>
      <c r="AL144" s="57">
        <f t="shared" si="34"/>
        <v>82</v>
      </c>
      <c r="AM144" s="55">
        <f t="shared" si="35"/>
        <v>82</v>
      </c>
      <c r="AN144" s="78">
        <f t="shared" si="36"/>
        <v>1.02</v>
      </c>
      <c r="AO144" s="79"/>
      <c r="AP144" s="80">
        <f t="shared" ref="AP144:AQ151" si="41">100%+AO144</f>
        <v>1</v>
      </c>
      <c r="AQ144" s="80">
        <f t="shared" si="41"/>
        <v>2</v>
      </c>
      <c r="AR144" s="61"/>
      <c r="AS144" s="62"/>
      <c r="AT144" s="81"/>
      <c r="AU144" s="81"/>
      <c r="AV144" s="81"/>
      <c r="AW144" s="81"/>
      <c r="AX144" s="82"/>
      <c r="AY144" s="83">
        <f t="shared" si="37"/>
        <v>0</v>
      </c>
      <c r="AZ144" s="83">
        <f t="shared" si="27"/>
        <v>0</v>
      </c>
    </row>
    <row r="145" spans="1:52" s="66" customFormat="1" ht="39.75" customHeight="1" thickBot="1" x14ac:dyDescent="0.2">
      <c r="A145" s="101"/>
      <c r="B145" s="101"/>
      <c r="C145" s="101"/>
      <c r="D145" s="101"/>
      <c r="E145" s="101"/>
      <c r="F145" s="101"/>
      <c r="G145" s="90"/>
      <c r="H145" s="158"/>
      <c r="I145" s="92">
        <v>0.51</v>
      </c>
      <c r="J145" s="41">
        <v>0.49</v>
      </c>
      <c r="K145" s="41"/>
      <c r="L145" s="41"/>
      <c r="M145" s="93"/>
      <c r="N145" s="94">
        <f t="shared" si="40"/>
        <v>1</v>
      </c>
      <c r="O145" s="44">
        <v>1</v>
      </c>
      <c r="P145" s="45">
        <v>15</v>
      </c>
      <c r="Q145" s="46">
        <v>15</v>
      </c>
      <c r="R145" s="46"/>
      <c r="S145" s="46"/>
      <c r="T145" s="47"/>
      <c r="U145" s="71">
        <f t="shared" si="28"/>
        <v>15</v>
      </c>
      <c r="V145" s="72">
        <f t="shared" si="29"/>
        <v>15</v>
      </c>
      <c r="W145" s="99"/>
      <c r="X145" s="100"/>
      <c r="Y145" s="85"/>
      <c r="Z145" s="73"/>
      <c r="AA145" s="74"/>
      <c r="AB145" s="75">
        <f t="shared" si="30"/>
        <v>0</v>
      </c>
      <c r="AC145" s="72">
        <f t="shared" si="31"/>
        <v>0</v>
      </c>
      <c r="AD145" s="52">
        <v>2</v>
      </c>
      <c r="AE145" s="71">
        <f t="shared" si="32"/>
        <v>2</v>
      </c>
      <c r="AF145" s="76"/>
      <c r="AG145" s="86"/>
      <c r="AH145" s="77">
        <f t="shared" si="33"/>
        <v>17</v>
      </c>
      <c r="AI145" s="56">
        <v>10</v>
      </c>
      <c r="AJ145" s="56">
        <v>10</v>
      </c>
      <c r="AK145" s="56">
        <v>45</v>
      </c>
      <c r="AL145" s="57">
        <f t="shared" si="34"/>
        <v>82</v>
      </c>
      <c r="AM145" s="55">
        <f t="shared" si="35"/>
        <v>82</v>
      </c>
      <c r="AN145" s="78">
        <f t="shared" si="36"/>
        <v>1.02</v>
      </c>
      <c r="AO145" s="79"/>
      <c r="AP145" s="80">
        <f t="shared" si="41"/>
        <v>1</v>
      </c>
      <c r="AQ145" s="80">
        <f t="shared" si="41"/>
        <v>2</v>
      </c>
      <c r="AR145" s="61"/>
      <c r="AS145" s="62"/>
      <c r="AT145" s="81"/>
      <c r="AU145" s="81"/>
      <c r="AV145" s="81"/>
      <c r="AW145" s="81"/>
      <c r="AX145" s="82"/>
      <c r="AY145" s="83">
        <f t="shared" si="37"/>
        <v>0</v>
      </c>
      <c r="AZ145" s="83">
        <f t="shared" si="27"/>
        <v>0</v>
      </c>
    </row>
    <row r="146" spans="1:52" s="66" customFormat="1" ht="39.75" customHeight="1" thickBot="1" x14ac:dyDescent="0.2">
      <c r="A146" s="101"/>
      <c r="B146" s="101"/>
      <c r="C146" s="101"/>
      <c r="D146" s="101"/>
      <c r="E146" s="101"/>
      <c r="F146" s="101"/>
      <c r="G146" s="90"/>
      <c r="H146" s="158"/>
      <c r="I146" s="92">
        <v>0.51</v>
      </c>
      <c r="J146" s="41">
        <v>0.49</v>
      </c>
      <c r="K146" s="41"/>
      <c r="L146" s="41"/>
      <c r="M146" s="93"/>
      <c r="N146" s="94">
        <f t="shared" si="40"/>
        <v>1</v>
      </c>
      <c r="O146" s="44">
        <v>1</v>
      </c>
      <c r="P146" s="45">
        <v>15</v>
      </c>
      <c r="Q146" s="46">
        <v>15</v>
      </c>
      <c r="R146" s="46"/>
      <c r="S146" s="46"/>
      <c r="T146" s="47"/>
      <c r="U146" s="71">
        <f t="shared" si="28"/>
        <v>15</v>
      </c>
      <c r="V146" s="72">
        <f t="shared" si="29"/>
        <v>15</v>
      </c>
      <c r="W146" s="99"/>
      <c r="X146" s="100"/>
      <c r="Y146" s="85"/>
      <c r="Z146" s="73"/>
      <c r="AA146" s="74"/>
      <c r="AB146" s="75">
        <f t="shared" si="30"/>
        <v>0</v>
      </c>
      <c r="AC146" s="72">
        <f t="shared" si="31"/>
        <v>0</v>
      </c>
      <c r="AD146" s="52">
        <v>2</v>
      </c>
      <c r="AE146" s="71">
        <f t="shared" si="32"/>
        <v>2</v>
      </c>
      <c r="AF146" s="76"/>
      <c r="AG146" s="86"/>
      <c r="AH146" s="77">
        <f t="shared" si="33"/>
        <v>17</v>
      </c>
      <c r="AI146" s="56">
        <v>10</v>
      </c>
      <c r="AJ146" s="56">
        <v>10</v>
      </c>
      <c r="AK146" s="56">
        <v>45</v>
      </c>
      <c r="AL146" s="57">
        <f t="shared" si="34"/>
        <v>82</v>
      </c>
      <c r="AM146" s="55">
        <f t="shared" si="35"/>
        <v>82</v>
      </c>
      <c r="AN146" s="78">
        <f t="shared" si="36"/>
        <v>1.02</v>
      </c>
      <c r="AO146" s="79"/>
      <c r="AP146" s="80">
        <f t="shared" si="41"/>
        <v>1</v>
      </c>
      <c r="AQ146" s="80">
        <f t="shared" si="41"/>
        <v>2</v>
      </c>
      <c r="AR146" s="61"/>
      <c r="AS146" s="62"/>
      <c r="AT146" s="81"/>
      <c r="AU146" s="81"/>
      <c r="AV146" s="81"/>
      <c r="AW146" s="81"/>
      <c r="AX146" s="82"/>
      <c r="AY146" s="83">
        <f t="shared" si="37"/>
        <v>0</v>
      </c>
      <c r="AZ146" s="83">
        <f t="shared" si="27"/>
        <v>0</v>
      </c>
    </row>
    <row r="147" spans="1:52" s="23" customFormat="1" ht="39.75" customHeight="1" thickBot="1" x14ac:dyDescent="0.2">
      <c r="A147" s="101"/>
      <c r="B147" s="101"/>
      <c r="C147" s="101"/>
      <c r="D147" s="101"/>
      <c r="E147" s="101"/>
      <c r="F147" s="101"/>
      <c r="G147" s="90"/>
      <c r="H147" s="158"/>
      <c r="I147" s="92">
        <v>0.51</v>
      </c>
      <c r="J147" s="41">
        <v>0.49</v>
      </c>
      <c r="K147" s="41"/>
      <c r="L147" s="41"/>
      <c r="M147" s="93"/>
      <c r="N147" s="94">
        <f t="shared" si="40"/>
        <v>1</v>
      </c>
      <c r="O147" s="44">
        <v>1</v>
      </c>
      <c r="P147" s="45">
        <v>15</v>
      </c>
      <c r="Q147" s="46">
        <v>15</v>
      </c>
      <c r="R147" s="46"/>
      <c r="S147" s="46"/>
      <c r="T147" s="47"/>
      <c r="U147" s="71">
        <f t="shared" si="28"/>
        <v>15</v>
      </c>
      <c r="V147" s="72">
        <f t="shared" si="29"/>
        <v>15</v>
      </c>
      <c r="W147" s="99"/>
      <c r="X147" s="100"/>
      <c r="Y147" s="85"/>
      <c r="Z147" s="73"/>
      <c r="AA147" s="74"/>
      <c r="AB147" s="75">
        <f t="shared" si="30"/>
        <v>0</v>
      </c>
      <c r="AC147" s="72">
        <f t="shared" si="31"/>
        <v>0</v>
      </c>
      <c r="AD147" s="52">
        <v>2</v>
      </c>
      <c r="AE147" s="71">
        <f t="shared" si="32"/>
        <v>2</v>
      </c>
      <c r="AF147" s="76"/>
      <c r="AG147" s="86"/>
      <c r="AH147" s="77">
        <f t="shared" si="33"/>
        <v>17</v>
      </c>
      <c r="AI147" s="56">
        <v>10</v>
      </c>
      <c r="AJ147" s="56">
        <v>10</v>
      </c>
      <c r="AK147" s="56">
        <v>45</v>
      </c>
      <c r="AL147" s="57">
        <f t="shared" si="34"/>
        <v>82</v>
      </c>
      <c r="AM147" s="55">
        <f t="shared" si="35"/>
        <v>82</v>
      </c>
      <c r="AN147" s="78">
        <f t="shared" si="36"/>
        <v>1.02</v>
      </c>
      <c r="AO147" s="79"/>
      <c r="AP147" s="80">
        <f t="shared" si="41"/>
        <v>1</v>
      </c>
      <c r="AQ147" s="80">
        <f t="shared" si="41"/>
        <v>2</v>
      </c>
      <c r="AR147" s="61"/>
      <c r="AS147" s="62"/>
      <c r="AT147" s="81"/>
      <c r="AU147" s="81"/>
      <c r="AV147" s="81"/>
      <c r="AW147" s="81"/>
      <c r="AX147" s="82"/>
      <c r="AY147" s="83">
        <f t="shared" si="37"/>
        <v>0</v>
      </c>
      <c r="AZ147" s="83">
        <f t="shared" si="27"/>
        <v>0</v>
      </c>
    </row>
    <row r="148" spans="1:52" s="66" customFormat="1" ht="39.75" customHeight="1" thickBot="1" x14ac:dyDescent="0.2">
      <c r="A148" s="101"/>
      <c r="B148" s="101"/>
      <c r="C148" s="101"/>
      <c r="D148" s="101"/>
      <c r="E148" s="101"/>
      <c r="F148" s="101"/>
      <c r="G148" s="90"/>
      <c r="H148" s="158"/>
      <c r="I148" s="92">
        <v>0.51</v>
      </c>
      <c r="J148" s="41">
        <v>0.49</v>
      </c>
      <c r="K148" s="41"/>
      <c r="L148" s="41"/>
      <c r="M148" s="93"/>
      <c r="N148" s="94">
        <f t="shared" si="40"/>
        <v>1</v>
      </c>
      <c r="O148" s="44">
        <v>1</v>
      </c>
      <c r="P148" s="45">
        <v>15</v>
      </c>
      <c r="Q148" s="46">
        <v>15</v>
      </c>
      <c r="R148" s="46"/>
      <c r="S148" s="46"/>
      <c r="T148" s="47"/>
      <c r="U148" s="71">
        <f t="shared" si="28"/>
        <v>15</v>
      </c>
      <c r="V148" s="72">
        <f t="shared" si="29"/>
        <v>15</v>
      </c>
      <c r="W148" s="99"/>
      <c r="X148" s="100"/>
      <c r="Y148" s="85"/>
      <c r="Z148" s="73"/>
      <c r="AA148" s="74"/>
      <c r="AB148" s="75">
        <f t="shared" si="30"/>
        <v>0</v>
      </c>
      <c r="AC148" s="72">
        <f t="shared" si="31"/>
        <v>0</v>
      </c>
      <c r="AD148" s="52">
        <v>2</v>
      </c>
      <c r="AE148" s="71">
        <f t="shared" si="32"/>
        <v>2</v>
      </c>
      <c r="AF148" s="76"/>
      <c r="AG148" s="86"/>
      <c r="AH148" s="77">
        <f t="shared" si="33"/>
        <v>17</v>
      </c>
      <c r="AI148" s="56">
        <v>10</v>
      </c>
      <c r="AJ148" s="56">
        <v>10</v>
      </c>
      <c r="AK148" s="56">
        <v>45</v>
      </c>
      <c r="AL148" s="57">
        <f t="shared" si="34"/>
        <v>82</v>
      </c>
      <c r="AM148" s="55">
        <f t="shared" si="35"/>
        <v>82</v>
      </c>
      <c r="AN148" s="78">
        <f t="shared" si="36"/>
        <v>1.02</v>
      </c>
      <c r="AO148" s="79"/>
      <c r="AP148" s="80">
        <f t="shared" si="41"/>
        <v>1</v>
      </c>
      <c r="AQ148" s="80">
        <f t="shared" si="41"/>
        <v>2</v>
      </c>
      <c r="AR148" s="61"/>
      <c r="AS148" s="62"/>
      <c r="AT148" s="81"/>
      <c r="AU148" s="81"/>
      <c r="AV148" s="81"/>
      <c r="AW148" s="81"/>
      <c r="AX148" s="82"/>
      <c r="AY148" s="83">
        <f t="shared" si="37"/>
        <v>0</v>
      </c>
      <c r="AZ148" s="83">
        <f t="shared" si="27"/>
        <v>0</v>
      </c>
    </row>
    <row r="149" spans="1:52" s="23" customFormat="1" ht="39.75" customHeight="1" thickBot="1" x14ac:dyDescent="0.2">
      <c r="A149" s="101"/>
      <c r="B149" s="101"/>
      <c r="C149" s="101"/>
      <c r="D149" s="101"/>
      <c r="E149" s="101"/>
      <c r="F149" s="101"/>
      <c r="G149" s="90"/>
      <c r="H149" s="158"/>
      <c r="I149" s="92">
        <v>0.51</v>
      </c>
      <c r="J149" s="41">
        <v>0.49</v>
      </c>
      <c r="K149" s="41"/>
      <c r="L149" s="41"/>
      <c r="M149" s="93"/>
      <c r="N149" s="94">
        <f t="shared" si="40"/>
        <v>1</v>
      </c>
      <c r="O149" s="44">
        <v>1</v>
      </c>
      <c r="P149" s="45">
        <v>15</v>
      </c>
      <c r="Q149" s="46">
        <v>15</v>
      </c>
      <c r="R149" s="46"/>
      <c r="S149" s="46"/>
      <c r="T149" s="47"/>
      <c r="U149" s="71">
        <f t="shared" si="28"/>
        <v>15</v>
      </c>
      <c r="V149" s="72">
        <f t="shared" si="29"/>
        <v>15</v>
      </c>
      <c r="W149" s="99"/>
      <c r="X149" s="100"/>
      <c r="Y149" s="85"/>
      <c r="Z149" s="73"/>
      <c r="AA149" s="74"/>
      <c r="AB149" s="75">
        <f t="shared" si="30"/>
        <v>0</v>
      </c>
      <c r="AC149" s="72">
        <f t="shared" si="31"/>
        <v>0</v>
      </c>
      <c r="AD149" s="52">
        <v>2</v>
      </c>
      <c r="AE149" s="71">
        <f t="shared" si="32"/>
        <v>2</v>
      </c>
      <c r="AF149" s="76"/>
      <c r="AG149" s="86"/>
      <c r="AH149" s="77">
        <f t="shared" si="33"/>
        <v>17</v>
      </c>
      <c r="AI149" s="56">
        <v>10</v>
      </c>
      <c r="AJ149" s="56">
        <v>10</v>
      </c>
      <c r="AK149" s="56">
        <v>45</v>
      </c>
      <c r="AL149" s="57">
        <f t="shared" si="34"/>
        <v>82</v>
      </c>
      <c r="AM149" s="55">
        <f t="shared" si="35"/>
        <v>82</v>
      </c>
      <c r="AN149" s="78">
        <f t="shared" si="36"/>
        <v>1.02</v>
      </c>
      <c r="AO149" s="79"/>
      <c r="AP149" s="80">
        <f t="shared" si="41"/>
        <v>1</v>
      </c>
      <c r="AQ149" s="80">
        <f t="shared" si="41"/>
        <v>2</v>
      </c>
      <c r="AR149" s="61"/>
      <c r="AS149" s="62"/>
      <c r="AT149" s="81"/>
      <c r="AU149" s="81"/>
      <c r="AV149" s="81"/>
      <c r="AW149" s="81"/>
      <c r="AX149" s="82"/>
      <c r="AY149" s="83">
        <f t="shared" si="37"/>
        <v>0</v>
      </c>
      <c r="AZ149" s="83">
        <f t="shared" si="27"/>
        <v>0</v>
      </c>
    </row>
    <row r="150" spans="1:52" s="66" customFormat="1" ht="39.75" customHeight="1" thickBot="1" x14ac:dyDescent="0.2">
      <c r="A150" s="101"/>
      <c r="B150" s="101"/>
      <c r="C150" s="101"/>
      <c r="D150" s="101"/>
      <c r="E150" s="101"/>
      <c r="F150" s="101"/>
      <c r="G150" s="90"/>
      <c r="H150" s="158"/>
      <c r="I150" s="92">
        <v>0.51</v>
      </c>
      <c r="J150" s="41">
        <v>0.49</v>
      </c>
      <c r="K150" s="41"/>
      <c r="L150" s="41"/>
      <c r="M150" s="93"/>
      <c r="N150" s="94">
        <f t="shared" si="40"/>
        <v>1</v>
      </c>
      <c r="O150" s="44">
        <v>1</v>
      </c>
      <c r="P150" s="45">
        <v>15</v>
      </c>
      <c r="Q150" s="46">
        <v>15</v>
      </c>
      <c r="R150" s="46"/>
      <c r="S150" s="46"/>
      <c r="T150" s="47"/>
      <c r="U150" s="71">
        <f t="shared" si="28"/>
        <v>15</v>
      </c>
      <c r="V150" s="72">
        <f t="shared" si="29"/>
        <v>15</v>
      </c>
      <c r="W150" s="99"/>
      <c r="X150" s="100"/>
      <c r="Y150" s="85"/>
      <c r="Z150" s="73"/>
      <c r="AA150" s="74"/>
      <c r="AB150" s="75">
        <f t="shared" si="30"/>
        <v>0</v>
      </c>
      <c r="AC150" s="72">
        <f t="shared" si="31"/>
        <v>0</v>
      </c>
      <c r="AD150" s="52">
        <v>2</v>
      </c>
      <c r="AE150" s="71">
        <f t="shared" si="32"/>
        <v>2</v>
      </c>
      <c r="AF150" s="76"/>
      <c r="AG150" s="86"/>
      <c r="AH150" s="77">
        <f t="shared" si="33"/>
        <v>17</v>
      </c>
      <c r="AI150" s="56">
        <v>10</v>
      </c>
      <c r="AJ150" s="56">
        <v>10</v>
      </c>
      <c r="AK150" s="56">
        <v>45</v>
      </c>
      <c r="AL150" s="57">
        <f t="shared" si="34"/>
        <v>82</v>
      </c>
      <c r="AM150" s="55">
        <f t="shared" si="35"/>
        <v>82</v>
      </c>
      <c r="AN150" s="78">
        <f t="shared" si="36"/>
        <v>1.02</v>
      </c>
      <c r="AO150" s="79"/>
      <c r="AP150" s="80">
        <f t="shared" si="41"/>
        <v>1</v>
      </c>
      <c r="AQ150" s="80">
        <f t="shared" si="41"/>
        <v>2</v>
      </c>
      <c r="AR150" s="61"/>
      <c r="AS150" s="62"/>
      <c r="AT150" s="81"/>
      <c r="AU150" s="81"/>
      <c r="AV150" s="81"/>
      <c r="AW150" s="81"/>
      <c r="AX150" s="82"/>
      <c r="AY150" s="83">
        <f t="shared" si="37"/>
        <v>0</v>
      </c>
      <c r="AZ150" s="83">
        <f t="shared" si="27"/>
        <v>0</v>
      </c>
    </row>
    <row r="151" spans="1:52" s="66" customFormat="1" ht="39.75" customHeight="1" thickBot="1" x14ac:dyDescent="0.2">
      <c r="A151" s="101"/>
      <c r="B151" s="101"/>
      <c r="C151" s="101"/>
      <c r="D151" s="101"/>
      <c r="E151" s="101"/>
      <c r="F151" s="101"/>
      <c r="G151" s="90"/>
      <c r="H151" s="158"/>
      <c r="I151" s="92">
        <v>0.51</v>
      </c>
      <c r="J151" s="41">
        <v>0.49</v>
      </c>
      <c r="K151" s="41"/>
      <c r="L151" s="41"/>
      <c r="M151" s="93"/>
      <c r="N151" s="94">
        <f t="shared" si="40"/>
        <v>1</v>
      </c>
      <c r="O151" s="44">
        <v>1</v>
      </c>
      <c r="P151" s="45">
        <v>15</v>
      </c>
      <c r="Q151" s="46">
        <v>15</v>
      </c>
      <c r="R151" s="46"/>
      <c r="S151" s="46"/>
      <c r="T151" s="47"/>
      <c r="U151" s="71">
        <f t="shared" si="28"/>
        <v>15</v>
      </c>
      <c r="V151" s="72">
        <f t="shared" si="29"/>
        <v>15</v>
      </c>
      <c r="W151" s="99"/>
      <c r="X151" s="100"/>
      <c r="Y151" s="85"/>
      <c r="Z151" s="73"/>
      <c r="AA151" s="74"/>
      <c r="AB151" s="75">
        <f t="shared" si="30"/>
        <v>0</v>
      </c>
      <c r="AC151" s="72">
        <f t="shared" si="31"/>
        <v>0</v>
      </c>
      <c r="AD151" s="52">
        <v>2</v>
      </c>
      <c r="AE151" s="71">
        <f t="shared" si="32"/>
        <v>2</v>
      </c>
      <c r="AF151" s="86"/>
      <c r="AG151" s="86"/>
      <c r="AH151" s="77">
        <f t="shared" si="33"/>
        <v>17</v>
      </c>
      <c r="AI151" s="56">
        <v>10</v>
      </c>
      <c r="AJ151" s="56">
        <v>10</v>
      </c>
      <c r="AK151" s="56">
        <v>45</v>
      </c>
      <c r="AL151" s="57">
        <f t="shared" si="34"/>
        <v>82</v>
      </c>
      <c r="AM151" s="55">
        <f t="shared" si="35"/>
        <v>82</v>
      </c>
      <c r="AN151" s="78">
        <f t="shared" si="36"/>
        <v>1.02</v>
      </c>
      <c r="AO151" s="79"/>
      <c r="AP151" s="80">
        <f t="shared" si="41"/>
        <v>1</v>
      </c>
      <c r="AQ151" s="80">
        <f t="shared" si="41"/>
        <v>2</v>
      </c>
      <c r="AR151" s="61"/>
      <c r="AS151" s="62"/>
      <c r="AT151" s="81"/>
      <c r="AU151" s="81"/>
      <c r="AV151" s="81"/>
      <c r="AW151" s="81"/>
      <c r="AX151" s="82"/>
      <c r="AY151" s="83">
        <f t="shared" si="37"/>
        <v>0</v>
      </c>
      <c r="AZ151" s="83">
        <f t="shared" si="27"/>
        <v>0</v>
      </c>
    </row>
  </sheetData>
  <mergeCells count="56">
    <mergeCell ref="C46:G46"/>
    <mergeCell ref="AG1:AJ1"/>
    <mergeCell ref="AA2:AB2"/>
    <mergeCell ref="AE1:AF1"/>
    <mergeCell ref="D2:E2"/>
    <mergeCell ref="I2:J2"/>
    <mergeCell ref="M2:P2"/>
    <mergeCell ref="W2:X2"/>
    <mergeCell ref="Y2:Z2"/>
    <mergeCell ref="D1:E1"/>
    <mergeCell ref="I1:J1"/>
    <mergeCell ref="W1:X1"/>
    <mergeCell ref="Y1:Z1"/>
    <mergeCell ref="AA1:AB1"/>
    <mergeCell ref="C17:G17"/>
    <mergeCell ref="C12:G12"/>
    <mergeCell ref="AZ3:AZ4"/>
    <mergeCell ref="C6:G6"/>
    <mergeCell ref="AY3:AY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AT3:AT4"/>
    <mergeCell ref="AU3:AU4"/>
    <mergeCell ref="AV3:AV4"/>
    <mergeCell ref="C8:G8"/>
    <mergeCell ref="C10:G10"/>
    <mergeCell ref="C14:G14"/>
    <mergeCell ref="AW3:AW4"/>
    <mergeCell ref="AX3:AX4"/>
    <mergeCell ref="AQ3:AQ4"/>
    <mergeCell ref="AR3:AR4"/>
    <mergeCell ref="AS3:AS4"/>
    <mergeCell ref="AN3:AN4"/>
    <mergeCell ref="AO3:AO4"/>
    <mergeCell ref="AP3:AP4"/>
    <mergeCell ref="C44:G44"/>
    <mergeCell ref="C19:G19"/>
    <mergeCell ref="C21:G21"/>
    <mergeCell ref="C23:G23"/>
    <mergeCell ref="C25:G25"/>
    <mergeCell ref="C27:G27"/>
    <mergeCell ref="C29:G29"/>
    <mergeCell ref="C32:G32"/>
    <mergeCell ref="C34:G34"/>
    <mergeCell ref="C36:G36"/>
    <mergeCell ref="C42:G42"/>
    <mergeCell ref="C40:G40"/>
    <mergeCell ref="C38:G38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73" max="51" man="1"/>
  </rowBreaks>
  <colBreaks count="2" manualBreakCount="2">
    <brk id="14" max="132" man="1"/>
    <brk id="40" max="13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Z146"/>
  <sheetViews>
    <sheetView zoomScale="85" zoomScaleNormal="85" workbookViewId="0">
      <pane ySplit="2" topLeftCell="A5" activePane="bottomLeft" state="frozen"/>
      <selection pane="bottomLeft" activeCell="F17" sqref="F17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8.33203125" style="102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103" hidden="1" customWidth="1"/>
    <col min="23" max="27" width="8.33203125" style="1" customWidth="1"/>
    <col min="28" max="28" width="7.6640625" style="1" customWidth="1"/>
    <col min="29" max="29" width="7.6640625" style="103" hidden="1" customWidth="1"/>
    <col min="30" max="31" width="7.6640625" style="103" customWidth="1"/>
    <col min="32" max="33" width="6.109375" style="1" customWidth="1"/>
    <col min="34" max="34" width="7.6640625" style="1" customWidth="1"/>
    <col min="35" max="37" width="4.5546875" style="1" customWidth="1"/>
    <col min="38" max="38" width="6.7773437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58</v>
      </c>
      <c r="D1" s="366">
        <v>5757490000</v>
      </c>
      <c r="E1" s="366"/>
      <c r="F1" s="4"/>
      <c r="G1" s="5"/>
      <c r="H1" s="6" t="s">
        <v>184</v>
      </c>
      <c r="I1" s="367">
        <v>10336130272</v>
      </c>
      <c r="J1" s="368"/>
      <c r="K1" s="7" t="s">
        <v>414</v>
      </c>
      <c r="L1" s="178"/>
      <c r="M1" s="178"/>
      <c r="N1" s="8"/>
      <c r="O1" s="8"/>
      <c r="P1" s="8"/>
      <c r="Q1" s="8"/>
      <c r="R1" s="8"/>
      <c r="S1" s="8"/>
      <c r="T1" s="8"/>
      <c r="U1" s="8"/>
      <c r="V1" s="8"/>
      <c r="W1" s="369" t="s">
        <v>56</v>
      </c>
      <c r="X1" s="369"/>
      <c r="Y1" s="370" t="s">
        <v>185</v>
      </c>
      <c r="Z1" s="371"/>
      <c r="AA1" s="372" t="s">
        <v>0</v>
      </c>
      <c r="AB1" s="373"/>
      <c r="AC1" s="11"/>
      <c r="AD1" s="11"/>
      <c r="AE1" s="374" t="s">
        <v>186</v>
      </c>
      <c r="AF1" s="375"/>
      <c r="AG1" s="355">
        <f>D1</f>
        <v>5757490000</v>
      </c>
      <c r="AH1" s="355"/>
      <c r="AI1" s="355"/>
      <c r="AJ1" s="355"/>
      <c r="AK1" s="9" t="s">
        <v>53</v>
      </c>
      <c r="AL1" s="10"/>
      <c r="AM1" s="10"/>
      <c r="AN1" s="8"/>
      <c r="AQ1" s="104"/>
    </row>
    <row r="2" spans="1:52" s="19" customFormat="1" ht="29.25" customHeight="1" thickBot="1" x14ac:dyDescent="0.2">
      <c r="A2" s="11"/>
      <c r="B2" s="12"/>
      <c r="C2" s="13" t="s">
        <v>52</v>
      </c>
      <c r="D2" s="356">
        <v>6333239000</v>
      </c>
      <c r="E2" s="356"/>
      <c r="F2" s="14"/>
      <c r="G2" s="15"/>
      <c r="H2" s="3" t="s">
        <v>187</v>
      </c>
      <c r="I2" s="357">
        <f>D2*2</f>
        <v>12666478000</v>
      </c>
      <c r="J2" s="358"/>
      <c r="K2" s="16" t="s">
        <v>50</v>
      </c>
      <c r="L2" s="177" t="s">
        <v>188</v>
      </c>
      <c r="M2" s="359">
        <v>45988.708333333336</v>
      </c>
      <c r="N2" s="359"/>
      <c r="O2" s="359"/>
      <c r="P2" s="359"/>
      <c r="Q2" s="176" t="s">
        <v>189</v>
      </c>
      <c r="R2" s="176"/>
      <c r="S2" s="176"/>
      <c r="T2" s="17"/>
      <c r="U2" s="175"/>
      <c r="V2" s="175"/>
      <c r="W2" s="360">
        <v>2968064000</v>
      </c>
      <c r="X2" s="360"/>
      <c r="Y2" s="361">
        <f>I1</f>
        <v>10336130272</v>
      </c>
      <c r="Z2" s="362"/>
      <c r="AA2" s="363">
        <f>TRUNC(W2/Y2,4)</f>
        <v>0.28710000000000002</v>
      </c>
      <c r="AB2" s="364"/>
      <c r="AC2" s="18"/>
      <c r="AD2" s="143"/>
      <c r="AE2" s="365"/>
      <c r="AF2" s="365"/>
      <c r="AG2" s="365"/>
      <c r="AH2" s="365"/>
      <c r="AI2" s="365"/>
      <c r="AJ2" s="365"/>
      <c r="AK2" s="365"/>
      <c r="AL2" s="365"/>
      <c r="AM2" s="145"/>
      <c r="AN2" s="104" t="s">
        <v>190</v>
      </c>
      <c r="AO2" s="20"/>
      <c r="AP2" s="104"/>
      <c r="AQ2" s="104"/>
      <c r="AR2" s="104"/>
      <c r="AS2" s="1"/>
      <c r="AT2" s="21" t="s">
        <v>191</v>
      </c>
      <c r="AU2" s="377">
        <f>AG1</f>
        <v>5757490000</v>
      </c>
      <c r="AV2" s="378"/>
      <c r="AY2" s="22"/>
    </row>
    <row r="3" spans="1:52" s="23" customFormat="1" ht="24.95" customHeight="1" thickBot="1" x14ac:dyDescent="0.2">
      <c r="A3" s="379" t="s">
        <v>47</v>
      </c>
      <c r="B3" s="381" t="s">
        <v>192</v>
      </c>
      <c r="C3" s="383" t="s">
        <v>45</v>
      </c>
      <c r="D3" s="384"/>
      <c r="E3" s="384"/>
      <c r="F3" s="384"/>
      <c r="G3" s="384"/>
      <c r="H3" s="385"/>
      <c r="I3" s="383" t="s">
        <v>193</v>
      </c>
      <c r="J3" s="384"/>
      <c r="K3" s="384"/>
      <c r="L3" s="384"/>
      <c r="M3" s="385"/>
      <c r="N3" s="386" t="s">
        <v>194</v>
      </c>
      <c r="O3" s="388" t="s">
        <v>195</v>
      </c>
      <c r="P3" s="383" t="s">
        <v>196</v>
      </c>
      <c r="Q3" s="384"/>
      <c r="R3" s="390"/>
      <c r="S3" s="390"/>
      <c r="T3" s="384"/>
      <c r="U3" s="385"/>
      <c r="V3" s="264"/>
      <c r="W3" s="383" t="s">
        <v>197</v>
      </c>
      <c r="X3" s="384"/>
      <c r="Y3" s="384"/>
      <c r="Z3" s="384"/>
      <c r="AA3" s="384"/>
      <c r="AB3" s="384"/>
      <c r="AC3" s="384"/>
      <c r="AD3" s="384"/>
      <c r="AE3" s="385"/>
      <c r="AF3" s="383"/>
      <c r="AG3" s="384"/>
      <c r="AH3" s="384"/>
      <c r="AI3" s="384"/>
      <c r="AJ3" s="384"/>
      <c r="AK3" s="384"/>
      <c r="AL3" s="384"/>
      <c r="AM3" s="385"/>
      <c r="AN3" s="391" t="s">
        <v>198</v>
      </c>
      <c r="AO3" s="393" t="s">
        <v>42</v>
      </c>
      <c r="AP3" s="395" t="s">
        <v>199</v>
      </c>
      <c r="AQ3" s="397" t="s">
        <v>200</v>
      </c>
      <c r="AR3" s="399" t="s">
        <v>201</v>
      </c>
      <c r="AS3" s="376" t="s">
        <v>202</v>
      </c>
      <c r="AT3" s="393" t="s">
        <v>203</v>
      </c>
      <c r="AU3" s="376" t="s">
        <v>204</v>
      </c>
      <c r="AV3" s="376" t="s">
        <v>205</v>
      </c>
      <c r="AW3" s="376" t="s">
        <v>206</v>
      </c>
      <c r="AX3" s="400" t="s">
        <v>207</v>
      </c>
      <c r="AY3" s="376" t="s">
        <v>208</v>
      </c>
      <c r="AZ3" s="376" t="s">
        <v>209</v>
      </c>
    </row>
    <row r="4" spans="1:52" s="23" customFormat="1" ht="39.75" customHeight="1" thickBot="1" x14ac:dyDescent="0.2">
      <c r="A4" s="380"/>
      <c r="B4" s="382"/>
      <c r="C4" s="24" t="s">
        <v>210</v>
      </c>
      <c r="D4" s="25" t="s">
        <v>211</v>
      </c>
      <c r="E4" s="26" t="s">
        <v>212</v>
      </c>
      <c r="F4" s="26" t="s">
        <v>213</v>
      </c>
      <c r="G4" s="27" t="s">
        <v>214</v>
      </c>
      <c r="H4" s="264" t="s">
        <v>215</v>
      </c>
      <c r="I4" s="28" t="s">
        <v>210</v>
      </c>
      <c r="J4" s="29" t="s">
        <v>211</v>
      </c>
      <c r="K4" s="25" t="s">
        <v>212</v>
      </c>
      <c r="L4" s="25" t="s">
        <v>213</v>
      </c>
      <c r="M4" s="30" t="s">
        <v>214</v>
      </c>
      <c r="N4" s="387"/>
      <c r="O4" s="389"/>
      <c r="P4" s="28" t="s">
        <v>210</v>
      </c>
      <c r="Q4" s="29" t="s">
        <v>211</v>
      </c>
      <c r="R4" s="25" t="s">
        <v>212</v>
      </c>
      <c r="S4" s="25" t="s">
        <v>213</v>
      </c>
      <c r="T4" s="30" t="s">
        <v>214</v>
      </c>
      <c r="U4" s="31" t="s">
        <v>216</v>
      </c>
      <c r="V4" s="32" t="s">
        <v>217</v>
      </c>
      <c r="W4" s="33" t="s">
        <v>210</v>
      </c>
      <c r="X4" s="29" t="s">
        <v>211</v>
      </c>
      <c r="Y4" s="29" t="s">
        <v>212</v>
      </c>
      <c r="Z4" s="29" t="s">
        <v>213</v>
      </c>
      <c r="AA4" s="30" t="s">
        <v>214</v>
      </c>
      <c r="AB4" s="34" t="s">
        <v>218</v>
      </c>
      <c r="AC4" s="35" t="s">
        <v>219</v>
      </c>
      <c r="AD4" s="36" t="s">
        <v>220</v>
      </c>
      <c r="AE4" s="36" t="s">
        <v>221</v>
      </c>
      <c r="AF4" s="37" t="s">
        <v>222</v>
      </c>
      <c r="AG4" s="37" t="s">
        <v>223</v>
      </c>
      <c r="AH4" s="38" t="s">
        <v>224</v>
      </c>
      <c r="AI4" s="38" t="s">
        <v>225</v>
      </c>
      <c r="AJ4" s="38" t="s">
        <v>226</v>
      </c>
      <c r="AK4" s="39" t="s">
        <v>227</v>
      </c>
      <c r="AL4" s="39"/>
      <c r="AM4" s="39" t="s">
        <v>228</v>
      </c>
      <c r="AN4" s="392"/>
      <c r="AO4" s="394"/>
      <c r="AP4" s="396"/>
      <c r="AQ4" s="398"/>
      <c r="AR4" s="399"/>
      <c r="AS4" s="376"/>
      <c r="AT4" s="394"/>
      <c r="AU4" s="376"/>
      <c r="AV4" s="376"/>
      <c r="AW4" s="376"/>
      <c r="AX4" s="401"/>
      <c r="AY4" s="376"/>
      <c r="AZ4" s="376"/>
    </row>
    <row r="5" spans="1:52" s="66" customFormat="1" ht="39.75" customHeight="1" thickBot="1" x14ac:dyDescent="0.2">
      <c r="A5" s="96">
        <v>1</v>
      </c>
      <c r="B5" s="108"/>
      <c r="C5" s="134" t="s">
        <v>229</v>
      </c>
      <c r="D5" s="133"/>
      <c r="E5" s="122"/>
      <c r="F5" s="211"/>
      <c r="G5" s="212"/>
      <c r="H5" s="254"/>
      <c r="I5" s="213">
        <v>1</v>
      </c>
      <c r="J5" s="174"/>
      <c r="K5" s="174"/>
      <c r="L5" s="214"/>
      <c r="M5" s="215"/>
      <c r="N5" s="216">
        <f t="shared" ref="N5:N45" si="0">SUM(I5:M5)</f>
        <v>1</v>
      </c>
      <c r="O5" s="217">
        <v>1</v>
      </c>
      <c r="P5" s="173">
        <v>15</v>
      </c>
      <c r="Q5" s="218">
        <v>15</v>
      </c>
      <c r="R5" s="219"/>
      <c r="S5" s="220"/>
      <c r="T5" s="221"/>
      <c r="U5" s="222">
        <f>ROUND(((P5*I5)+(Q5*J5)+(R5*K5)+(S5*L5)+(T5*M5))*O5,2)</f>
        <v>15</v>
      </c>
      <c r="V5" s="223">
        <f>IF(U5&gt;=15,15,U5)</f>
        <v>15</v>
      </c>
      <c r="W5" s="224">
        <v>59183685000</v>
      </c>
      <c r="X5" s="225"/>
      <c r="Y5" s="225"/>
      <c r="Z5" s="226"/>
      <c r="AA5" s="227"/>
      <c r="AB5" s="228">
        <f>ROUND((((W5*I5)+(X5*J5)+(Y5*K5)+(Z5*L5)+(AA5*M5))/$I$2),2)*13</f>
        <v>60.71</v>
      </c>
      <c r="AC5" s="72">
        <f>IF(AB5&gt;=13,13,AB5)</f>
        <v>13</v>
      </c>
      <c r="AD5" s="124">
        <v>2</v>
      </c>
      <c r="AE5" s="71">
        <f>IF((AC5+AD5)&gt;=15,15,(AC5+AD5))</f>
        <v>15</v>
      </c>
      <c r="AF5" s="76"/>
      <c r="AG5" s="54">
        <v>0.68</v>
      </c>
      <c r="AH5" s="77">
        <f>IF((V5+AE5+AF5)&gt;=30,30,(V5+AE5+AF5))</f>
        <v>30</v>
      </c>
      <c r="AI5" s="56">
        <v>10</v>
      </c>
      <c r="AJ5" s="56">
        <v>10</v>
      </c>
      <c r="AK5" s="56">
        <v>45</v>
      </c>
      <c r="AL5" s="57">
        <f>V5+AE5+AF5+AI5+AJ5+AK5+AG5</f>
        <v>95.68</v>
      </c>
      <c r="AM5" s="55">
        <f>IF(AH5+AI5+AJ5+AK5+AG5&gt;=95,95,AH5+AI5+AJ5+AK5+AG5)</f>
        <v>95</v>
      </c>
      <c r="AN5" s="78">
        <f>-((50-((176+(45+(50-AH5)))))/200)</f>
        <v>0.95499999999999996</v>
      </c>
      <c r="AO5" s="79"/>
      <c r="AP5" s="80">
        <f>100%+AO5</f>
        <v>1</v>
      </c>
      <c r="AQ5" s="80">
        <f>100%+AP5</f>
        <v>2</v>
      </c>
      <c r="AR5" s="61"/>
      <c r="AS5" s="62"/>
      <c r="AT5" s="81"/>
      <c r="AU5" s="81"/>
      <c r="AV5" s="81"/>
      <c r="AW5" s="81"/>
      <c r="AX5" s="82"/>
      <c r="AY5" s="83">
        <f>AT5+AU5+AV5+AW5+AX5</f>
        <v>0</v>
      </c>
      <c r="AZ5" s="83">
        <f>(AT5*I5)+(AU5*J5)+(AV5*K5)+(AW5*L5)+(AX5*M5)</f>
        <v>0</v>
      </c>
    </row>
    <row r="6" spans="1:52" s="66" customFormat="1" ht="39.75" customHeight="1" thickBot="1" x14ac:dyDescent="0.2">
      <c r="A6" s="96">
        <v>2</v>
      </c>
      <c r="B6" s="108"/>
      <c r="C6" s="189" t="s">
        <v>230</v>
      </c>
      <c r="D6" s="129"/>
      <c r="E6" s="122"/>
      <c r="F6" s="40"/>
      <c r="G6" s="97"/>
      <c r="H6" s="207"/>
      <c r="I6" s="92">
        <v>1</v>
      </c>
      <c r="J6" s="41"/>
      <c r="K6" s="41"/>
      <c r="L6" s="42"/>
      <c r="M6" s="68"/>
      <c r="N6" s="69">
        <f t="shared" si="0"/>
        <v>1</v>
      </c>
      <c r="O6" s="125">
        <v>1</v>
      </c>
      <c r="P6" s="112">
        <v>15</v>
      </c>
      <c r="Q6" s="113">
        <v>15</v>
      </c>
      <c r="R6" s="113"/>
      <c r="S6" s="120"/>
      <c r="T6" s="70"/>
      <c r="U6" s="71">
        <f t="shared" ref="U6:U81" si="1">ROUND(((P6*I6)+(Q6*J6)+(R6*K6)+(S6*L6)+(T6*M6))*O6,2)</f>
        <v>15</v>
      </c>
      <c r="V6" s="72">
        <f t="shared" ref="V6:V81" si="2">IF(U6&gt;=15,15,U6)</f>
        <v>15</v>
      </c>
      <c r="W6" s="116">
        <v>34748832000</v>
      </c>
      <c r="X6" s="201"/>
      <c r="Y6" s="201"/>
      <c r="Z6" s="119"/>
      <c r="AA6" s="74"/>
      <c r="AB6" s="75">
        <f t="shared" ref="AB6:AB81" si="3">ROUND((((W6*I6)+(X6*J6)+(Y6*K6)+(Z6*L6)+(AA6*M6))/$I$2),2)*13</f>
        <v>35.620000000000005</v>
      </c>
      <c r="AC6" s="72">
        <f t="shared" ref="AC6:AC81" si="4">IF(AB6&gt;=13,13,AB6)</f>
        <v>13</v>
      </c>
      <c r="AD6" s="124">
        <v>2</v>
      </c>
      <c r="AE6" s="71">
        <f t="shared" ref="AE6:AE81" si="5">IF((AC6+AD6)&gt;=15,15,(AC6+AD6))</f>
        <v>15</v>
      </c>
      <c r="AF6" s="76"/>
      <c r="AG6" s="54">
        <v>0.68</v>
      </c>
      <c r="AH6" s="77">
        <f t="shared" ref="AH6:AH81" si="6">IF((V6+AE6+AF6)&gt;=30,30,(V6+AE6+AF6))</f>
        <v>30</v>
      </c>
      <c r="AI6" s="56">
        <v>10</v>
      </c>
      <c r="AJ6" s="56">
        <v>10</v>
      </c>
      <c r="AK6" s="56">
        <v>45</v>
      </c>
      <c r="AL6" s="57">
        <f t="shared" ref="AL6:AL81" si="7">V6+AE6+AF6+AI6+AJ6+AK6+AG6</f>
        <v>95.68</v>
      </c>
      <c r="AM6" s="55">
        <f t="shared" ref="AM6:AM81" si="8">IF(AH6+AI6+AJ6+AK6+AG6&gt;=95,95,AH6+AI6+AJ6+AK6+AG6)</f>
        <v>95</v>
      </c>
      <c r="AN6" s="78">
        <f t="shared" ref="AN6:AN81" si="9">-((50-((176+(45+(50-AH6)))))/200)</f>
        <v>0.95499999999999996</v>
      </c>
      <c r="AO6" s="79"/>
      <c r="AP6" s="78">
        <f t="shared" ref="AP6:AQ62" si="10">100%+AO6</f>
        <v>1</v>
      </c>
      <c r="AQ6" s="229">
        <f t="shared" si="10"/>
        <v>2</v>
      </c>
      <c r="AR6" s="61"/>
      <c r="AS6" s="62"/>
      <c r="AT6" s="81"/>
      <c r="AU6" s="81"/>
      <c r="AV6" s="81"/>
      <c r="AW6" s="63"/>
      <c r="AX6" s="64"/>
      <c r="AY6" s="83">
        <f t="shared" ref="AY6:AY81" si="11">AT6+AU6+AV6+AW6+AX6</f>
        <v>0</v>
      </c>
      <c r="AZ6" s="83">
        <f t="shared" ref="AZ6:AZ81" si="12">(AT6*I6)+(AU6*J6)+(AV6*K6)+(AW6*L6)+(AX6*M6)</f>
        <v>0</v>
      </c>
    </row>
    <row r="7" spans="1:52" s="66" customFormat="1" ht="39.75" customHeight="1" thickBot="1" x14ac:dyDescent="0.2">
      <c r="A7" s="96">
        <v>3</v>
      </c>
      <c r="B7" s="108"/>
      <c r="C7" s="132" t="s">
        <v>231</v>
      </c>
      <c r="D7" s="105"/>
      <c r="E7" s="40"/>
      <c r="F7" s="131"/>
      <c r="G7" s="97"/>
      <c r="H7" s="207"/>
      <c r="I7" s="92">
        <v>1</v>
      </c>
      <c r="J7" s="41"/>
      <c r="K7" s="41"/>
      <c r="L7" s="42"/>
      <c r="M7" s="68"/>
      <c r="N7" s="69">
        <f t="shared" si="0"/>
        <v>1</v>
      </c>
      <c r="O7" s="125">
        <v>1</v>
      </c>
      <c r="P7" s="112">
        <v>15</v>
      </c>
      <c r="Q7" s="113">
        <v>15</v>
      </c>
      <c r="R7" s="113"/>
      <c r="S7" s="120"/>
      <c r="T7" s="70"/>
      <c r="U7" s="71">
        <f t="shared" si="1"/>
        <v>15</v>
      </c>
      <c r="V7" s="72">
        <f t="shared" si="2"/>
        <v>15</v>
      </c>
      <c r="W7" s="205">
        <v>39361754000</v>
      </c>
      <c r="X7" s="205"/>
      <c r="Y7" s="201"/>
      <c r="Z7" s="230"/>
      <c r="AA7" s="74"/>
      <c r="AB7" s="75">
        <f t="shared" si="3"/>
        <v>40.43</v>
      </c>
      <c r="AC7" s="72">
        <f t="shared" si="4"/>
        <v>13</v>
      </c>
      <c r="AD7" s="124">
        <v>2</v>
      </c>
      <c r="AE7" s="71">
        <f t="shared" si="5"/>
        <v>15</v>
      </c>
      <c r="AF7" s="53"/>
      <c r="AG7" s="54">
        <v>0.68</v>
      </c>
      <c r="AH7" s="77">
        <f t="shared" si="6"/>
        <v>30</v>
      </c>
      <c r="AI7" s="56">
        <v>10</v>
      </c>
      <c r="AJ7" s="56">
        <v>10</v>
      </c>
      <c r="AK7" s="56">
        <v>45</v>
      </c>
      <c r="AL7" s="57">
        <f t="shared" si="7"/>
        <v>95.68</v>
      </c>
      <c r="AM7" s="55">
        <f t="shared" si="8"/>
        <v>95</v>
      </c>
      <c r="AN7" s="78">
        <f t="shared" si="9"/>
        <v>0.95499999999999996</v>
      </c>
      <c r="AO7" s="79"/>
      <c r="AP7" s="80">
        <f t="shared" si="10"/>
        <v>1</v>
      </c>
      <c r="AQ7" s="80">
        <f t="shared" si="10"/>
        <v>2</v>
      </c>
      <c r="AR7" s="61"/>
      <c r="AS7" s="62"/>
      <c r="AT7" s="81"/>
      <c r="AU7" s="81"/>
      <c r="AV7" s="81"/>
      <c r="AW7" s="81"/>
      <c r="AX7" s="82"/>
      <c r="AY7" s="83">
        <f t="shared" si="11"/>
        <v>0</v>
      </c>
      <c r="AZ7" s="83">
        <f t="shared" si="12"/>
        <v>0</v>
      </c>
    </row>
    <row r="8" spans="1:52" s="66" customFormat="1" ht="39.75" customHeight="1" thickBot="1" x14ac:dyDescent="0.2">
      <c r="A8" s="96">
        <v>4</v>
      </c>
      <c r="B8" s="108"/>
      <c r="C8" s="134" t="s">
        <v>63</v>
      </c>
      <c r="D8" s="108"/>
      <c r="E8" s="40"/>
      <c r="F8" s="131"/>
      <c r="G8" s="170"/>
      <c r="H8" s="207"/>
      <c r="I8" s="92">
        <v>1</v>
      </c>
      <c r="J8" s="41"/>
      <c r="K8" s="42"/>
      <c r="L8" s="41"/>
      <c r="M8" s="147"/>
      <c r="N8" s="69">
        <f t="shared" si="0"/>
        <v>1</v>
      </c>
      <c r="O8" s="125">
        <v>1</v>
      </c>
      <c r="P8" s="112">
        <v>15</v>
      </c>
      <c r="Q8" s="113">
        <v>15</v>
      </c>
      <c r="R8" s="113"/>
      <c r="S8" s="114"/>
      <c r="T8" s="70"/>
      <c r="U8" s="71">
        <f t="shared" si="1"/>
        <v>15</v>
      </c>
      <c r="V8" s="72">
        <f t="shared" si="2"/>
        <v>15</v>
      </c>
      <c r="W8" s="201">
        <v>57539030000</v>
      </c>
      <c r="X8" s="231"/>
      <c r="Y8" s="205"/>
      <c r="Z8" s="119"/>
      <c r="AA8" s="74"/>
      <c r="AB8" s="75">
        <f t="shared" si="3"/>
        <v>59.02</v>
      </c>
      <c r="AC8" s="72">
        <f t="shared" si="4"/>
        <v>13</v>
      </c>
      <c r="AD8" s="124">
        <v>2</v>
      </c>
      <c r="AE8" s="71">
        <f t="shared" si="5"/>
        <v>15</v>
      </c>
      <c r="AF8" s="76"/>
      <c r="AG8" s="54">
        <v>0.68</v>
      </c>
      <c r="AH8" s="77">
        <f t="shared" si="6"/>
        <v>30</v>
      </c>
      <c r="AI8" s="56">
        <v>10</v>
      </c>
      <c r="AJ8" s="56">
        <v>10</v>
      </c>
      <c r="AK8" s="56">
        <v>45</v>
      </c>
      <c r="AL8" s="57">
        <f t="shared" si="7"/>
        <v>95.68</v>
      </c>
      <c r="AM8" s="55">
        <f t="shared" si="8"/>
        <v>95</v>
      </c>
      <c r="AN8" s="78">
        <f t="shared" si="9"/>
        <v>0.95499999999999996</v>
      </c>
      <c r="AO8" s="79"/>
      <c r="AP8" s="80">
        <f t="shared" si="10"/>
        <v>1</v>
      </c>
      <c r="AQ8" s="80">
        <f t="shared" si="10"/>
        <v>2</v>
      </c>
      <c r="AR8" s="61"/>
      <c r="AS8" s="62"/>
      <c r="AT8" s="81"/>
      <c r="AU8" s="81"/>
      <c r="AV8" s="81"/>
      <c r="AW8" s="81"/>
      <c r="AX8" s="82"/>
      <c r="AY8" s="83">
        <f t="shared" si="11"/>
        <v>0</v>
      </c>
      <c r="AZ8" s="83">
        <f t="shared" si="12"/>
        <v>0</v>
      </c>
    </row>
    <row r="9" spans="1:52" s="66" customFormat="1" ht="39.75" customHeight="1" thickBot="1" x14ac:dyDescent="0.2">
      <c r="A9" s="96">
        <v>5</v>
      </c>
      <c r="B9" s="108"/>
      <c r="C9" s="132" t="s">
        <v>393</v>
      </c>
      <c r="D9" s="281"/>
      <c r="E9" s="133"/>
      <c r="F9" s="232"/>
      <c r="G9" s="161"/>
      <c r="H9" s="255"/>
      <c r="I9" s="251">
        <v>1</v>
      </c>
      <c r="J9" s="233"/>
      <c r="K9" s="233"/>
      <c r="L9" s="234"/>
      <c r="M9" s="128"/>
      <c r="N9" s="43">
        <f t="shared" si="0"/>
        <v>1</v>
      </c>
      <c r="O9" s="235">
        <v>1</v>
      </c>
      <c r="P9" s="236">
        <v>15</v>
      </c>
      <c r="Q9" s="237">
        <v>15</v>
      </c>
      <c r="R9" s="237"/>
      <c r="S9" s="238"/>
      <c r="T9" s="156"/>
      <c r="U9" s="48">
        <f t="shared" si="1"/>
        <v>15</v>
      </c>
      <c r="V9" s="49">
        <f t="shared" si="2"/>
        <v>15</v>
      </c>
      <c r="W9" s="239">
        <v>14977246000</v>
      </c>
      <c r="X9" s="201"/>
      <c r="Y9" s="239"/>
      <c r="Z9" s="163"/>
      <c r="AA9" s="240"/>
      <c r="AB9" s="50">
        <f t="shared" si="3"/>
        <v>15.34</v>
      </c>
      <c r="AC9" s="51">
        <f t="shared" si="4"/>
        <v>13</v>
      </c>
      <c r="AD9" s="124">
        <v>2</v>
      </c>
      <c r="AE9" s="48">
        <f t="shared" si="5"/>
        <v>15</v>
      </c>
      <c r="AF9" s="53"/>
      <c r="AG9" s="54">
        <v>0.68</v>
      </c>
      <c r="AH9" s="55">
        <f t="shared" si="6"/>
        <v>30</v>
      </c>
      <c r="AI9" s="56">
        <v>10</v>
      </c>
      <c r="AJ9" s="56">
        <v>10</v>
      </c>
      <c r="AK9" s="56">
        <v>45</v>
      </c>
      <c r="AL9" s="57">
        <f t="shared" si="7"/>
        <v>95.68</v>
      </c>
      <c r="AM9" s="55">
        <f t="shared" si="8"/>
        <v>95</v>
      </c>
      <c r="AN9" s="58">
        <f t="shared" si="9"/>
        <v>0.95499999999999996</v>
      </c>
      <c r="AO9" s="59"/>
      <c r="AP9" s="78">
        <f t="shared" si="10"/>
        <v>1</v>
      </c>
      <c r="AQ9" s="241">
        <f t="shared" si="10"/>
        <v>2</v>
      </c>
      <c r="AR9" s="61"/>
      <c r="AS9" s="62"/>
      <c r="AT9" s="63"/>
      <c r="AU9" s="63"/>
      <c r="AV9" s="63"/>
      <c r="AW9" s="242"/>
      <c r="AX9" s="243"/>
      <c r="AY9" s="65">
        <f t="shared" si="11"/>
        <v>0</v>
      </c>
      <c r="AZ9" s="65">
        <f t="shared" si="12"/>
        <v>0</v>
      </c>
    </row>
    <row r="10" spans="1:52" s="66" customFormat="1" ht="39.75" customHeight="1" thickBot="1" x14ac:dyDescent="0.2">
      <c r="A10" s="96">
        <v>6</v>
      </c>
      <c r="B10" s="108"/>
      <c r="C10" s="131" t="s">
        <v>310</v>
      </c>
      <c r="D10" s="284" t="s">
        <v>396</v>
      </c>
      <c r="E10" s="105"/>
      <c r="F10" s="105"/>
      <c r="G10" s="170"/>
      <c r="H10" s="207"/>
      <c r="I10" s="250">
        <v>0.7</v>
      </c>
      <c r="J10" s="305">
        <v>0.3</v>
      </c>
      <c r="K10" s="41"/>
      <c r="L10" s="42"/>
      <c r="M10" s="147"/>
      <c r="N10" s="94">
        <f t="shared" si="0"/>
        <v>1</v>
      </c>
      <c r="O10" s="235">
        <v>1</v>
      </c>
      <c r="P10" s="244">
        <v>15</v>
      </c>
      <c r="Q10" s="245">
        <v>15</v>
      </c>
      <c r="R10" s="245">
        <v>15</v>
      </c>
      <c r="S10" s="114"/>
      <c r="T10" s="70"/>
      <c r="U10" s="71">
        <f t="shared" si="1"/>
        <v>15</v>
      </c>
      <c r="V10" s="72">
        <f t="shared" si="2"/>
        <v>15</v>
      </c>
      <c r="W10" s="201">
        <v>39588420000</v>
      </c>
      <c r="X10" s="306">
        <v>1956642000</v>
      </c>
      <c r="Y10" s="117"/>
      <c r="Z10" s="201"/>
      <c r="AA10" s="74"/>
      <c r="AB10" s="75">
        <f t="shared" si="3"/>
        <v>28.99</v>
      </c>
      <c r="AC10" s="72">
        <f t="shared" si="4"/>
        <v>13</v>
      </c>
      <c r="AD10" s="124">
        <v>2</v>
      </c>
      <c r="AE10" s="71">
        <f t="shared" si="5"/>
        <v>15</v>
      </c>
      <c r="AF10" s="76"/>
      <c r="AG10" s="54">
        <v>0.68</v>
      </c>
      <c r="AH10" s="77">
        <f t="shared" si="6"/>
        <v>30</v>
      </c>
      <c r="AI10" s="56">
        <v>10</v>
      </c>
      <c r="AJ10" s="56">
        <v>10</v>
      </c>
      <c r="AK10" s="56">
        <v>45</v>
      </c>
      <c r="AL10" s="57">
        <f t="shared" si="7"/>
        <v>95.68</v>
      </c>
      <c r="AM10" s="55">
        <f t="shared" si="8"/>
        <v>95</v>
      </c>
      <c r="AN10" s="78">
        <f t="shared" si="9"/>
        <v>0.95499999999999996</v>
      </c>
      <c r="AO10" s="79"/>
      <c r="AP10" s="80">
        <f t="shared" si="10"/>
        <v>1</v>
      </c>
      <c r="AQ10" s="80">
        <f t="shared" si="10"/>
        <v>2</v>
      </c>
      <c r="AR10" s="61"/>
      <c r="AS10" s="62"/>
      <c r="AT10" s="81"/>
      <c r="AU10" s="81"/>
      <c r="AV10" s="81"/>
      <c r="AW10" s="81"/>
      <c r="AX10" s="82"/>
      <c r="AY10" s="83">
        <f t="shared" si="11"/>
        <v>0</v>
      </c>
      <c r="AZ10" s="83">
        <f t="shared" si="12"/>
        <v>0</v>
      </c>
    </row>
    <row r="11" spans="1:52" s="66" customFormat="1" ht="21.95" customHeight="1" thickBot="1" x14ac:dyDescent="0.2">
      <c r="A11" s="96"/>
      <c r="B11" s="91"/>
      <c r="C11" s="352" t="s">
        <v>232</v>
      </c>
      <c r="D11" s="353"/>
      <c r="E11" s="353"/>
      <c r="F11" s="353"/>
      <c r="G11" s="354"/>
      <c r="H11" s="195"/>
      <c r="I11" s="84">
        <v>85</v>
      </c>
      <c r="J11" s="84">
        <v>85</v>
      </c>
      <c r="K11" s="84">
        <v>85</v>
      </c>
      <c r="L11" s="84">
        <v>85</v>
      </c>
      <c r="M11" s="84"/>
      <c r="N11" s="168">
        <f>I11*I10+J11*J10+K11*K10+L11*L10+M11*M10</f>
        <v>85</v>
      </c>
      <c r="O11" s="44"/>
      <c r="P11" s="45"/>
      <c r="Q11" s="46"/>
      <c r="R11" s="46"/>
      <c r="S11" s="47"/>
      <c r="T11" s="70"/>
      <c r="U11" s="71"/>
      <c r="V11" s="72"/>
      <c r="W11" s="150"/>
      <c r="X11" s="85"/>
      <c r="Y11" s="151"/>
      <c r="Z11" s="85"/>
      <c r="AA11" s="74"/>
      <c r="AB11" s="75"/>
      <c r="AC11" s="72"/>
      <c r="AD11" s="71"/>
      <c r="AE11" s="71"/>
      <c r="AF11" s="152"/>
      <c r="AG11" s="86"/>
      <c r="AH11" s="77"/>
      <c r="AI11" s="87"/>
      <c r="AJ11" s="46"/>
      <c r="AK11" s="77"/>
      <c r="AL11" s="78"/>
      <c r="AM11" s="79"/>
      <c r="AN11" s="80"/>
      <c r="AO11" s="80"/>
      <c r="AP11" s="61"/>
      <c r="AQ11" s="62"/>
      <c r="AR11" s="81"/>
      <c r="AS11" s="81"/>
      <c r="AT11" s="81"/>
      <c r="AU11" s="81"/>
      <c r="AV11" s="82"/>
      <c r="AW11" s="83"/>
      <c r="AX11" s="83"/>
      <c r="AZ11" s="66">
        <f t="shared" si="12"/>
        <v>0</v>
      </c>
    </row>
    <row r="12" spans="1:52" s="66" customFormat="1" ht="39.75" customHeight="1" thickBot="1" x14ac:dyDescent="0.2">
      <c r="A12" s="96">
        <v>7</v>
      </c>
      <c r="B12" s="108"/>
      <c r="C12" s="270" t="s">
        <v>323</v>
      </c>
      <c r="D12" s="134" t="s">
        <v>312</v>
      </c>
      <c r="E12" s="108" t="s">
        <v>367</v>
      </c>
      <c r="F12" s="105"/>
      <c r="G12" s="170"/>
      <c r="H12" s="207" t="s">
        <v>394</v>
      </c>
      <c r="I12" s="291">
        <v>0.5</v>
      </c>
      <c r="J12" s="209">
        <v>0.27850000000000003</v>
      </c>
      <c r="K12" s="41">
        <v>0.2</v>
      </c>
      <c r="L12" s="41"/>
      <c r="M12" s="68"/>
      <c r="N12" s="94">
        <f t="shared" si="0"/>
        <v>0.97849999999999993</v>
      </c>
      <c r="O12" s="235">
        <v>1</v>
      </c>
      <c r="P12" s="293">
        <v>15</v>
      </c>
      <c r="Q12" s="245">
        <v>15</v>
      </c>
      <c r="R12" s="245">
        <v>15</v>
      </c>
      <c r="S12" s="114">
        <v>15</v>
      </c>
      <c r="T12" s="70"/>
      <c r="U12" s="71">
        <f t="shared" si="1"/>
        <v>14.68</v>
      </c>
      <c r="V12" s="72">
        <f t="shared" si="2"/>
        <v>14.68</v>
      </c>
      <c r="W12" s="294">
        <v>328448752000</v>
      </c>
      <c r="X12" s="201">
        <v>3846392000</v>
      </c>
      <c r="Y12" s="201">
        <v>7486618000</v>
      </c>
      <c r="Z12" s="117"/>
      <c r="AA12" s="74"/>
      <c r="AB12" s="75">
        <f t="shared" si="3"/>
        <v>171.21</v>
      </c>
      <c r="AC12" s="72">
        <f t="shared" si="4"/>
        <v>13</v>
      </c>
      <c r="AD12" s="302">
        <v>3</v>
      </c>
      <c r="AE12" s="71">
        <f t="shared" si="5"/>
        <v>15</v>
      </c>
      <c r="AF12" s="76"/>
      <c r="AG12" s="54">
        <v>0.68</v>
      </c>
      <c r="AH12" s="77">
        <f t="shared" si="6"/>
        <v>29.68</v>
      </c>
      <c r="AI12" s="56">
        <v>10</v>
      </c>
      <c r="AJ12" s="56">
        <v>10</v>
      </c>
      <c r="AK12" s="56">
        <v>45</v>
      </c>
      <c r="AL12" s="57">
        <f t="shared" si="7"/>
        <v>95.360000000000014</v>
      </c>
      <c r="AM12" s="55">
        <f t="shared" si="8"/>
        <v>95</v>
      </c>
      <c r="AN12" s="78">
        <f t="shared" si="9"/>
        <v>0.95660000000000001</v>
      </c>
      <c r="AO12" s="79"/>
      <c r="AP12" s="80">
        <f t="shared" si="10"/>
        <v>1</v>
      </c>
      <c r="AQ12" s="80">
        <f t="shared" si="10"/>
        <v>2</v>
      </c>
      <c r="AR12" s="277"/>
      <c r="AS12" s="62"/>
      <c r="AT12" s="81"/>
      <c r="AU12" s="81"/>
      <c r="AV12" s="81"/>
      <c r="AW12" s="81"/>
      <c r="AX12" s="82"/>
      <c r="AY12" s="83">
        <f t="shared" si="11"/>
        <v>0</v>
      </c>
      <c r="AZ12" s="83">
        <f t="shared" si="12"/>
        <v>0</v>
      </c>
    </row>
    <row r="13" spans="1:52" s="66" customFormat="1" ht="21.95" customHeight="1" thickBot="1" x14ac:dyDescent="0.2">
      <c r="A13" s="96"/>
      <c r="B13" s="91"/>
      <c r="C13" s="352" t="s">
        <v>3</v>
      </c>
      <c r="D13" s="353"/>
      <c r="E13" s="353"/>
      <c r="F13" s="353"/>
      <c r="G13" s="354"/>
      <c r="H13" s="195"/>
      <c r="I13" s="167">
        <v>93.38</v>
      </c>
      <c r="J13" s="84">
        <v>85</v>
      </c>
      <c r="K13" s="84">
        <v>85</v>
      </c>
      <c r="L13" s="84"/>
      <c r="M13" s="84"/>
      <c r="N13" s="168">
        <f>I13*I12+J13*J12+K13*K12+L13*L12+M13*M12</f>
        <v>87.362499999999997</v>
      </c>
      <c r="O13" s="44"/>
      <c r="P13" s="45"/>
      <c r="Q13" s="46"/>
      <c r="R13" s="46"/>
      <c r="S13" s="47"/>
      <c r="T13" s="70"/>
      <c r="U13" s="71"/>
      <c r="V13" s="72"/>
      <c r="W13" s="150"/>
      <c r="X13" s="85"/>
      <c r="Y13" s="151"/>
      <c r="Z13" s="85"/>
      <c r="AA13" s="74"/>
      <c r="AB13" s="75"/>
      <c r="AC13" s="72"/>
      <c r="AD13" s="71"/>
      <c r="AE13" s="71"/>
      <c r="AF13" s="152"/>
      <c r="AG13" s="86"/>
      <c r="AH13" s="77"/>
      <c r="AI13" s="87"/>
      <c r="AJ13" s="46"/>
      <c r="AK13" s="77"/>
      <c r="AL13" s="78"/>
      <c r="AM13" s="79"/>
      <c r="AN13" s="80"/>
      <c r="AO13" s="80"/>
      <c r="AP13" s="61"/>
      <c r="AQ13" s="62"/>
      <c r="AR13" s="81"/>
      <c r="AS13" s="81"/>
      <c r="AT13" s="81"/>
      <c r="AU13" s="81"/>
      <c r="AV13" s="82"/>
      <c r="AW13" s="83"/>
      <c r="AX13" s="83"/>
      <c r="AZ13" s="66">
        <f t="shared" si="12"/>
        <v>0</v>
      </c>
    </row>
    <row r="14" spans="1:52" s="66" customFormat="1" ht="39.75" customHeight="1" thickBot="1" x14ac:dyDescent="0.2">
      <c r="A14" s="96">
        <v>8</v>
      </c>
      <c r="B14" s="108"/>
      <c r="C14" s="131" t="s">
        <v>365</v>
      </c>
      <c r="D14" s="284" t="s">
        <v>374</v>
      </c>
      <c r="E14" s="131"/>
      <c r="F14" s="131"/>
      <c r="G14" s="170"/>
      <c r="H14" s="207"/>
      <c r="I14" s="92">
        <v>0.6</v>
      </c>
      <c r="J14" s="295">
        <v>0.4</v>
      </c>
      <c r="K14" s="41"/>
      <c r="L14" s="42"/>
      <c r="M14" s="68"/>
      <c r="N14" s="94">
        <f t="shared" si="0"/>
        <v>1</v>
      </c>
      <c r="O14" s="125">
        <v>1</v>
      </c>
      <c r="P14" s="112">
        <v>15</v>
      </c>
      <c r="Q14" s="287">
        <v>15</v>
      </c>
      <c r="R14" s="113">
        <v>15</v>
      </c>
      <c r="S14" s="114"/>
      <c r="T14" s="70"/>
      <c r="U14" s="71">
        <f t="shared" si="1"/>
        <v>15</v>
      </c>
      <c r="V14" s="72">
        <f t="shared" si="2"/>
        <v>15</v>
      </c>
      <c r="W14" s="239">
        <v>13312073000</v>
      </c>
      <c r="X14" s="294">
        <v>15253741000</v>
      </c>
      <c r="Y14" s="119"/>
      <c r="Z14" s="119"/>
      <c r="AA14" s="230"/>
      <c r="AB14" s="71">
        <f t="shared" si="3"/>
        <v>14.430000000000001</v>
      </c>
      <c r="AC14" s="72">
        <f t="shared" si="4"/>
        <v>13</v>
      </c>
      <c r="AD14" s="124">
        <v>2</v>
      </c>
      <c r="AE14" s="71">
        <f t="shared" si="5"/>
        <v>15</v>
      </c>
      <c r="AF14" s="76">
        <f>0.5*K14</f>
        <v>0</v>
      </c>
      <c r="AG14" s="54">
        <v>0.68</v>
      </c>
      <c r="AH14" s="77">
        <f t="shared" si="6"/>
        <v>30</v>
      </c>
      <c r="AI14" s="56">
        <v>10</v>
      </c>
      <c r="AJ14" s="56">
        <v>10</v>
      </c>
      <c r="AK14" s="56">
        <v>45</v>
      </c>
      <c r="AL14" s="57">
        <f t="shared" si="7"/>
        <v>95.68</v>
      </c>
      <c r="AM14" s="55">
        <f t="shared" si="8"/>
        <v>95</v>
      </c>
      <c r="AN14" s="78">
        <f t="shared" si="9"/>
        <v>0.95499999999999996</v>
      </c>
      <c r="AO14" s="79"/>
      <c r="AP14" s="80">
        <f t="shared" si="10"/>
        <v>1</v>
      </c>
      <c r="AQ14" s="80">
        <f t="shared" si="10"/>
        <v>2</v>
      </c>
      <c r="AR14" s="61"/>
      <c r="AS14" s="289"/>
      <c r="AT14" s="81"/>
      <c r="AU14" s="81"/>
      <c r="AV14" s="81"/>
      <c r="AW14" s="81"/>
      <c r="AX14" s="82"/>
      <c r="AY14" s="83">
        <f t="shared" si="11"/>
        <v>0</v>
      </c>
      <c r="AZ14" s="83">
        <f t="shared" si="12"/>
        <v>0</v>
      </c>
    </row>
    <row r="15" spans="1:52" s="66" customFormat="1" ht="21.95" customHeight="1" thickBot="1" x14ac:dyDescent="0.2">
      <c r="A15" s="96"/>
      <c r="B15" s="91"/>
      <c r="C15" s="352" t="s">
        <v>3</v>
      </c>
      <c r="D15" s="353"/>
      <c r="E15" s="353"/>
      <c r="F15" s="353"/>
      <c r="G15" s="354"/>
      <c r="H15" s="195"/>
      <c r="I15" s="84">
        <v>85</v>
      </c>
      <c r="J15" s="276">
        <v>85</v>
      </c>
      <c r="K15" s="84">
        <v>85</v>
      </c>
      <c r="L15" s="84">
        <v>85</v>
      </c>
      <c r="M15" s="84"/>
      <c r="N15" s="168">
        <f>I15*I14+J15*J14+K15*K14+L15*L14+M15*M14</f>
        <v>85</v>
      </c>
      <c r="O15" s="44"/>
      <c r="P15" s="45"/>
      <c r="Q15" s="46"/>
      <c r="R15" s="46"/>
      <c r="S15" s="47"/>
      <c r="T15" s="70"/>
      <c r="U15" s="71"/>
      <c r="V15" s="72"/>
      <c r="W15" s="150"/>
      <c r="X15" s="85"/>
      <c r="Y15" s="151"/>
      <c r="Z15" s="85"/>
      <c r="AA15" s="74"/>
      <c r="AB15" s="75"/>
      <c r="AC15" s="72"/>
      <c r="AD15" s="71"/>
      <c r="AE15" s="71"/>
      <c r="AF15" s="152"/>
      <c r="AG15" s="86"/>
      <c r="AH15" s="77"/>
      <c r="AI15" s="87"/>
      <c r="AJ15" s="46"/>
      <c r="AK15" s="77"/>
      <c r="AL15" s="78"/>
      <c r="AM15" s="79"/>
      <c r="AN15" s="80"/>
      <c r="AO15" s="80"/>
      <c r="AP15" s="61"/>
      <c r="AQ15" s="62"/>
      <c r="AR15" s="81"/>
      <c r="AS15" s="81"/>
      <c r="AT15" s="81"/>
      <c r="AU15" s="81"/>
      <c r="AV15" s="82"/>
      <c r="AW15" s="83"/>
      <c r="AX15" s="83"/>
      <c r="AZ15" s="66">
        <f t="shared" si="12"/>
        <v>0</v>
      </c>
    </row>
    <row r="16" spans="1:52" s="66" customFormat="1" ht="39.75" customHeight="1" thickBot="1" x14ac:dyDescent="0.2">
      <c r="A16" s="96">
        <v>9</v>
      </c>
      <c r="B16" s="108"/>
      <c r="C16" s="110" t="s">
        <v>322</v>
      </c>
      <c r="D16" s="246" t="s">
        <v>137</v>
      </c>
      <c r="E16" s="110"/>
      <c r="F16" s="109"/>
      <c r="G16" s="170"/>
      <c r="H16" s="207"/>
      <c r="I16" s="92">
        <v>0.51</v>
      </c>
      <c r="J16" s="41">
        <v>0.49</v>
      </c>
      <c r="K16" s="41"/>
      <c r="L16" s="42"/>
      <c r="M16" s="147"/>
      <c r="N16" s="94">
        <f t="shared" si="0"/>
        <v>1</v>
      </c>
      <c r="O16" s="125">
        <v>1</v>
      </c>
      <c r="P16" s="244">
        <v>15</v>
      </c>
      <c r="Q16" s="245">
        <v>15</v>
      </c>
      <c r="R16" s="245"/>
      <c r="S16" s="114"/>
      <c r="T16" s="70"/>
      <c r="U16" s="71">
        <f t="shared" si="1"/>
        <v>15</v>
      </c>
      <c r="V16" s="72">
        <f t="shared" si="2"/>
        <v>15</v>
      </c>
      <c r="W16" s="231">
        <v>11882803000</v>
      </c>
      <c r="X16" s="201">
        <v>17523143000</v>
      </c>
      <c r="Y16" s="231"/>
      <c r="Z16" s="201"/>
      <c r="AA16" s="74"/>
      <c r="AB16" s="75">
        <f t="shared" si="3"/>
        <v>15.079999999999998</v>
      </c>
      <c r="AC16" s="72">
        <f t="shared" si="4"/>
        <v>13</v>
      </c>
      <c r="AD16" s="124">
        <v>2</v>
      </c>
      <c r="AE16" s="71">
        <f t="shared" si="5"/>
        <v>15</v>
      </c>
      <c r="AF16" s="76">
        <f>0.5*I16</f>
        <v>0.255</v>
      </c>
      <c r="AG16" s="54">
        <v>0.68</v>
      </c>
      <c r="AH16" s="77">
        <f t="shared" si="6"/>
        <v>30</v>
      </c>
      <c r="AI16" s="56">
        <v>10</v>
      </c>
      <c r="AJ16" s="56">
        <v>10</v>
      </c>
      <c r="AK16" s="56">
        <v>45</v>
      </c>
      <c r="AL16" s="57">
        <f t="shared" si="7"/>
        <v>95.935000000000002</v>
      </c>
      <c r="AM16" s="55">
        <f t="shared" si="8"/>
        <v>95</v>
      </c>
      <c r="AN16" s="78">
        <f t="shared" si="9"/>
        <v>0.95499999999999996</v>
      </c>
      <c r="AO16" s="79"/>
      <c r="AP16" s="80">
        <f t="shared" si="10"/>
        <v>1</v>
      </c>
      <c r="AQ16" s="80">
        <f t="shared" si="10"/>
        <v>2</v>
      </c>
      <c r="AR16" s="61"/>
      <c r="AS16" s="62"/>
      <c r="AT16" s="81"/>
      <c r="AU16" s="81"/>
      <c r="AV16" s="81"/>
      <c r="AW16" s="81"/>
      <c r="AX16" s="82"/>
      <c r="AY16" s="83">
        <f t="shared" si="11"/>
        <v>0</v>
      </c>
      <c r="AZ16" s="83">
        <f t="shared" si="12"/>
        <v>0</v>
      </c>
    </row>
    <row r="17" spans="1:52" s="66" customFormat="1" ht="39.75" customHeight="1" thickBot="1" x14ac:dyDescent="0.2">
      <c r="A17" s="96">
        <v>10</v>
      </c>
      <c r="B17" s="108"/>
      <c r="C17" s="134" t="s">
        <v>408</v>
      </c>
      <c r="D17" s="108" t="s">
        <v>87</v>
      </c>
      <c r="E17" s="109"/>
      <c r="F17" s="105"/>
      <c r="G17" s="97"/>
      <c r="H17" s="207"/>
      <c r="I17" s="92">
        <v>0.51</v>
      </c>
      <c r="J17" s="41">
        <v>0.49</v>
      </c>
      <c r="K17" s="41"/>
      <c r="L17" s="42"/>
      <c r="M17" s="68"/>
      <c r="N17" s="69">
        <f t="shared" si="0"/>
        <v>1</v>
      </c>
      <c r="O17" s="125">
        <v>1</v>
      </c>
      <c r="P17" s="112">
        <v>15</v>
      </c>
      <c r="Q17" s="113">
        <v>15</v>
      </c>
      <c r="R17" s="113">
        <v>15</v>
      </c>
      <c r="S17" s="120"/>
      <c r="T17" s="70"/>
      <c r="U17" s="71">
        <f t="shared" si="1"/>
        <v>15</v>
      </c>
      <c r="V17" s="72">
        <f t="shared" si="2"/>
        <v>15</v>
      </c>
      <c r="W17" s="117">
        <v>8139504000</v>
      </c>
      <c r="X17" s="117">
        <v>78106522000</v>
      </c>
      <c r="Y17" s="117"/>
      <c r="Z17" s="117"/>
      <c r="AA17" s="74"/>
      <c r="AB17" s="75">
        <f t="shared" si="3"/>
        <v>43.550000000000004</v>
      </c>
      <c r="AC17" s="72">
        <f t="shared" si="4"/>
        <v>13</v>
      </c>
      <c r="AD17" s="124">
        <v>2</v>
      </c>
      <c r="AE17" s="71">
        <f t="shared" si="5"/>
        <v>15</v>
      </c>
      <c r="AF17" s="76"/>
      <c r="AG17" s="54">
        <v>0.68</v>
      </c>
      <c r="AH17" s="77">
        <f t="shared" si="6"/>
        <v>30</v>
      </c>
      <c r="AI17" s="56">
        <v>10</v>
      </c>
      <c r="AJ17" s="56">
        <v>10</v>
      </c>
      <c r="AK17" s="56">
        <v>45</v>
      </c>
      <c r="AL17" s="57">
        <f t="shared" si="7"/>
        <v>95.68</v>
      </c>
      <c r="AM17" s="55">
        <f t="shared" si="8"/>
        <v>95</v>
      </c>
      <c r="AN17" s="78">
        <f t="shared" si="9"/>
        <v>0.95499999999999996</v>
      </c>
      <c r="AO17" s="79"/>
      <c r="AP17" s="80">
        <f t="shared" si="10"/>
        <v>1</v>
      </c>
      <c r="AQ17" s="80">
        <f t="shared" si="10"/>
        <v>2</v>
      </c>
      <c r="AR17" s="61"/>
      <c r="AS17" s="62"/>
      <c r="AT17" s="81"/>
      <c r="AU17" s="81"/>
      <c r="AV17" s="81"/>
      <c r="AW17" s="81"/>
      <c r="AX17" s="82"/>
      <c r="AY17" s="83">
        <f t="shared" si="11"/>
        <v>0</v>
      </c>
      <c r="AZ17" s="83">
        <f t="shared" si="12"/>
        <v>0</v>
      </c>
    </row>
    <row r="18" spans="1:52" s="66" customFormat="1" ht="39.75" customHeight="1" thickBot="1" x14ac:dyDescent="0.2">
      <c r="A18" s="96">
        <v>11</v>
      </c>
      <c r="B18" s="108"/>
      <c r="C18" s="131" t="s">
        <v>77</v>
      </c>
      <c r="D18" s="187" t="s">
        <v>366</v>
      </c>
      <c r="E18" s="109"/>
      <c r="F18" s="105"/>
      <c r="G18" s="170"/>
      <c r="H18" s="207"/>
      <c r="I18" s="304">
        <v>0.6</v>
      </c>
      <c r="J18" s="41">
        <v>0.4</v>
      </c>
      <c r="K18" s="41"/>
      <c r="L18" s="42"/>
      <c r="M18" s="147"/>
      <c r="N18" s="94">
        <f t="shared" si="0"/>
        <v>1</v>
      </c>
      <c r="O18" s="125">
        <v>1</v>
      </c>
      <c r="P18" s="244">
        <v>15</v>
      </c>
      <c r="Q18" s="113">
        <v>15</v>
      </c>
      <c r="R18" s="113">
        <v>15</v>
      </c>
      <c r="S18" s="114"/>
      <c r="T18" s="70"/>
      <c r="U18" s="71">
        <f t="shared" si="1"/>
        <v>15</v>
      </c>
      <c r="V18" s="72">
        <f t="shared" si="2"/>
        <v>15</v>
      </c>
      <c r="W18" s="99">
        <v>130509297000</v>
      </c>
      <c r="X18" s="200">
        <v>7702371000</v>
      </c>
      <c r="Y18" s="200"/>
      <c r="Z18" s="201"/>
      <c r="AA18" s="74"/>
      <c r="AB18" s="75">
        <f t="shared" si="3"/>
        <v>83.59</v>
      </c>
      <c r="AC18" s="72">
        <f t="shared" si="4"/>
        <v>13</v>
      </c>
      <c r="AD18" s="124">
        <v>2</v>
      </c>
      <c r="AE18" s="71">
        <f t="shared" si="5"/>
        <v>15</v>
      </c>
      <c r="AF18" s="53"/>
      <c r="AG18" s="54">
        <v>0.68</v>
      </c>
      <c r="AH18" s="77">
        <f t="shared" si="6"/>
        <v>30</v>
      </c>
      <c r="AI18" s="56">
        <v>10</v>
      </c>
      <c r="AJ18" s="56">
        <v>10</v>
      </c>
      <c r="AK18" s="56">
        <v>45</v>
      </c>
      <c r="AL18" s="57">
        <f t="shared" si="7"/>
        <v>95.68</v>
      </c>
      <c r="AM18" s="55">
        <f t="shared" si="8"/>
        <v>95</v>
      </c>
      <c r="AN18" s="78">
        <f t="shared" si="9"/>
        <v>0.95499999999999996</v>
      </c>
      <c r="AO18" s="79"/>
      <c r="AP18" s="80">
        <f t="shared" si="10"/>
        <v>1</v>
      </c>
      <c r="AQ18" s="80">
        <f t="shared" si="10"/>
        <v>2</v>
      </c>
      <c r="AR18" s="61"/>
      <c r="AS18" s="62"/>
      <c r="AT18" s="81"/>
      <c r="AU18" s="81"/>
      <c r="AV18" s="81"/>
      <c r="AW18" s="81"/>
      <c r="AX18" s="82"/>
      <c r="AY18" s="83">
        <f t="shared" si="11"/>
        <v>0</v>
      </c>
      <c r="AZ18" s="83">
        <f t="shared" si="12"/>
        <v>0</v>
      </c>
    </row>
    <row r="19" spans="1:52" s="66" customFormat="1" ht="21.95" customHeight="1" thickBot="1" x14ac:dyDescent="0.2">
      <c r="A19" s="96"/>
      <c r="B19" s="91"/>
      <c r="C19" s="352" t="s">
        <v>3</v>
      </c>
      <c r="D19" s="353"/>
      <c r="E19" s="353"/>
      <c r="F19" s="353"/>
      <c r="G19" s="354"/>
      <c r="H19" s="195"/>
      <c r="I19" s="84">
        <v>85</v>
      </c>
      <c r="J19" s="84">
        <v>85</v>
      </c>
      <c r="K19" s="84">
        <v>85</v>
      </c>
      <c r="L19" s="84">
        <v>85</v>
      </c>
      <c r="M19" s="84"/>
      <c r="N19" s="168">
        <f>I19*I18+J19*J18+K19*K18+L19*L18+M19*M18</f>
        <v>85</v>
      </c>
      <c r="O19" s="44"/>
      <c r="P19" s="45"/>
      <c r="Q19" s="46"/>
      <c r="R19" s="46"/>
      <c r="S19" s="47"/>
      <c r="T19" s="70"/>
      <c r="U19" s="71"/>
      <c r="V19" s="72"/>
      <c r="W19" s="150"/>
      <c r="X19" s="85"/>
      <c r="Y19" s="151"/>
      <c r="Z19" s="85"/>
      <c r="AA19" s="74"/>
      <c r="AB19" s="75"/>
      <c r="AC19" s="72"/>
      <c r="AD19" s="71"/>
      <c r="AE19" s="71"/>
      <c r="AF19" s="152"/>
      <c r="AG19" s="86"/>
      <c r="AH19" s="77"/>
      <c r="AI19" s="87"/>
      <c r="AJ19" s="46"/>
      <c r="AK19" s="77"/>
      <c r="AL19" s="78"/>
      <c r="AM19" s="79"/>
      <c r="AN19" s="80"/>
      <c r="AO19" s="80"/>
      <c r="AP19" s="61"/>
      <c r="AQ19" s="62"/>
      <c r="AR19" s="81"/>
      <c r="AS19" s="81"/>
      <c r="AT19" s="81"/>
      <c r="AU19" s="81"/>
      <c r="AV19" s="82"/>
      <c r="AW19" s="83"/>
      <c r="AX19" s="83"/>
      <c r="AZ19" s="66">
        <f t="shared" si="12"/>
        <v>0</v>
      </c>
    </row>
    <row r="20" spans="1:52" s="66" customFormat="1" ht="39.75" customHeight="1" thickBot="1" x14ac:dyDescent="0.2">
      <c r="A20" s="96">
        <v>12</v>
      </c>
      <c r="B20" s="108"/>
      <c r="C20" s="131" t="s">
        <v>234</v>
      </c>
      <c r="D20" s="130" t="s">
        <v>313</v>
      </c>
      <c r="E20" s="246" t="s">
        <v>368</v>
      </c>
      <c r="F20" s="110"/>
      <c r="G20" s="170"/>
      <c r="H20" s="207"/>
      <c r="I20" s="92">
        <v>0.7</v>
      </c>
      <c r="J20" s="305">
        <v>0.15</v>
      </c>
      <c r="K20" s="41">
        <v>0.15</v>
      </c>
      <c r="L20" s="42"/>
      <c r="M20" s="147"/>
      <c r="N20" s="94">
        <f t="shared" si="0"/>
        <v>1</v>
      </c>
      <c r="O20" s="125">
        <v>1</v>
      </c>
      <c r="P20" s="112">
        <v>15</v>
      </c>
      <c r="Q20" s="245">
        <v>15</v>
      </c>
      <c r="R20" s="245">
        <v>15</v>
      </c>
      <c r="S20" s="120"/>
      <c r="T20" s="70"/>
      <c r="U20" s="71">
        <f t="shared" si="1"/>
        <v>15</v>
      </c>
      <c r="V20" s="72">
        <f t="shared" si="2"/>
        <v>15</v>
      </c>
      <c r="W20" s="201">
        <v>229675529000</v>
      </c>
      <c r="X20" s="201">
        <v>1281708000</v>
      </c>
      <c r="Y20" s="230">
        <v>6971585000</v>
      </c>
      <c r="Z20" s="201"/>
      <c r="AA20" s="74"/>
      <c r="AB20" s="75">
        <f t="shared" si="3"/>
        <v>166.26999999999998</v>
      </c>
      <c r="AC20" s="72">
        <f t="shared" si="4"/>
        <v>13</v>
      </c>
      <c r="AD20" s="124">
        <v>2</v>
      </c>
      <c r="AE20" s="71">
        <f t="shared" si="5"/>
        <v>15</v>
      </c>
      <c r="AF20" s="76"/>
      <c r="AG20" s="54">
        <v>0.68</v>
      </c>
      <c r="AH20" s="77">
        <f t="shared" si="6"/>
        <v>30</v>
      </c>
      <c r="AI20" s="56">
        <v>10</v>
      </c>
      <c r="AJ20" s="56">
        <v>10</v>
      </c>
      <c r="AK20" s="56">
        <v>45</v>
      </c>
      <c r="AL20" s="57">
        <f t="shared" si="7"/>
        <v>95.68</v>
      </c>
      <c r="AM20" s="55">
        <f t="shared" si="8"/>
        <v>95</v>
      </c>
      <c r="AN20" s="78">
        <f t="shared" si="9"/>
        <v>0.95499999999999996</v>
      </c>
      <c r="AO20" s="79"/>
      <c r="AP20" s="80">
        <f t="shared" si="10"/>
        <v>1</v>
      </c>
      <c r="AQ20" s="80">
        <f t="shared" si="10"/>
        <v>2</v>
      </c>
      <c r="AR20" s="61"/>
      <c r="AS20" s="62"/>
      <c r="AT20" s="81"/>
      <c r="AU20" s="81"/>
      <c r="AV20" s="81"/>
      <c r="AW20" s="81"/>
      <c r="AX20" s="82"/>
      <c r="AY20" s="83">
        <f t="shared" si="11"/>
        <v>0</v>
      </c>
      <c r="AZ20" s="83">
        <f t="shared" si="12"/>
        <v>0</v>
      </c>
    </row>
    <row r="21" spans="1:52" s="66" customFormat="1" ht="21" customHeight="1" thickBot="1" x14ac:dyDescent="0.2">
      <c r="A21" s="96"/>
      <c r="B21" s="91"/>
      <c r="C21" s="352" t="s">
        <v>3</v>
      </c>
      <c r="D21" s="353"/>
      <c r="E21" s="353"/>
      <c r="F21" s="353"/>
      <c r="G21" s="354"/>
      <c r="H21" s="195"/>
      <c r="I21" s="84">
        <v>85</v>
      </c>
      <c r="J21" s="84">
        <v>85</v>
      </c>
      <c r="K21" s="84">
        <v>85</v>
      </c>
      <c r="L21" s="84">
        <v>85</v>
      </c>
      <c r="M21" s="84"/>
      <c r="N21" s="168">
        <f>I21*I20+J21*J20+K21*K20+L21*L20+M21*M20</f>
        <v>85</v>
      </c>
      <c r="O21" s="44"/>
      <c r="P21" s="45"/>
      <c r="Q21" s="46"/>
      <c r="R21" s="46"/>
      <c r="S21" s="47"/>
      <c r="T21" s="70"/>
      <c r="U21" s="71"/>
      <c r="V21" s="72"/>
      <c r="W21" s="150"/>
      <c r="X21" s="85"/>
      <c r="Y21" s="151"/>
      <c r="Z21" s="85"/>
      <c r="AA21" s="74"/>
      <c r="AB21" s="75"/>
      <c r="AC21" s="72"/>
      <c r="AD21" s="71"/>
      <c r="AE21" s="71"/>
      <c r="AF21" s="152"/>
      <c r="AG21" s="86"/>
      <c r="AH21" s="77"/>
      <c r="AI21" s="87"/>
      <c r="AJ21" s="46"/>
      <c r="AK21" s="77"/>
      <c r="AL21" s="78"/>
      <c r="AM21" s="79"/>
      <c r="AN21" s="80"/>
      <c r="AO21" s="80"/>
      <c r="AP21" s="61"/>
      <c r="AQ21" s="62"/>
      <c r="AR21" s="81"/>
      <c r="AS21" s="81"/>
      <c r="AT21" s="81"/>
      <c r="AU21" s="81"/>
      <c r="AV21" s="82"/>
      <c r="AW21" s="83"/>
      <c r="AX21" s="83"/>
      <c r="AZ21" s="66">
        <f t="shared" si="12"/>
        <v>0</v>
      </c>
    </row>
    <row r="22" spans="1:52" s="66" customFormat="1" ht="39.75" customHeight="1" thickBot="1" x14ac:dyDescent="0.2">
      <c r="A22" s="96">
        <v>13</v>
      </c>
      <c r="B22" s="108"/>
      <c r="C22" s="131" t="s">
        <v>250</v>
      </c>
      <c r="D22" s="187" t="s">
        <v>369</v>
      </c>
      <c r="E22" s="110"/>
      <c r="F22" s="110"/>
      <c r="G22" s="170"/>
      <c r="H22" s="207"/>
      <c r="I22" s="41">
        <v>0.55000000000000004</v>
      </c>
      <c r="J22" s="88">
        <v>0.45</v>
      </c>
      <c r="K22" s="41"/>
      <c r="L22" s="41"/>
      <c r="M22" s="68"/>
      <c r="N22" s="94">
        <f t="shared" si="0"/>
        <v>1</v>
      </c>
      <c r="O22" s="125">
        <v>1</v>
      </c>
      <c r="P22" s="112">
        <v>15</v>
      </c>
      <c r="Q22" s="113">
        <v>15</v>
      </c>
      <c r="R22" s="113">
        <v>15</v>
      </c>
      <c r="S22" s="114"/>
      <c r="T22" s="70"/>
      <c r="U22" s="71">
        <f t="shared" si="1"/>
        <v>15</v>
      </c>
      <c r="V22" s="72">
        <f t="shared" si="2"/>
        <v>15</v>
      </c>
      <c r="W22" s="201">
        <v>30881654000</v>
      </c>
      <c r="X22" s="85">
        <v>9901200000</v>
      </c>
      <c r="Y22" s="230"/>
      <c r="Z22" s="117"/>
      <c r="AA22" s="74"/>
      <c r="AB22" s="75">
        <f t="shared" si="3"/>
        <v>21.97</v>
      </c>
      <c r="AC22" s="72">
        <f t="shared" si="4"/>
        <v>13</v>
      </c>
      <c r="AD22" s="124">
        <v>2</v>
      </c>
      <c r="AE22" s="71">
        <f t="shared" si="5"/>
        <v>15</v>
      </c>
      <c r="AF22" s="76"/>
      <c r="AG22" s="54">
        <v>0.68</v>
      </c>
      <c r="AH22" s="77">
        <f t="shared" si="6"/>
        <v>30</v>
      </c>
      <c r="AI22" s="56">
        <v>10</v>
      </c>
      <c r="AJ22" s="56">
        <v>10</v>
      </c>
      <c r="AK22" s="56">
        <v>45</v>
      </c>
      <c r="AL22" s="57">
        <f t="shared" si="7"/>
        <v>95.68</v>
      </c>
      <c r="AM22" s="55">
        <f t="shared" si="8"/>
        <v>95</v>
      </c>
      <c r="AN22" s="78">
        <f t="shared" si="9"/>
        <v>0.95499999999999996</v>
      </c>
      <c r="AO22" s="79"/>
      <c r="AP22" s="80">
        <f t="shared" si="10"/>
        <v>1</v>
      </c>
      <c r="AQ22" s="80">
        <f t="shared" si="10"/>
        <v>2</v>
      </c>
      <c r="AR22" s="61"/>
      <c r="AS22" s="62"/>
      <c r="AT22" s="81"/>
      <c r="AU22" s="81"/>
      <c r="AV22" s="81"/>
      <c r="AW22" s="81"/>
      <c r="AX22" s="82"/>
      <c r="AY22" s="83">
        <f t="shared" si="11"/>
        <v>0</v>
      </c>
      <c r="AZ22" s="83">
        <f t="shared" si="12"/>
        <v>0</v>
      </c>
    </row>
    <row r="23" spans="1:52" s="66" customFormat="1" ht="39.75" customHeight="1" thickBot="1" x14ac:dyDescent="0.2">
      <c r="A23" s="96">
        <v>14</v>
      </c>
      <c r="B23" s="108"/>
      <c r="C23" s="270" t="s">
        <v>395</v>
      </c>
      <c r="D23" s="187" t="s">
        <v>401</v>
      </c>
      <c r="E23" s="130" t="s">
        <v>314</v>
      </c>
      <c r="F23" s="110"/>
      <c r="G23" s="110"/>
      <c r="H23" s="207" t="s">
        <v>403</v>
      </c>
      <c r="I23" s="290">
        <v>0.7</v>
      </c>
      <c r="J23" s="209">
        <v>0.1638</v>
      </c>
      <c r="K23" s="41">
        <v>0.13</v>
      </c>
      <c r="L23" s="41"/>
      <c r="M23" s="147"/>
      <c r="N23" s="94">
        <f t="shared" si="0"/>
        <v>0.99379999999999991</v>
      </c>
      <c r="O23" s="280">
        <v>1.05</v>
      </c>
      <c r="P23" s="273">
        <v>15</v>
      </c>
      <c r="Q23" s="287">
        <v>15</v>
      </c>
      <c r="R23" s="113">
        <v>15</v>
      </c>
      <c r="S23" s="120"/>
      <c r="T23" s="70"/>
      <c r="U23" s="71">
        <f t="shared" si="1"/>
        <v>15.65</v>
      </c>
      <c r="V23" s="72">
        <f t="shared" si="2"/>
        <v>15</v>
      </c>
      <c r="W23" s="308">
        <v>233566701000</v>
      </c>
      <c r="X23" s="201">
        <v>1880242000</v>
      </c>
      <c r="Y23" s="117">
        <v>1281708000</v>
      </c>
      <c r="Z23" s="117"/>
      <c r="AA23" s="74"/>
      <c r="AB23" s="75">
        <f t="shared" si="3"/>
        <v>168.35</v>
      </c>
      <c r="AC23" s="72">
        <f t="shared" si="4"/>
        <v>13</v>
      </c>
      <c r="AD23" s="149">
        <v>1.5</v>
      </c>
      <c r="AE23" s="71">
        <f t="shared" si="5"/>
        <v>14.5</v>
      </c>
      <c r="AF23" s="76">
        <f>0.5*I23</f>
        <v>0.35</v>
      </c>
      <c r="AG23" s="54">
        <v>0.68</v>
      </c>
      <c r="AH23" s="77">
        <f t="shared" si="6"/>
        <v>29.85</v>
      </c>
      <c r="AI23" s="56">
        <v>10</v>
      </c>
      <c r="AJ23" s="56">
        <v>10</v>
      </c>
      <c r="AK23" s="56">
        <v>45</v>
      </c>
      <c r="AL23" s="57">
        <f t="shared" si="7"/>
        <v>95.53</v>
      </c>
      <c r="AM23" s="55">
        <f t="shared" si="8"/>
        <v>95</v>
      </c>
      <c r="AN23" s="78">
        <f t="shared" si="9"/>
        <v>0.95574999999999999</v>
      </c>
      <c r="AO23" s="79"/>
      <c r="AP23" s="80">
        <f t="shared" si="10"/>
        <v>1</v>
      </c>
      <c r="AQ23" s="80">
        <f t="shared" si="10"/>
        <v>2</v>
      </c>
      <c r="AR23" s="277"/>
      <c r="AS23" s="289"/>
      <c r="AT23" s="81"/>
      <c r="AU23" s="81"/>
      <c r="AV23" s="81"/>
      <c r="AW23" s="81"/>
      <c r="AX23" s="82"/>
      <c r="AY23" s="83">
        <f t="shared" si="11"/>
        <v>0</v>
      </c>
      <c r="AZ23" s="83">
        <f t="shared" si="12"/>
        <v>0</v>
      </c>
    </row>
    <row r="24" spans="1:52" s="66" customFormat="1" ht="21" customHeight="1" thickBot="1" x14ac:dyDescent="0.2">
      <c r="A24" s="96"/>
      <c r="B24" s="91"/>
      <c r="C24" s="352" t="s">
        <v>3</v>
      </c>
      <c r="D24" s="353"/>
      <c r="E24" s="353"/>
      <c r="F24" s="353"/>
      <c r="G24" s="354"/>
      <c r="H24" s="195"/>
      <c r="I24" s="276">
        <v>85</v>
      </c>
      <c r="J24" s="84">
        <v>85</v>
      </c>
      <c r="K24" s="84">
        <v>85</v>
      </c>
      <c r="L24" s="84">
        <v>85</v>
      </c>
      <c r="M24" s="84"/>
      <c r="N24" s="168">
        <f>I24*I23+J24*J23+K24*K23+L24*L23+M24*M23</f>
        <v>84.472999999999985</v>
      </c>
      <c r="O24" s="44"/>
      <c r="P24" s="45"/>
      <c r="Q24" s="46"/>
      <c r="R24" s="46"/>
      <c r="S24" s="47"/>
      <c r="T24" s="70"/>
      <c r="U24" s="71"/>
      <c r="V24" s="72"/>
      <c r="W24" s="150"/>
      <c r="X24" s="85"/>
      <c r="Y24" s="151"/>
      <c r="Z24" s="85"/>
      <c r="AA24" s="74"/>
      <c r="AB24" s="75"/>
      <c r="AC24" s="72"/>
      <c r="AD24" s="71"/>
      <c r="AE24" s="71"/>
      <c r="AF24" s="152"/>
      <c r="AG24" s="86"/>
      <c r="AH24" s="77"/>
      <c r="AI24" s="87"/>
      <c r="AJ24" s="46"/>
      <c r="AK24" s="77"/>
      <c r="AL24" s="78"/>
      <c r="AM24" s="79"/>
      <c r="AN24" s="80"/>
      <c r="AO24" s="80"/>
      <c r="AP24" s="61"/>
      <c r="AQ24" s="62"/>
      <c r="AR24" s="81"/>
      <c r="AS24" s="81"/>
      <c r="AT24" s="81"/>
      <c r="AU24" s="81"/>
      <c r="AV24" s="82"/>
      <c r="AW24" s="83"/>
      <c r="AX24" s="83"/>
      <c r="AZ24" s="66">
        <f t="shared" si="12"/>
        <v>0</v>
      </c>
    </row>
    <row r="25" spans="1:52" s="66" customFormat="1" ht="39.75" customHeight="1" thickBot="1" x14ac:dyDescent="0.2">
      <c r="A25" s="96">
        <v>15</v>
      </c>
      <c r="B25" s="108"/>
      <c r="C25" s="105" t="s">
        <v>235</v>
      </c>
      <c r="D25" s="134" t="s">
        <v>371</v>
      </c>
      <c r="E25" s="109"/>
      <c r="F25" s="109"/>
      <c r="G25" s="170"/>
      <c r="H25" s="207"/>
      <c r="I25" s="92">
        <v>0.51</v>
      </c>
      <c r="J25" s="41">
        <v>0.49</v>
      </c>
      <c r="K25" s="41"/>
      <c r="L25" s="42"/>
      <c r="M25" s="68"/>
      <c r="N25" s="69">
        <f t="shared" si="0"/>
        <v>1</v>
      </c>
      <c r="O25" s="125">
        <v>1</v>
      </c>
      <c r="P25" s="112">
        <v>15</v>
      </c>
      <c r="Q25" s="113">
        <v>15</v>
      </c>
      <c r="R25" s="113">
        <v>15</v>
      </c>
      <c r="S25" s="114"/>
      <c r="T25" s="70"/>
      <c r="U25" s="71">
        <f t="shared" si="1"/>
        <v>15</v>
      </c>
      <c r="V25" s="72">
        <f t="shared" si="2"/>
        <v>15</v>
      </c>
      <c r="W25" s="201">
        <v>101360213000</v>
      </c>
      <c r="X25" s="201">
        <v>7979611000</v>
      </c>
      <c r="Y25" s="117"/>
      <c r="Z25" s="85"/>
      <c r="AA25" s="74"/>
      <c r="AB25" s="75">
        <f t="shared" si="3"/>
        <v>57.069999999999993</v>
      </c>
      <c r="AC25" s="72">
        <f t="shared" si="4"/>
        <v>13</v>
      </c>
      <c r="AD25" s="124">
        <v>2</v>
      </c>
      <c r="AE25" s="71">
        <f t="shared" si="5"/>
        <v>15</v>
      </c>
      <c r="AF25" s="76"/>
      <c r="AG25" s="54">
        <v>0.68</v>
      </c>
      <c r="AH25" s="77">
        <f t="shared" si="6"/>
        <v>30</v>
      </c>
      <c r="AI25" s="56">
        <v>10</v>
      </c>
      <c r="AJ25" s="56">
        <v>10</v>
      </c>
      <c r="AK25" s="56">
        <v>45</v>
      </c>
      <c r="AL25" s="57">
        <f t="shared" si="7"/>
        <v>95.68</v>
      </c>
      <c r="AM25" s="55">
        <f t="shared" si="8"/>
        <v>95</v>
      </c>
      <c r="AN25" s="78">
        <f t="shared" si="9"/>
        <v>0.95499999999999996</v>
      </c>
      <c r="AO25" s="79"/>
      <c r="AP25" s="80">
        <f t="shared" si="10"/>
        <v>1</v>
      </c>
      <c r="AQ25" s="80">
        <f t="shared" si="10"/>
        <v>2</v>
      </c>
      <c r="AR25" s="61"/>
      <c r="AS25" s="62"/>
      <c r="AT25" s="81"/>
      <c r="AU25" s="81"/>
      <c r="AV25" s="81"/>
      <c r="AW25" s="81"/>
      <c r="AX25" s="82"/>
      <c r="AY25" s="83">
        <f t="shared" si="11"/>
        <v>0</v>
      </c>
      <c r="AZ25" s="83">
        <f t="shared" si="12"/>
        <v>0</v>
      </c>
    </row>
    <row r="26" spans="1:52" s="66" customFormat="1" ht="39.75" customHeight="1" thickBot="1" x14ac:dyDescent="0.2">
      <c r="A26" s="96">
        <v>16</v>
      </c>
      <c r="B26" s="108"/>
      <c r="C26" s="314" t="s">
        <v>410</v>
      </c>
      <c r="D26" s="187" t="s">
        <v>372</v>
      </c>
      <c r="E26" s="134" t="s">
        <v>373</v>
      </c>
      <c r="F26" s="109"/>
      <c r="G26" s="170"/>
      <c r="H26" s="207"/>
      <c r="I26" s="290">
        <v>0.61</v>
      </c>
      <c r="J26" s="305">
        <v>0.19</v>
      </c>
      <c r="K26" s="41">
        <v>0.2</v>
      </c>
      <c r="L26" s="42"/>
      <c r="M26" s="68"/>
      <c r="N26" s="94">
        <f t="shared" si="0"/>
        <v>1</v>
      </c>
      <c r="O26" s="44">
        <v>1</v>
      </c>
      <c r="P26" s="292">
        <v>15</v>
      </c>
      <c r="Q26" s="46">
        <v>15</v>
      </c>
      <c r="R26" s="46">
        <v>15</v>
      </c>
      <c r="S26" s="121"/>
      <c r="T26" s="70"/>
      <c r="U26" s="71">
        <f t="shared" si="1"/>
        <v>15</v>
      </c>
      <c r="V26" s="72">
        <f t="shared" si="2"/>
        <v>15</v>
      </c>
      <c r="W26" s="308">
        <v>18715212000</v>
      </c>
      <c r="X26" s="231">
        <v>4102925000</v>
      </c>
      <c r="Y26" s="117">
        <v>4356569000</v>
      </c>
      <c r="Z26" s="119"/>
      <c r="AA26" s="74"/>
      <c r="AB26" s="75">
        <f t="shared" si="3"/>
        <v>13.39</v>
      </c>
      <c r="AC26" s="72">
        <f t="shared" si="4"/>
        <v>13</v>
      </c>
      <c r="AD26" s="124">
        <v>2</v>
      </c>
      <c r="AE26" s="71">
        <f t="shared" si="5"/>
        <v>15</v>
      </c>
      <c r="AF26" s="76"/>
      <c r="AG26" s="54">
        <v>0.68</v>
      </c>
      <c r="AH26" s="77">
        <f t="shared" si="6"/>
        <v>30</v>
      </c>
      <c r="AI26" s="56">
        <v>10</v>
      </c>
      <c r="AJ26" s="56">
        <v>10</v>
      </c>
      <c r="AK26" s="56">
        <v>45</v>
      </c>
      <c r="AL26" s="57">
        <f t="shared" si="7"/>
        <v>95.68</v>
      </c>
      <c r="AM26" s="55">
        <f t="shared" si="8"/>
        <v>95</v>
      </c>
      <c r="AN26" s="78">
        <f t="shared" si="9"/>
        <v>0.95499999999999996</v>
      </c>
      <c r="AO26" s="79"/>
      <c r="AP26" s="80">
        <f t="shared" si="10"/>
        <v>1</v>
      </c>
      <c r="AQ26" s="80">
        <f t="shared" si="10"/>
        <v>2</v>
      </c>
      <c r="AR26" s="277"/>
      <c r="AS26" s="62"/>
      <c r="AT26" s="81"/>
      <c r="AU26" s="81"/>
      <c r="AV26" s="81"/>
      <c r="AW26" s="81"/>
      <c r="AX26" s="82"/>
      <c r="AY26" s="83">
        <f t="shared" si="11"/>
        <v>0</v>
      </c>
      <c r="AZ26" s="83">
        <f t="shared" si="12"/>
        <v>0</v>
      </c>
    </row>
    <row r="27" spans="1:52" s="66" customFormat="1" ht="21" customHeight="1" thickBot="1" x14ac:dyDescent="0.2">
      <c r="A27" s="96"/>
      <c r="B27" s="91"/>
      <c r="C27" s="352" t="s">
        <v>3</v>
      </c>
      <c r="D27" s="353"/>
      <c r="E27" s="353"/>
      <c r="F27" s="353"/>
      <c r="G27" s="354"/>
      <c r="H27" s="195"/>
      <c r="I27" s="276">
        <v>85</v>
      </c>
      <c r="J27" s="84">
        <v>85</v>
      </c>
      <c r="K27" s="84">
        <v>85</v>
      </c>
      <c r="L27" s="84">
        <v>85</v>
      </c>
      <c r="M27" s="84"/>
      <c r="N27" s="168">
        <f>I27*I26+J27*J26+K27*K26+L27*L26+M27*M26</f>
        <v>85</v>
      </c>
      <c r="O27" s="44"/>
      <c r="P27" s="45"/>
      <c r="Q27" s="46"/>
      <c r="R27" s="46"/>
      <c r="S27" s="47"/>
      <c r="T27" s="70"/>
      <c r="U27" s="71"/>
      <c r="V27" s="72"/>
      <c r="W27" s="150"/>
      <c r="X27" s="85"/>
      <c r="Y27" s="151"/>
      <c r="Z27" s="85"/>
      <c r="AA27" s="74"/>
      <c r="AB27" s="75"/>
      <c r="AC27" s="72"/>
      <c r="AD27" s="71"/>
      <c r="AE27" s="71"/>
      <c r="AF27" s="152"/>
      <c r="AG27" s="86"/>
      <c r="AH27" s="77"/>
      <c r="AI27" s="87"/>
      <c r="AJ27" s="46"/>
      <c r="AK27" s="77"/>
      <c r="AL27" s="78"/>
      <c r="AM27" s="79"/>
      <c r="AN27" s="80"/>
      <c r="AO27" s="80"/>
      <c r="AP27" s="61"/>
      <c r="AQ27" s="62"/>
      <c r="AR27" s="81"/>
      <c r="AS27" s="81"/>
      <c r="AT27" s="81"/>
      <c r="AU27" s="81"/>
      <c r="AV27" s="82"/>
      <c r="AW27" s="83"/>
      <c r="AX27" s="83"/>
      <c r="AZ27" s="66">
        <f t="shared" si="12"/>
        <v>0</v>
      </c>
    </row>
    <row r="28" spans="1:52" s="66" customFormat="1" ht="39.75" customHeight="1" thickBot="1" x14ac:dyDescent="0.2">
      <c r="A28" s="96">
        <v>17</v>
      </c>
      <c r="B28" s="108"/>
      <c r="C28" s="270" t="s">
        <v>407</v>
      </c>
      <c r="D28" s="130" t="s">
        <v>375</v>
      </c>
      <c r="E28" s="130" t="s">
        <v>376</v>
      </c>
      <c r="F28" s="109"/>
      <c r="G28" s="170"/>
      <c r="H28" s="207"/>
      <c r="I28" s="290">
        <v>0.62</v>
      </c>
      <c r="J28" s="307">
        <v>0.28000000000000003</v>
      </c>
      <c r="K28" s="41">
        <v>0.1</v>
      </c>
      <c r="L28" s="42"/>
      <c r="M28" s="68"/>
      <c r="N28" s="94">
        <f t="shared" si="0"/>
        <v>1</v>
      </c>
      <c r="O28" s="125">
        <v>1</v>
      </c>
      <c r="P28" s="273">
        <v>15</v>
      </c>
      <c r="Q28" s="120">
        <v>15</v>
      </c>
      <c r="R28" s="120">
        <v>15</v>
      </c>
      <c r="S28" s="120"/>
      <c r="T28" s="70"/>
      <c r="U28" s="71">
        <f t="shared" si="1"/>
        <v>15</v>
      </c>
      <c r="V28" s="72">
        <f t="shared" si="2"/>
        <v>15</v>
      </c>
      <c r="W28" s="294">
        <v>227887155000</v>
      </c>
      <c r="X28" s="201">
        <v>3425675000</v>
      </c>
      <c r="Y28" s="85">
        <v>1346655000</v>
      </c>
      <c r="Z28" s="230"/>
      <c r="AA28" s="85"/>
      <c r="AB28" s="71">
        <f t="shared" si="3"/>
        <v>146.12</v>
      </c>
      <c r="AC28" s="72">
        <f t="shared" si="4"/>
        <v>13</v>
      </c>
      <c r="AD28" s="124">
        <v>2</v>
      </c>
      <c r="AE28" s="71">
        <f t="shared" si="5"/>
        <v>15</v>
      </c>
      <c r="AF28" s="76"/>
      <c r="AG28" s="54">
        <v>0.68</v>
      </c>
      <c r="AH28" s="77">
        <f t="shared" si="6"/>
        <v>30</v>
      </c>
      <c r="AI28" s="56">
        <v>10</v>
      </c>
      <c r="AJ28" s="56">
        <v>10</v>
      </c>
      <c r="AK28" s="56">
        <v>45</v>
      </c>
      <c r="AL28" s="57">
        <f t="shared" si="7"/>
        <v>95.68</v>
      </c>
      <c r="AM28" s="55">
        <f t="shared" si="8"/>
        <v>95</v>
      </c>
      <c r="AN28" s="78">
        <f t="shared" si="9"/>
        <v>0.95499999999999996</v>
      </c>
      <c r="AO28" s="79"/>
      <c r="AP28" s="80">
        <f t="shared" si="10"/>
        <v>1</v>
      </c>
      <c r="AQ28" s="80">
        <f t="shared" si="10"/>
        <v>2</v>
      </c>
      <c r="AR28" s="277"/>
      <c r="AS28" s="62"/>
      <c r="AT28" s="81"/>
      <c r="AU28" s="81"/>
      <c r="AV28" s="81"/>
      <c r="AW28" s="81"/>
      <c r="AX28" s="82"/>
      <c r="AY28" s="83">
        <f t="shared" si="11"/>
        <v>0</v>
      </c>
      <c r="AZ28" s="83">
        <f t="shared" si="12"/>
        <v>0</v>
      </c>
    </row>
    <row r="29" spans="1:52" s="66" customFormat="1" ht="21" customHeight="1" thickBot="1" x14ac:dyDescent="0.2">
      <c r="A29" s="96"/>
      <c r="B29" s="91"/>
      <c r="C29" s="352" t="s">
        <v>3</v>
      </c>
      <c r="D29" s="353"/>
      <c r="E29" s="353"/>
      <c r="F29" s="353"/>
      <c r="G29" s="354"/>
      <c r="H29" s="195"/>
      <c r="I29" s="84">
        <v>85</v>
      </c>
      <c r="J29" s="84">
        <v>85</v>
      </c>
      <c r="K29" s="84">
        <v>85</v>
      </c>
      <c r="L29" s="84">
        <v>85</v>
      </c>
      <c r="M29" s="84"/>
      <c r="N29" s="168">
        <f>I29*I28+J29*J28+K29*K28+L29*L28+M29*M28</f>
        <v>85</v>
      </c>
      <c r="O29" s="44"/>
      <c r="P29" s="45"/>
      <c r="Q29" s="46"/>
      <c r="R29" s="46"/>
      <c r="S29" s="47"/>
      <c r="T29" s="70"/>
      <c r="U29" s="71"/>
      <c r="V29" s="72"/>
      <c r="W29" s="150"/>
      <c r="X29" s="85"/>
      <c r="Y29" s="151"/>
      <c r="Z29" s="85"/>
      <c r="AA29" s="74"/>
      <c r="AB29" s="75"/>
      <c r="AC29" s="72"/>
      <c r="AD29" s="71"/>
      <c r="AE29" s="71"/>
      <c r="AF29" s="152"/>
      <c r="AG29" s="86"/>
      <c r="AH29" s="77"/>
      <c r="AI29" s="87"/>
      <c r="AJ29" s="46"/>
      <c r="AK29" s="77"/>
      <c r="AL29" s="78"/>
      <c r="AM29" s="79"/>
      <c r="AN29" s="80"/>
      <c r="AO29" s="80"/>
      <c r="AP29" s="61"/>
      <c r="AQ29" s="62"/>
      <c r="AR29" s="81"/>
      <c r="AS29" s="81"/>
      <c r="AT29" s="81"/>
      <c r="AU29" s="81"/>
      <c r="AV29" s="82"/>
      <c r="AW29" s="83"/>
      <c r="AX29" s="83"/>
      <c r="AZ29" s="66">
        <f t="shared" si="12"/>
        <v>0</v>
      </c>
    </row>
    <row r="30" spans="1:52" s="66" customFormat="1" ht="39.75" customHeight="1" thickBot="1" x14ac:dyDescent="0.2">
      <c r="A30" s="96">
        <v>18</v>
      </c>
      <c r="B30" s="108"/>
      <c r="C30" s="278" t="s">
        <v>405</v>
      </c>
      <c r="D30" s="134" t="s">
        <v>377</v>
      </c>
      <c r="E30" s="122"/>
      <c r="F30" s="109"/>
      <c r="G30" s="170"/>
      <c r="H30" s="207"/>
      <c r="I30" s="290">
        <v>0.63</v>
      </c>
      <c r="J30" s="252">
        <v>0.37</v>
      </c>
      <c r="K30" s="41"/>
      <c r="L30" s="42"/>
      <c r="M30" s="147"/>
      <c r="N30" s="94">
        <f t="shared" si="0"/>
        <v>1</v>
      </c>
      <c r="O30" s="125">
        <v>1</v>
      </c>
      <c r="P30" s="273">
        <v>15</v>
      </c>
      <c r="Q30" s="113">
        <v>15</v>
      </c>
      <c r="R30" s="114">
        <v>15</v>
      </c>
      <c r="S30" s="120"/>
      <c r="T30" s="70"/>
      <c r="U30" s="71">
        <f t="shared" si="1"/>
        <v>15</v>
      </c>
      <c r="V30" s="72">
        <f t="shared" si="2"/>
        <v>15</v>
      </c>
      <c r="W30" s="294">
        <v>618668065000</v>
      </c>
      <c r="X30" s="201">
        <v>14643377000</v>
      </c>
      <c r="Y30" s="201"/>
      <c r="Z30" s="85"/>
      <c r="AA30" s="74"/>
      <c r="AB30" s="75">
        <f t="shared" si="3"/>
        <v>405.59999999999997</v>
      </c>
      <c r="AC30" s="72">
        <f t="shared" si="4"/>
        <v>13</v>
      </c>
      <c r="AD30" s="124">
        <v>2</v>
      </c>
      <c r="AE30" s="71">
        <f t="shared" si="5"/>
        <v>15</v>
      </c>
      <c r="AF30" s="76"/>
      <c r="AG30" s="54">
        <v>0.68</v>
      </c>
      <c r="AH30" s="77">
        <f t="shared" si="6"/>
        <v>30</v>
      </c>
      <c r="AI30" s="56">
        <v>10</v>
      </c>
      <c r="AJ30" s="56">
        <v>10</v>
      </c>
      <c r="AK30" s="56">
        <v>45</v>
      </c>
      <c r="AL30" s="57">
        <f t="shared" si="7"/>
        <v>95.68</v>
      </c>
      <c r="AM30" s="55">
        <f t="shared" si="8"/>
        <v>95</v>
      </c>
      <c r="AN30" s="78">
        <f t="shared" si="9"/>
        <v>0.95499999999999996</v>
      </c>
      <c r="AO30" s="79"/>
      <c r="AP30" s="80">
        <f t="shared" si="10"/>
        <v>1</v>
      </c>
      <c r="AQ30" s="80">
        <f t="shared" si="10"/>
        <v>2</v>
      </c>
      <c r="AR30" s="277"/>
      <c r="AS30" s="62"/>
      <c r="AT30" s="81"/>
      <c r="AU30" s="81"/>
      <c r="AV30" s="81"/>
      <c r="AW30" s="81"/>
      <c r="AX30" s="82"/>
      <c r="AY30" s="83">
        <f t="shared" si="11"/>
        <v>0</v>
      </c>
      <c r="AZ30" s="83">
        <f t="shared" si="12"/>
        <v>0</v>
      </c>
    </row>
    <row r="31" spans="1:52" s="66" customFormat="1" ht="21" customHeight="1" thickBot="1" x14ac:dyDescent="0.2">
      <c r="A31" s="96"/>
      <c r="B31" s="91"/>
      <c r="C31" s="352" t="s">
        <v>3</v>
      </c>
      <c r="D31" s="353"/>
      <c r="E31" s="353"/>
      <c r="F31" s="353"/>
      <c r="G31" s="354"/>
      <c r="H31" s="195"/>
      <c r="I31" s="276">
        <v>85</v>
      </c>
      <c r="J31" s="167">
        <v>91.63</v>
      </c>
      <c r="K31" s="84">
        <v>85</v>
      </c>
      <c r="L31" s="84">
        <v>85</v>
      </c>
      <c r="M31" s="84"/>
      <c r="N31" s="168">
        <f>I31*I30+J31*J30+K31*K30+L31*L30+M31*M30</f>
        <v>87.453099999999992</v>
      </c>
      <c r="O31" s="44"/>
      <c r="P31" s="45"/>
      <c r="Q31" s="46"/>
      <c r="R31" s="46"/>
      <c r="S31" s="47"/>
      <c r="T31" s="70"/>
      <c r="U31" s="71"/>
      <c r="V31" s="72"/>
      <c r="W31" s="150"/>
      <c r="X31" s="85"/>
      <c r="Y31" s="151"/>
      <c r="Z31" s="85"/>
      <c r="AA31" s="74"/>
      <c r="AB31" s="75"/>
      <c r="AC31" s="72"/>
      <c r="AD31" s="71"/>
      <c r="AE31" s="71"/>
      <c r="AF31" s="152"/>
      <c r="AG31" s="86"/>
      <c r="AH31" s="77"/>
      <c r="AI31" s="87"/>
      <c r="AJ31" s="46"/>
      <c r="AK31" s="77"/>
      <c r="AL31" s="78"/>
      <c r="AM31" s="79"/>
      <c r="AN31" s="80"/>
      <c r="AO31" s="80"/>
      <c r="AP31" s="61"/>
      <c r="AQ31" s="62"/>
      <c r="AR31" s="81"/>
      <c r="AS31" s="81"/>
      <c r="AT31" s="81"/>
      <c r="AU31" s="81"/>
      <c r="AV31" s="82"/>
      <c r="AW31" s="83"/>
      <c r="AX31" s="83"/>
      <c r="AZ31" s="66">
        <f t="shared" si="12"/>
        <v>0</v>
      </c>
    </row>
    <row r="32" spans="1:52" s="66" customFormat="1" ht="39.75" customHeight="1" thickBot="1" x14ac:dyDescent="0.2">
      <c r="A32" s="96">
        <v>19</v>
      </c>
      <c r="B32" s="108"/>
      <c r="C32" s="122" t="s">
        <v>130</v>
      </c>
      <c r="D32" s="316" t="s">
        <v>411</v>
      </c>
      <c r="E32" s="131"/>
      <c r="F32" s="131"/>
      <c r="G32" s="170"/>
      <c r="H32" s="207"/>
      <c r="I32" s="92">
        <v>0.51</v>
      </c>
      <c r="J32" s="310">
        <v>0.49</v>
      </c>
      <c r="K32" s="41"/>
      <c r="L32" s="42"/>
      <c r="M32" s="147"/>
      <c r="N32" s="94">
        <f t="shared" ref="N32" si="13">SUM(I32:M32)</f>
        <v>1</v>
      </c>
      <c r="O32" s="125">
        <v>1</v>
      </c>
      <c r="P32" s="244">
        <v>15</v>
      </c>
      <c r="Q32" s="287">
        <v>15</v>
      </c>
      <c r="R32" s="245">
        <v>15</v>
      </c>
      <c r="S32" s="114"/>
      <c r="T32" s="70"/>
      <c r="U32" s="71">
        <f t="shared" ref="U32" si="14">ROUND(((P32*I32)+(Q32*J32)+(R32*K32)+(S32*L32)+(T32*M32))*O32,2)</f>
        <v>15</v>
      </c>
      <c r="V32" s="72">
        <f t="shared" ref="V32" si="15">IF(U32&gt;=15,15,U32)</f>
        <v>15</v>
      </c>
      <c r="W32" s="206">
        <v>32826052000</v>
      </c>
      <c r="X32" s="317">
        <v>10918046000</v>
      </c>
      <c r="Y32" s="85"/>
      <c r="Z32" s="119"/>
      <c r="AA32" s="74"/>
      <c r="AB32" s="75">
        <f t="shared" ref="AB32" si="16">ROUND((((W32*I32)+(X32*J32)+(Y32*K32)+(Z32*L32)+(AA32*M32))/$I$2),2)*13</f>
        <v>22.62</v>
      </c>
      <c r="AC32" s="72">
        <f t="shared" ref="AC32" si="17">IF(AB32&gt;=13,13,AB32)</f>
        <v>13</v>
      </c>
      <c r="AD32" s="124">
        <v>2</v>
      </c>
      <c r="AE32" s="71">
        <f t="shared" ref="AE32" si="18">IF((AC32+AD32)&gt;=15,15,(AC32+AD32))</f>
        <v>15</v>
      </c>
      <c r="AF32" s="76"/>
      <c r="AG32" s="54">
        <v>0.68</v>
      </c>
      <c r="AH32" s="77">
        <f t="shared" ref="AH32" si="19">IF((V32+AE32+AF32)&gt;=30,30,(V32+AE32+AF32))</f>
        <v>30</v>
      </c>
      <c r="AI32" s="56">
        <v>10</v>
      </c>
      <c r="AJ32" s="56">
        <v>10</v>
      </c>
      <c r="AK32" s="56">
        <v>45</v>
      </c>
      <c r="AL32" s="57">
        <f t="shared" ref="AL32" si="20">V32+AE32+AF32+AI32+AJ32+AK32+AG32</f>
        <v>95.68</v>
      </c>
      <c r="AM32" s="55">
        <f t="shared" ref="AM32" si="21">IF(AH32+AI32+AJ32+AK32+AG32&gt;=95,95,AH32+AI32+AJ32+AK32+AG32)</f>
        <v>95</v>
      </c>
      <c r="AN32" s="78">
        <f t="shared" ref="AN32" si="22">-((50-((176+(45+(50-AH32)))))/200)</f>
        <v>0.95499999999999996</v>
      </c>
      <c r="AO32" s="79"/>
      <c r="AP32" s="80">
        <f t="shared" ref="AP32" si="23">100%+AO32</f>
        <v>1</v>
      </c>
      <c r="AQ32" s="80">
        <f t="shared" ref="AQ32" si="24">100%+AP32</f>
        <v>2</v>
      </c>
      <c r="AR32" s="61"/>
      <c r="AS32" s="289"/>
      <c r="AT32" s="81"/>
      <c r="AU32" s="81"/>
      <c r="AV32" s="81"/>
      <c r="AW32" s="81"/>
      <c r="AX32" s="82"/>
      <c r="AY32" s="83">
        <f t="shared" ref="AY32" si="25">AT32+AU32+AV32+AW32+AX32</f>
        <v>0</v>
      </c>
      <c r="AZ32" s="83">
        <f t="shared" ref="AZ32" si="26">(AT32*I32)+(AU32*J32)+(AV32*K32)+(AW32*L32)+(AX32*M32)</f>
        <v>0</v>
      </c>
    </row>
    <row r="33" spans="1:52" s="66" customFormat="1" ht="39.75" customHeight="1" thickBot="1" x14ac:dyDescent="0.2">
      <c r="A33" s="96">
        <v>20</v>
      </c>
      <c r="B33" s="108"/>
      <c r="C33" s="270" t="s">
        <v>406</v>
      </c>
      <c r="D33" s="132" t="s">
        <v>378</v>
      </c>
      <c r="E33" s="246" t="s">
        <v>379</v>
      </c>
      <c r="F33" s="131"/>
      <c r="G33" s="170"/>
      <c r="H33" s="207"/>
      <c r="I33" s="290">
        <v>0.6</v>
      </c>
      <c r="J33" s="310">
        <v>0.2</v>
      </c>
      <c r="K33" s="252">
        <v>0.2</v>
      </c>
      <c r="L33" s="42"/>
      <c r="M33" s="68"/>
      <c r="N33" s="94">
        <f t="shared" si="0"/>
        <v>1</v>
      </c>
      <c r="O33" s="125">
        <v>1</v>
      </c>
      <c r="P33" s="293">
        <v>15</v>
      </c>
      <c r="Q33" s="245">
        <v>15</v>
      </c>
      <c r="R33" s="245">
        <v>15</v>
      </c>
      <c r="S33" s="114"/>
      <c r="T33" s="70"/>
      <c r="U33" s="71">
        <f t="shared" si="1"/>
        <v>15</v>
      </c>
      <c r="V33" s="72">
        <f t="shared" si="2"/>
        <v>15</v>
      </c>
      <c r="W33" s="315">
        <v>75890281000</v>
      </c>
      <c r="X33" s="117">
        <v>3388596000</v>
      </c>
      <c r="Y33" s="201">
        <v>3097329000</v>
      </c>
      <c r="Z33" s="109"/>
      <c r="AA33" s="74"/>
      <c r="AB33" s="75">
        <f t="shared" si="3"/>
        <v>48.1</v>
      </c>
      <c r="AC33" s="72">
        <f t="shared" si="4"/>
        <v>13</v>
      </c>
      <c r="AD33" s="124">
        <v>2</v>
      </c>
      <c r="AE33" s="71">
        <f t="shared" si="5"/>
        <v>15</v>
      </c>
      <c r="AF33" s="76"/>
      <c r="AG33" s="54">
        <v>0.68</v>
      </c>
      <c r="AH33" s="77">
        <f t="shared" si="6"/>
        <v>30</v>
      </c>
      <c r="AI33" s="56">
        <v>10</v>
      </c>
      <c r="AJ33" s="56">
        <v>10</v>
      </c>
      <c r="AK33" s="56">
        <v>45</v>
      </c>
      <c r="AL33" s="57">
        <f t="shared" si="7"/>
        <v>95.68</v>
      </c>
      <c r="AM33" s="55">
        <f t="shared" si="8"/>
        <v>95</v>
      </c>
      <c r="AN33" s="78">
        <f t="shared" si="9"/>
        <v>0.95499999999999996</v>
      </c>
      <c r="AO33" s="79"/>
      <c r="AP33" s="80">
        <f t="shared" si="10"/>
        <v>1</v>
      </c>
      <c r="AQ33" s="80">
        <f t="shared" si="10"/>
        <v>2</v>
      </c>
      <c r="AR33" s="277"/>
      <c r="AS33" s="62"/>
      <c r="AT33" s="81"/>
      <c r="AU33" s="81"/>
      <c r="AV33" s="81"/>
      <c r="AW33" s="81"/>
      <c r="AX33" s="82"/>
      <c r="AY33" s="83">
        <f t="shared" si="11"/>
        <v>0</v>
      </c>
      <c r="AZ33" s="83">
        <f t="shared" si="12"/>
        <v>0</v>
      </c>
    </row>
    <row r="34" spans="1:52" s="66" customFormat="1" ht="39.75" customHeight="1" thickBot="1" x14ac:dyDescent="0.2">
      <c r="A34" s="96">
        <v>21</v>
      </c>
      <c r="B34" s="108"/>
      <c r="C34" s="270" t="s">
        <v>399</v>
      </c>
      <c r="D34" s="246" t="s">
        <v>404</v>
      </c>
      <c r="E34" s="187" t="s">
        <v>386</v>
      </c>
      <c r="F34" s="109"/>
      <c r="G34" s="97"/>
      <c r="H34" s="207" t="s">
        <v>398</v>
      </c>
      <c r="I34" s="290">
        <v>0.7</v>
      </c>
      <c r="J34" s="153">
        <v>0.1764</v>
      </c>
      <c r="K34" s="41">
        <v>0.12</v>
      </c>
      <c r="L34" s="42"/>
      <c r="M34" s="68"/>
      <c r="N34" s="69">
        <f t="shared" si="0"/>
        <v>0.99639999999999995</v>
      </c>
      <c r="O34" s="280">
        <v>1.05</v>
      </c>
      <c r="P34" s="273">
        <v>15</v>
      </c>
      <c r="Q34" s="113">
        <v>15</v>
      </c>
      <c r="R34" s="113">
        <v>15</v>
      </c>
      <c r="S34" s="120"/>
      <c r="T34" s="70"/>
      <c r="U34" s="71">
        <f t="shared" si="1"/>
        <v>15.69</v>
      </c>
      <c r="V34" s="72">
        <f t="shared" si="2"/>
        <v>15</v>
      </c>
      <c r="W34" s="294">
        <v>41028772000</v>
      </c>
      <c r="X34" s="231">
        <v>1810832000</v>
      </c>
      <c r="Y34" s="201">
        <v>811866000</v>
      </c>
      <c r="Z34" s="230"/>
      <c r="AA34" s="74"/>
      <c r="AB34" s="75">
        <f t="shared" si="3"/>
        <v>29.9</v>
      </c>
      <c r="AC34" s="72">
        <f t="shared" si="4"/>
        <v>13</v>
      </c>
      <c r="AD34" s="124">
        <v>2</v>
      </c>
      <c r="AE34" s="71">
        <f t="shared" si="5"/>
        <v>15</v>
      </c>
      <c r="AF34" s="76"/>
      <c r="AG34" s="54">
        <v>0.68</v>
      </c>
      <c r="AH34" s="77">
        <f t="shared" si="6"/>
        <v>30</v>
      </c>
      <c r="AI34" s="56">
        <v>10</v>
      </c>
      <c r="AJ34" s="56">
        <v>10</v>
      </c>
      <c r="AK34" s="56">
        <v>45</v>
      </c>
      <c r="AL34" s="57">
        <f t="shared" si="7"/>
        <v>95.68</v>
      </c>
      <c r="AM34" s="55">
        <f t="shared" si="8"/>
        <v>95</v>
      </c>
      <c r="AN34" s="78">
        <f t="shared" si="9"/>
        <v>0.95499999999999996</v>
      </c>
      <c r="AO34" s="79"/>
      <c r="AP34" s="80">
        <f t="shared" si="10"/>
        <v>1</v>
      </c>
      <c r="AQ34" s="80">
        <f t="shared" si="10"/>
        <v>2</v>
      </c>
      <c r="AR34" s="277"/>
      <c r="AS34" s="62"/>
      <c r="AT34" s="81"/>
      <c r="AU34" s="81"/>
      <c r="AV34" s="81"/>
      <c r="AW34" s="81"/>
      <c r="AX34" s="82"/>
      <c r="AY34" s="83">
        <f t="shared" si="11"/>
        <v>0</v>
      </c>
      <c r="AZ34" s="83">
        <f t="shared" si="12"/>
        <v>0</v>
      </c>
    </row>
    <row r="35" spans="1:52" s="66" customFormat="1" ht="21" customHeight="1" thickBot="1" x14ac:dyDescent="0.2">
      <c r="A35" s="96"/>
      <c r="B35" s="91"/>
      <c r="C35" s="352" t="s">
        <v>3</v>
      </c>
      <c r="D35" s="353"/>
      <c r="E35" s="353"/>
      <c r="F35" s="353"/>
      <c r="G35" s="354"/>
      <c r="H35" s="195"/>
      <c r="I35" s="167">
        <v>88.43</v>
      </c>
      <c r="J35" s="84">
        <v>85</v>
      </c>
      <c r="K35" s="84">
        <v>85</v>
      </c>
      <c r="L35" s="84">
        <v>85</v>
      </c>
      <c r="M35" s="84"/>
      <c r="N35" s="168">
        <f>I35*I34+J35*J34+K35*K34+L35*L34+M35*M34</f>
        <v>87.095000000000013</v>
      </c>
      <c r="O35" s="44"/>
      <c r="P35" s="45"/>
      <c r="Q35" s="46"/>
      <c r="R35" s="46"/>
      <c r="S35" s="47"/>
      <c r="T35" s="70"/>
      <c r="U35" s="71"/>
      <c r="V35" s="72"/>
      <c r="W35" s="150"/>
      <c r="X35" s="85"/>
      <c r="Y35" s="151"/>
      <c r="Z35" s="85"/>
      <c r="AA35" s="74"/>
      <c r="AB35" s="75"/>
      <c r="AC35" s="72"/>
      <c r="AD35" s="71"/>
      <c r="AE35" s="71"/>
      <c r="AF35" s="152"/>
      <c r="AG35" s="86"/>
      <c r="AH35" s="77"/>
      <c r="AI35" s="87"/>
      <c r="AJ35" s="46"/>
      <c r="AK35" s="77"/>
      <c r="AL35" s="78"/>
      <c r="AM35" s="79"/>
      <c r="AN35" s="80"/>
      <c r="AO35" s="80"/>
      <c r="AP35" s="61"/>
      <c r="AQ35" s="62"/>
      <c r="AR35" s="81"/>
      <c r="AS35" s="81"/>
      <c r="AT35" s="81"/>
      <c r="AU35" s="81"/>
      <c r="AV35" s="82"/>
      <c r="AW35" s="83"/>
      <c r="AX35" s="83"/>
      <c r="AZ35" s="66">
        <f t="shared" ref="AZ35" si="27">(AT35*I35)+(AU35*J35)+(AV35*K35)+(AW35*L35)+(AX35*M35)</f>
        <v>0</v>
      </c>
    </row>
    <row r="36" spans="1:52" s="66" customFormat="1" ht="39.75" customHeight="1" thickBot="1" x14ac:dyDescent="0.2">
      <c r="A36" s="96">
        <v>22</v>
      </c>
      <c r="B36" s="108"/>
      <c r="C36" s="131" t="s">
        <v>100</v>
      </c>
      <c r="D36" s="309" t="s">
        <v>397</v>
      </c>
      <c r="E36" s="131" t="s">
        <v>413</v>
      </c>
      <c r="F36" s="109"/>
      <c r="G36" s="97"/>
      <c r="H36" s="207"/>
      <c r="I36" s="92">
        <v>0.55000000000000004</v>
      </c>
      <c r="J36" s="310">
        <v>0.3</v>
      </c>
      <c r="K36" s="41">
        <v>0.15</v>
      </c>
      <c r="L36" s="42"/>
      <c r="M36" s="68"/>
      <c r="N36" s="94">
        <f t="shared" si="0"/>
        <v>1</v>
      </c>
      <c r="O36" s="125">
        <v>1</v>
      </c>
      <c r="P36" s="45">
        <v>15</v>
      </c>
      <c r="Q36" s="311">
        <v>15</v>
      </c>
      <c r="R36" s="113">
        <v>15</v>
      </c>
      <c r="S36" s="121"/>
      <c r="T36" s="70"/>
      <c r="U36" s="71">
        <f t="shared" si="1"/>
        <v>15</v>
      </c>
      <c r="V36" s="72">
        <f t="shared" si="2"/>
        <v>15</v>
      </c>
      <c r="W36" s="201">
        <v>39814172000</v>
      </c>
      <c r="X36" s="294">
        <v>7622761000</v>
      </c>
      <c r="Y36" s="201">
        <v>5383000000</v>
      </c>
      <c r="Z36" s="117"/>
      <c r="AA36" s="74"/>
      <c r="AB36" s="75">
        <f t="shared" si="3"/>
        <v>25.61</v>
      </c>
      <c r="AC36" s="72">
        <f t="shared" si="4"/>
        <v>13</v>
      </c>
      <c r="AD36" s="124">
        <v>2</v>
      </c>
      <c r="AE36" s="71">
        <f t="shared" si="5"/>
        <v>15</v>
      </c>
      <c r="AF36" s="76"/>
      <c r="AG36" s="54">
        <v>0.68</v>
      </c>
      <c r="AH36" s="77">
        <f t="shared" si="6"/>
        <v>30</v>
      </c>
      <c r="AI36" s="56">
        <v>10</v>
      </c>
      <c r="AJ36" s="56">
        <v>10</v>
      </c>
      <c r="AK36" s="56">
        <v>45</v>
      </c>
      <c r="AL36" s="57">
        <f t="shared" si="7"/>
        <v>95.68</v>
      </c>
      <c r="AM36" s="55">
        <f t="shared" si="8"/>
        <v>95</v>
      </c>
      <c r="AN36" s="78">
        <f t="shared" si="9"/>
        <v>0.95499999999999996</v>
      </c>
      <c r="AO36" s="79"/>
      <c r="AP36" s="80">
        <f t="shared" si="10"/>
        <v>1</v>
      </c>
      <c r="AQ36" s="80">
        <f t="shared" si="10"/>
        <v>2</v>
      </c>
      <c r="AR36" s="61"/>
      <c r="AS36" s="289"/>
      <c r="AT36" s="81"/>
      <c r="AU36" s="81"/>
      <c r="AV36" s="81"/>
      <c r="AW36" s="81"/>
      <c r="AX36" s="82"/>
      <c r="AY36" s="83">
        <f t="shared" si="11"/>
        <v>0</v>
      </c>
      <c r="AZ36" s="83">
        <f t="shared" si="12"/>
        <v>0</v>
      </c>
    </row>
    <row r="37" spans="1:52" s="66" customFormat="1" ht="39.75" customHeight="1" thickBot="1" x14ac:dyDescent="0.2">
      <c r="A37" s="96">
        <v>23</v>
      </c>
      <c r="B37" s="91"/>
      <c r="C37" s="313" t="s">
        <v>236</v>
      </c>
      <c r="D37" s="246" t="s">
        <v>385</v>
      </c>
      <c r="E37" s="134" t="s">
        <v>391</v>
      </c>
      <c r="F37" s="131"/>
      <c r="H37" s="207"/>
      <c r="I37" s="290">
        <v>0.6</v>
      </c>
      <c r="J37" s="312">
        <v>0.2</v>
      </c>
      <c r="K37" s="41">
        <v>0.2</v>
      </c>
      <c r="L37" s="42"/>
      <c r="M37" s="68"/>
      <c r="N37" s="69">
        <f t="shared" si="0"/>
        <v>1</v>
      </c>
      <c r="O37" s="125">
        <v>1</v>
      </c>
      <c r="P37" s="273">
        <v>15</v>
      </c>
      <c r="Q37" s="113">
        <v>15</v>
      </c>
      <c r="R37" s="113">
        <v>15</v>
      </c>
      <c r="S37" s="113"/>
      <c r="T37" s="70"/>
      <c r="U37" s="71">
        <f t="shared" si="1"/>
        <v>15</v>
      </c>
      <c r="V37" s="72">
        <f t="shared" si="2"/>
        <v>15</v>
      </c>
      <c r="W37" s="294">
        <v>29846687000</v>
      </c>
      <c r="X37" s="230">
        <v>2636399000</v>
      </c>
      <c r="Y37" s="253">
        <v>2284052000</v>
      </c>
      <c r="Z37" s="201"/>
      <c r="AA37" s="74"/>
      <c r="AB37" s="75">
        <f t="shared" si="3"/>
        <v>19.37</v>
      </c>
      <c r="AC37" s="72">
        <f t="shared" si="4"/>
        <v>13</v>
      </c>
      <c r="AD37" s="124">
        <v>2</v>
      </c>
      <c r="AE37" s="71">
        <f t="shared" si="5"/>
        <v>15</v>
      </c>
      <c r="AF37" s="76"/>
      <c r="AG37" s="54">
        <v>0.68</v>
      </c>
      <c r="AH37" s="77">
        <f t="shared" si="6"/>
        <v>30</v>
      </c>
      <c r="AI37" s="56">
        <v>10</v>
      </c>
      <c r="AJ37" s="56">
        <v>10</v>
      </c>
      <c r="AK37" s="56">
        <v>45</v>
      </c>
      <c r="AL37" s="57">
        <f t="shared" si="7"/>
        <v>95.68</v>
      </c>
      <c r="AM37" s="55">
        <f t="shared" si="8"/>
        <v>95</v>
      </c>
      <c r="AN37" s="78">
        <f t="shared" si="9"/>
        <v>0.95499999999999996</v>
      </c>
      <c r="AO37" s="79"/>
      <c r="AP37" s="80">
        <f t="shared" si="10"/>
        <v>1</v>
      </c>
      <c r="AQ37" s="80">
        <f t="shared" si="10"/>
        <v>2</v>
      </c>
      <c r="AR37" s="277"/>
      <c r="AS37" s="62"/>
      <c r="AT37" s="81"/>
      <c r="AU37" s="81"/>
      <c r="AV37" s="81"/>
      <c r="AW37" s="81"/>
      <c r="AX37" s="82"/>
      <c r="AY37" s="83">
        <f t="shared" si="11"/>
        <v>0</v>
      </c>
      <c r="AZ37" s="83">
        <f t="shared" si="12"/>
        <v>0</v>
      </c>
    </row>
    <row r="38" spans="1:52" s="66" customFormat="1" ht="21" customHeight="1" thickBot="1" x14ac:dyDescent="0.2">
      <c r="A38" s="96"/>
      <c r="B38" s="91"/>
      <c r="C38" s="352" t="s">
        <v>3</v>
      </c>
      <c r="D38" s="353"/>
      <c r="E38" s="353"/>
      <c r="F38" s="353"/>
      <c r="G38" s="354"/>
      <c r="H38" s="195"/>
      <c r="I38" s="276">
        <v>85</v>
      </c>
      <c r="J38" s="84">
        <v>85</v>
      </c>
      <c r="K38" s="84">
        <v>85</v>
      </c>
      <c r="L38" s="84">
        <v>85</v>
      </c>
      <c r="M38" s="84"/>
      <c r="N38" s="168">
        <f>I38*I37+J38*J37+K38*K37+L38*L37+M38*M37</f>
        <v>85</v>
      </c>
      <c r="O38" s="44"/>
      <c r="P38" s="45"/>
      <c r="Q38" s="46"/>
      <c r="R38" s="46"/>
      <c r="S38" s="47"/>
      <c r="T38" s="70"/>
      <c r="U38" s="71"/>
      <c r="V38" s="72"/>
      <c r="W38" s="150"/>
      <c r="X38" s="85"/>
      <c r="Y38" s="151"/>
      <c r="Z38" s="85"/>
      <c r="AA38" s="74"/>
      <c r="AB38" s="75"/>
      <c r="AC38" s="72"/>
      <c r="AD38" s="71"/>
      <c r="AE38" s="71"/>
      <c r="AF38" s="152"/>
      <c r="AG38" s="86"/>
      <c r="AH38" s="77"/>
      <c r="AI38" s="87"/>
      <c r="AJ38" s="46"/>
      <c r="AK38" s="77"/>
      <c r="AL38" s="78"/>
      <c r="AM38" s="79"/>
      <c r="AN38" s="80"/>
      <c r="AO38" s="80"/>
      <c r="AP38" s="61"/>
      <c r="AQ38" s="62"/>
      <c r="AR38" s="81"/>
      <c r="AS38" s="81"/>
      <c r="AT38" s="81"/>
      <c r="AU38" s="81"/>
      <c r="AV38" s="82"/>
      <c r="AW38" s="83"/>
      <c r="AX38" s="83"/>
      <c r="AZ38" s="66">
        <f t="shared" si="12"/>
        <v>0</v>
      </c>
    </row>
    <row r="39" spans="1:52" s="66" customFormat="1" ht="39.75" customHeight="1" thickBot="1" x14ac:dyDescent="0.2">
      <c r="A39" s="96">
        <v>24</v>
      </c>
      <c r="B39" s="108"/>
      <c r="C39" s="105" t="s">
        <v>237</v>
      </c>
      <c r="D39" s="134" t="s">
        <v>388</v>
      </c>
      <c r="E39" s="122" t="s">
        <v>370</v>
      </c>
      <c r="F39" s="122"/>
      <c r="G39" s="170"/>
      <c r="H39" s="207"/>
      <c r="I39" s="92">
        <v>0.55000000000000004</v>
      </c>
      <c r="J39" s="252">
        <v>0.35</v>
      </c>
      <c r="K39" s="41">
        <v>0.1</v>
      </c>
      <c r="L39" s="88"/>
      <c r="M39" s="147"/>
      <c r="N39" s="94">
        <f t="shared" si="0"/>
        <v>1</v>
      </c>
      <c r="O39" s="125">
        <v>1</v>
      </c>
      <c r="P39" s="112">
        <v>15</v>
      </c>
      <c r="Q39" s="113">
        <v>15</v>
      </c>
      <c r="R39" s="113">
        <v>15</v>
      </c>
      <c r="S39" s="120"/>
      <c r="T39" s="70"/>
      <c r="U39" s="71">
        <f t="shared" si="1"/>
        <v>15</v>
      </c>
      <c r="V39" s="72">
        <f t="shared" si="2"/>
        <v>15</v>
      </c>
      <c r="W39" s="201">
        <v>21781049000</v>
      </c>
      <c r="X39" s="201">
        <v>4514271000</v>
      </c>
      <c r="Y39" s="201">
        <v>3815383000</v>
      </c>
      <c r="Z39" s="201"/>
      <c r="AA39" s="74"/>
      <c r="AB39" s="75">
        <f t="shared" si="3"/>
        <v>14.3</v>
      </c>
      <c r="AC39" s="72">
        <f t="shared" si="4"/>
        <v>13</v>
      </c>
      <c r="AD39" s="124">
        <v>2</v>
      </c>
      <c r="AE39" s="71">
        <f t="shared" si="5"/>
        <v>15</v>
      </c>
      <c r="AF39" s="76"/>
      <c r="AG39" s="54">
        <v>0.68</v>
      </c>
      <c r="AH39" s="77">
        <f t="shared" si="6"/>
        <v>30</v>
      </c>
      <c r="AI39" s="56">
        <v>10</v>
      </c>
      <c r="AJ39" s="56">
        <v>10</v>
      </c>
      <c r="AK39" s="56">
        <v>45</v>
      </c>
      <c r="AL39" s="57">
        <f t="shared" si="7"/>
        <v>95.68</v>
      </c>
      <c r="AM39" s="55">
        <f t="shared" si="8"/>
        <v>95</v>
      </c>
      <c r="AN39" s="78">
        <f t="shared" si="9"/>
        <v>0.95499999999999996</v>
      </c>
      <c r="AO39" s="79"/>
      <c r="AP39" s="80">
        <f t="shared" si="10"/>
        <v>1</v>
      </c>
      <c r="AQ39" s="80">
        <f t="shared" si="10"/>
        <v>2</v>
      </c>
      <c r="AR39" s="61"/>
      <c r="AS39" s="62"/>
      <c r="AT39" s="81"/>
      <c r="AU39" s="81"/>
      <c r="AV39" s="81"/>
      <c r="AW39" s="81"/>
      <c r="AX39" s="82"/>
      <c r="AY39" s="83">
        <f t="shared" si="11"/>
        <v>0</v>
      </c>
      <c r="AZ39" s="83">
        <f t="shared" si="12"/>
        <v>0</v>
      </c>
    </row>
    <row r="40" spans="1:52" s="66" customFormat="1" ht="39.75" customHeight="1" thickBot="1" x14ac:dyDescent="0.2">
      <c r="A40" s="96">
        <v>25</v>
      </c>
      <c r="B40" s="108"/>
      <c r="C40" s="131" t="s">
        <v>382</v>
      </c>
      <c r="D40" s="246" t="s">
        <v>389</v>
      </c>
      <c r="E40" s="192" t="s">
        <v>390</v>
      </c>
      <c r="F40" s="131"/>
      <c r="G40" s="170"/>
      <c r="H40" s="207"/>
      <c r="I40" s="92">
        <v>0.6</v>
      </c>
      <c r="J40" s="252">
        <v>0.16</v>
      </c>
      <c r="K40" s="41">
        <v>0.24</v>
      </c>
      <c r="L40" s="42"/>
      <c r="M40" s="147"/>
      <c r="N40" s="94">
        <f t="shared" si="0"/>
        <v>1</v>
      </c>
      <c r="O40" s="125">
        <v>1</v>
      </c>
      <c r="P40" s="112">
        <v>15</v>
      </c>
      <c r="Q40" s="113">
        <v>15</v>
      </c>
      <c r="R40" s="114">
        <v>15</v>
      </c>
      <c r="S40" s="120"/>
      <c r="T40" s="70"/>
      <c r="U40" s="71">
        <f t="shared" si="1"/>
        <v>15</v>
      </c>
      <c r="V40" s="72">
        <f t="shared" si="2"/>
        <v>15</v>
      </c>
      <c r="W40" s="200">
        <v>25680345000</v>
      </c>
      <c r="X40" s="205">
        <v>2294586000</v>
      </c>
      <c r="Y40" s="201">
        <v>4319931000</v>
      </c>
      <c r="Z40" s="201"/>
      <c r="AA40" s="74"/>
      <c r="AB40" s="75">
        <f t="shared" si="3"/>
        <v>17.29</v>
      </c>
      <c r="AC40" s="72">
        <f t="shared" si="4"/>
        <v>13</v>
      </c>
      <c r="AD40" s="124">
        <v>2</v>
      </c>
      <c r="AE40" s="71">
        <f t="shared" si="5"/>
        <v>15</v>
      </c>
      <c r="AF40" s="76"/>
      <c r="AG40" s="54">
        <v>0.68</v>
      </c>
      <c r="AH40" s="77">
        <f t="shared" si="6"/>
        <v>30</v>
      </c>
      <c r="AI40" s="56">
        <v>10</v>
      </c>
      <c r="AJ40" s="56">
        <v>10</v>
      </c>
      <c r="AK40" s="56">
        <v>45</v>
      </c>
      <c r="AL40" s="57">
        <f t="shared" si="7"/>
        <v>95.68</v>
      </c>
      <c r="AM40" s="55">
        <f t="shared" si="8"/>
        <v>95</v>
      </c>
      <c r="AN40" s="78">
        <f t="shared" si="9"/>
        <v>0.95499999999999996</v>
      </c>
      <c r="AO40" s="79"/>
      <c r="AP40" s="80">
        <f t="shared" si="10"/>
        <v>1</v>
      </c>
      <c r="AQ40" s="80">
        <f t="shared" si="10"/>
        <v>2</v>
      </c>
      <c r="AR40" s="61"/>
      <c r="AS40" s="62"/>
      <c r="AT40" s="81"/>
      <c r="AU40" s="81"/>
      <c r="AV40" s="81"/>
      <c r="AW40" s="81"/>
      <c r="AX40" s="82"/>
      <c r="AY40" s="83">
        <f t="shared" si="11"/>
        <v>0</v>
      </c>
      <c r="AZ40" s="83">
        <f t="shared" si="12"/>
        <v>0</v>
      </c>
    </row>
    <row r="41" spans="1:52" s="66" customFormat="1" ht="39.75" customHeight="1" thickBot="1" x14ac:dyDescent="0.2">
      <c r="A41" s="96">
        <v>26</v>
      </c>
      <c r="B41" s="108"/>
      <c r="C41" s="105" t="s">
        <v>383</v>
      </c>
      <c r="D41" s="246" t="s">
        <v>242</v>
      </c>
      <c r="E41" s="105"/>
      <c r="F41" s="105"/>
      <c r="G41" s="97"/>
      <c r="H41" s="207"/>
      <c r="I41" s="92">
        <v>0.51</v>
      </c>
      <c r="J41" s="252">
        <v>0.49</v>
      </c>
      <c r="K41" s="41"/>
      <c r="L41" s="42"/>
      <c r="M41" s="147"/>
      <c r="N41" s="69">
        <f t="shared" si="0"/>
        <v>1</v>
      </c>
      <c r="O41" s="125">
        <v>1</v>
      </c>
      <c r="P41" s="112">
        <v>15</v>
      </c>
      <c r="Q41" s="113">
        <v>15</v>
      </c>
      <c r="R41" s="113"/>
      <c r="S41" s="114"/>
      <c r="T41" s="70"/>
      <c r="U41" s="71">
        <f t="shared" si="1"/>
        <v>15</v>
      </c>
      <c r="V41" s="72">
        <f t="shared" si="2"/>
        <v>15</v>
      </c>
      <c r="W41" s="201">
        <v>19760143000</v>
      </c>
      <c r="X41" s="230">
        <v>7692652000</v>
      </c>
      <c r="Y41" s="85"/>
      <c r="Z41" s="85"/>
      <c r="AA41" s="74"/>
      <c r="AB41" s="75">
        <f t="shared" si="3"/>
        <v>14.170000000000002</v>
      </c>
      <c r="AC41" s="72">
        <f t="shared" si="4"/>
        <v>13</v>
      </c>
      <c r="AD41" s="124">
        <v>2</v>
      </c>
      <c r="AE41" s="71">
        <f t="shared" si="5"/>
        <v>15</v>
      </c>
      <c r="AF41" s="76"/>
      <c r="AG41" s="54">
        <v>0.68</v>
      </c>
      <c r="AH41" s="77">
        <f t="shared" si="6"/>
        <v>30</v>
      </c>
      <c r="AI41" s="56">
        <v>10</v>
      </c>
      <c r="AJ41" s="56">
        <v>10</v>
      </c>
      <c r="AK41" s="56">
        <v>45</v>
      </c>
      <c r="AL41" s="57">
        <f t="shared" si="7"/>
        <v>95.68</v>
      </c>
      <c r="AM41" s="55">
        <f t="shared" si="8"/>
        <v>95</v>
      </c>
      <c r="AN41" s="78">
        <f t="shared" si="9"/>
        <v>0.95499999999999996</v>
      </c>
      <c r="AO41" s="79"/>
      <c r="AP41" s="80">
        <f t="shared" si="10"/>
        <v>1</v>
      </c>
      <c r="AQ41" s="80">
        <f t="shared" si="10"/>
        <v>2</v>
      </c>
      <c r="AR41" s="61"/>
      <c r="AS41" s="62"/>
      <c r="AT41" s="81"/>
      <c r="AU41" s="81"/>
      <c r="AV41" s="81"/>
      <c r="AW41" s="81"/>
      <c r="AX41" s="82"/>
      <c r="AY41" s="83">
        <f t="shared" si="11"/>
        <v>0</v>
      </c>
      <c r="AZ41" s="83">
        <f t="shared" si="12"/>
        <v>0</v>
      </c>
    </row>
    <row r="42" spans="1:52" s="66" customFormat="1" ht="39.75" customHeight="1" thickBot="1" x14ac:dyDescent="0.2">
      <c r="A42" s="96">
        <v>27</v>
      </c>
      <c r="B42" s="108"/>
      <c r="C42" s="131" t="s">
        <v>402</v>
      </c>
      <c r="D42" s="309" t="s">
        <v>412</v>
      </c>
      <c r="E42" s="105"/>
      <c r="F42" s="105"/>
      <c r="G42" s="97"/>
      <c r="H42" s="207"/>
      <c r="I42" s="92">
        <v>0.51</v>
      </c>
      <c r="J42" s="310">
        <v>0.49</v>
      </c>
      <c r="K42" s="41"/>
      <c r="L42" s="42"/>
      <c r="M42" s="68"/>
      <c r="N42" s="69">
        <f t="shared" si="0"/>
        <v>1</v>
      </c>
      <c r="O42" s="125">
        <v>1</v>
      </c>
      <c r="P42" s="112">
        <v>15</v>
      </c>
      <c r="Q42" s="287">
        <v>15</v>
      </c>
      <c r="R42" s="113"/>
      <c r="S42" s="114"/>
      <c r="T42" s="70"/>
      <c r="U42" s="71">
        <f t="shared" si="1"/>
        <v>15</v>
      </c>
      <c r="V42" s="72">
        <f t="shared" si="2"/>
        <v>15</v>
      </c>
      <c r="W42" s="119">
        <v>10737437000</v>
      </c>
      <c r="X42" s="306">
        <v>15283790000</v>
      </c>
      <c r="Y42" s="201"/>
      <c r="Z42" s="230"/>
      <c r="AA42" s="74"/>
      <c r="AB42" s="75">
        <f t="shared" si="3"/>
        <v>13.26</v>
      </c>
      <c r="AC42" s="72">
        <f t="shared" si="4"/>
        <v>13</v>
      </c>
      <c r="AD42" s="124">
        <v>2</v>
      </c>
      <c r="AE42" s="71">
        <f t="shared" si="5"/>
        <v>15</v>
      </c>
      <c r="AF42" s="76"/>
      <c r="AG42" s="54">
        <v>0.68</v>
      </c>
      <c r="AH42" s="77">
        <f t="shared" si="6"/>
        <v>30</v>
      </c>
      <c r="AI42" s="56">
        <v>10</v>
      </c>
      <c r="AJ42" s="56">
        <v>10</v>
      </c>
      <c r="AK42" s="56">
        <v>45</v>
      </c>
      <c r="AL42" s="57">
        <f t="shared" si="7"/>
        <v>95.68</v>
      </c>
      <c r="AM42" s="55">
        <f t="shared" si="8"/>
        <v>95</v>
      </c>
      <c r="AN42" s="78">
        <f t="shared" si="9"/>
        <v>0.95499999999999996</v>
      </c>
      <c r="AO42" s="79"/>
      <c r="AP42" s="80">
        <f t="shared" si="10"/>
        <v>1</v>
      </c>
      <c r="AQ42" s="80">
        <f t="shared" si="10"/>
        <v>2</v>
      </c>
      <c r="AR42" s="61"/>
      <c r="AS42" s="289"/>
      <c r="AT42" s="81"/>
      <c r="AU42" s="81"/>
      <c r="AV42" s="81"/>
      <c r="AW42" s="81"/>
      <c r="AX42" s="82"/>
      <c r="AY42" s="83">
        <f t="shared" si="11"/>
        <v>0</v>
      </c>
      <c r="AZ42" s="83">
        <f t="shared" si="12"/>
        <v>0</v>
      </c>
    </row>
    <row r="43" spans="1:52" s="66" customFormat="1" ht="39.75" customHeight="1" thickBot="1" x14ac:dyDescent="0.2">
      <c r="A43" s="96">
        <v>28</v>
      </c>
      <c r="B43" s="108"/>
      <c r="C43" s="130" t="s">
        <v>381</v>
      </c>
      <c r="D43" s="131" t="s">
        <v>233</v>
      </c>
      <c r="E43" s="131"/>
      <c r="F43" s="105"/>
      <c r="G43" s="170"/>
      <c r="H43" s="207"/>
      <c r="I43" s="92">
        <v>0.51</v>
      </c>
      <c r="J43" s="310">
        <v>0.49</v>
      </c>
      <c r="K43" s="41"/>
      <c r="L43" s="42"/>
      <c r="M43" s="68"/>
      <c r="N43" s="94">
        <f t="shared" si="0"/>
        <v>1</v>
      </c>
      <c r="O43" s="125">
        <v>1</v>
      </c>
      <c r="P43" s="112">
        <v>15</v>
      </c>
      <c r="Q43" s="113">
        <v>15</v>
      </c>
      <c r="R43" s="113">
        <v>15</v>
      </c>
      <c r="S43" s="114"/>
      <c r="T43" s="70"/>
      <c r="U43" s="71">
        <f t="shared" si="1"/>
        <v>15</v>
      </c>
      <c r="V43" s="72">
        <f t="shared" si="2"/>
        <v>15</v>
      </c>
      <c r="W43" s="201">
        <v>7882757000</v>
      </c>
      <c r="X43" s="99">
        <v>58909982000</v>
      </c>
      <c r="Y43" s="201"/>
      <c r="Z43" s="201"/>
      <c r="AA43" s="74"/>
      <c r="AB43" s="75">
        <f t="shared" si="3"/>
        <v>33.800000000000004</v>
      </c>
      <c r="AC43" s="72">
        <f t="shared" si="4"/>
        <v>13</v>
      </c>
      <c r="AD43" s="124">
        <v>2</v>
      </c>
      <c r="AE43" s="71">
        <f t="shared" si="5"/>
        <v>15</v>
      </c>
      <c r="AF43" s="53"/>
      <c r="AG43" s="54">
        <v>0.68</v>
      </c>
      <c r="AH43" s="77">
        <f t="shared" si="6"/>
        <v>30</v>
      </c>
      <c r="AI43" s="56">
        <v>10</v>
      </c>
      <c r="AJ43" s="56">
        <v>10</v>
      </c>
      <c r="AK43" s="56">
        <v>45</v>
      </c>
      <c r="AL43" s="57">
        <f t="shared" si="7"/>
        <v>95.68</v>
      </c>
      <c r="AM43" s="55">
        <f t="shared" si="8"/>
        <v>95</v>
      </c>
      <c r="AN43" s="78">
        <f t="shared" si="9"/>
        <v>0.95499999999999996</v>
      </c>
      <c r="AO43" s="79"/>
      <c r="AP43" s="80">
        <f t="shared" si="10"/>
        <v>1</v>
      </c>
      <c r="AQ43" s="80">
        <f t="shared" si="10"/>
        <v>2</v>
      </c>
      <c r="AR43" s="61"/>
      <c r="AS43" s="62"/>
      <c r="AT43" s="81"/>
      <c r="AU43" s="81"/>
      <c r="AV43" s="81"/>
      <c r="AW43" s="81"/>
      <c r="AX43" s="82"/>
      <c r="AY43" s="83">
        <f t="shared" si="11"/>
        <v>0</v>
      </c>
      <c r="AZ43" s="83">
        <f t="shared" si="12"/>
        <v>0</v>
      </c>
    </row>
    <row r="44" spans="1:52" s="66" customFormat="1" ht="39.75" customHeight="1" thickBot="1" x14ac:dyDescent="0.2">
      <c r="A44" s="96">
        <v>29</v>
      </c>
      <c r="B44" s="108"/>
      <c r="C44" s="281" t="s">
        <v>311</v>
      </c>
      <c r="D44" s="134" t="s">
        <v>380</v>
      </c>
      <c r="E44" s="134" t="s">
        <v>387</v>
      </c>
      <c r="F44" s="131" t="s">
        <v>392</v>
      </c>
      <c r="G44" s="170"/>
      <c r="H44" s="207"/>
      <c r="I44" s="92">
        <v>0.28000000000000003</v>
      </c>
      <c r="J44" s="41">
        <v>0.21</v>
      </c>
      <c r="K44" s="41">
        <v>0.25</v>
      </c>
      <c r="L44" s="42">
        <v>0.26</v>
      </c>
      <c r="M44" s="68"/>
      <c r="N44" s="69">
        <f t="shared" si="0"/>
        <v>1</v>
      </c>
      <c r="O44" s="125">
        <v>1</v>
      </c>
      <c r="P44" s="112">
        <v>15</v>
      </c>
      <c r="Q44" s="113">
        <v>15</v>
      </c>
      <c r="R44" s="113">
        <v>15</v>
      </c>
      <c r="S44" s="113">
        <v>15</v>
      </c>
      <c r="T44" s="70"/>
      <c r="U44" s="71">
        <f t="shared" si="1"/>
        <v>15</v>
      </c>
      <c r="V44" s="72">
        <f t="shared" si="2"/>
        <v>15</v>
      </c>
      <c r="W44" s="201">
        <v>3664456000</v>
      </c>
      <c r="X44" s="205">
        <v>3231169000</v>
      </c>
      <c r="Y44" s="201">
        <v>1283707000</v>
      </c>
      <c r="Z44" s="201">
        <v>80267427000</v>
      </c>
      <c r="AA44" s="74"/>
      <c r="AB44" s="75">
        <f t="shared" si="3"/>
        <v>23.53</v>
      </c>
      <c r="AC44" s="72">
        <f t="shared" si="4"/>
        <v>13</v>
      </c>
      <c r="AD44" s="124">
        <v>2</v>
      </c>
      <c r="AE44" s="71">
        <f t="shared" si="5"/>
        <v>15</v>
      </c>
      <c r="AF44" s="76"/>
      <c r="AG44" s="54">
        <v>0.68</v>
      </c>
      <c r="AH44" s="77">
        <f t="shared" si="6"/>
        <v>30</v>
      </c>
      <c r="AI44" s="56">
        <v>10</v>
      </c>
      <c r="AJ44" s="56">
        <v>10</v>
      </c>
      <c r="AK44" s="56">
        <v>45</v>
      </c>
      <c r="AL44" s="57">
        <f t="shared" si="7"/>
        <v>95.68</v>
      </c>
      <c r="AM44" s="55">
        <f t="shared" si="8"/>
        <v>95</v>
      </c>
      <c r="AN44" s="78">
        <f t="shared" si="9"/>
        <v>0.95499999999999996</v>
      </c>
      <c r="AO44" s="79"/>
      <c r="AP44" s="80">
        <f t="shared" si="10"/>
        <v>1</v>
      </c>
      <c r="AQ44" s="80">
        <f t="shared" si="10"/>
        <v>2</v>
      </c>
      <c r="AR44" s="61"/>
      <c r="AS44" s="62"/>
      <c r="AT44" s="81"/>
      <c r="AU44" s="81"/>
      <c r="AV44" s="81"/>
      <c r="AW44" s="81"/>
      <c r="AX44" s="82"/>
      <c r="AY44" s="83">
        <f t="shared" si="11"/>
        <v>0</v>
      </c>
      <c r="AZ44" s="83">
        <f t="shared" si="12"/>
        <v>0</v>
      </c>
    </row>
    <row r="45" spans="1:52" s="66" customFormat="1" ht="39.75" customHeight="1" thickBot="1" x14ac:dyDescent="0.2">
      <c r="A45" s="96"/>
      <c r="B45" s="108"/>
      <c r="C45" s="131" t="s">
        <v>415</v>
      </c>
      <c r="D45" s="108"/>
      <c r="E45" s="108"/>
      <c r="F45" s="131"/>
      <c r="G45" s="170"/>
      <c r="H45" s="207"/>
      <c r="I45" s="92">
        <v>0.7</v>
      </c>
      <c r="J45" s="41">
        <v>0.27</v>
      </c>
      <c r="K45" s="41"/>
      <c r="L45" s="42"/>
      <c r="M45" s="147"/>
      <c r="N45" s="94">
        <f t="shared" si="0"/>
        <v>0.97</v>
      </c>
      <c r="O45" s="125">
        <v>1</v>
      </c>
      <c r="P45" s="112">
        <v>15</v>
      </c>
      <c r="Q45" s="113">
        <v>15</v>
      </c>
      <c r="R45" s="114"/>
      <c r="S45" s="120"/>
      <c r="T45" s="70"/>
      <c r="U45" s="71">
        <f t="shared" si="1"/>
        <v>14.55</v>
      </c>
      <c r="V45" s="72">
        <f t="shared" si="2"/>
        <v>14.55</v>
      </c>
      <c r="W45" s="231">
        <v>19971414000</v>
      </c>
      <c r="X45" s="201"/>
      <c r="Y45" s="231"/>
      <c r="Z45" s="231"/>
      <c r="AA45" s="74"/>
      <c r="AB45" s="75">
        <f t="shared" si="3"/>
        <v>14.3</v>
      </c>
      <c r="AC45" s="72">
        <f t="shared" si="4"/>
        <v>13</v>
      </c>
      <c r="AD45" s="124">
        <v>2</v>
      </c>
      <c r="AE45" s="71">
        <f t="shared" si="5"/>
        <v>15</v>
      </c>
      <c r="AF45" s="76"/>
      <c r="AG45" s="54">
        <v>0.68</v>
      </c>
      <c r="AH45" s="77">
        <f t="shared" si="6"/>
        <v>29.55</v>
      </c>
      <c r="AI45" s="56">
        <v>10</v>
      </c>
      <c r="AJ45" s="56">
        <v>10</v>
      </c>
      <c r="AK45" s="56">
        <v>45</v>
      </c>
      <c r="AL45" s="57">
        <f t="shared" si="7"/>
        <v>95.23</v>
      </c>
      <c r="AM45" s="55">
        <f t="shared" si="8"/>
        <v>95</v>
      </c>
      <c r="AN45" s="78">
        <f t="shared" si="9"/>
        <v>0.95724999999999993</v>
      </c>
      <c r="AO45" s="79"/>
      <c r="AP45" s="80">
        <f t="shared" si="10"/>
        <v>1</v>
      </c>
      <c r="AQ45" s="80">
        <f t="shared" si="10"/>
        <v>2</v>
      </c>
      <c r="AR45" s="61"/>
      <c r="AS45" s="62"/>
      <c r="AT45" s="81"/>
      <c r="AU45" s="81"/>
      <c r="AV45" s="81"/>
      <c r="AW45" s="81"/>
      <c r="AX45" s="82"/>
      <c r="AY45" s="83">
        <f t="shared" si="11"/>
        <v>0</v>
      </c>
      <c r="AZ45" s="83">
        <f t="shared" si="12"/>
        <v>0</v>
      </c>
    </row>
    <row r="46" spans="1:52" s="66" customFormat="1" ht="21" customHeight="1" thickBot="1" x14ac:dyDescent="0.2">
      <c r="A46" s="96"/>
      <c r="B46" s="91"/>
      <c r="C46" s="352" t="s">
        <v>3</v>
      </c>
      <c r="D46" s="353"/>
      <c r="E46" s="353"/>
      <c r="F46" s="353"/>
      <c r="G46" s="354"/>
      <c r="H46" s="195"/>
      <c r="I46" s="167">
        <v>89.67</v>
      </c>
      <c r="J46" s="84">
        <v>85</v>
      </c>
      <c r="K46" s="84">
        <v>85</v>
      </c>
      <c r="L46" s="84">
        <v>85</v>
      </c>
      <c r="M46" s="84"/>
      <c r="N46" s="168">
        <f>I46*I45+J46*J45+K46*K45+L46*L45+M46*M45</f>
        <v>85.718999999999994</v>
      </c>
      <c r="O46" s="44"/>
      <c r="P46" s="45"/>
      <c r="Q46" s="46"/>
      <c r="R46" s="46"/>
      <c r="S46" s="47"/>
      <c r="T46" s="70"/>
      <c r="U46" s="71"/>
      <c r="V46" s="72"/>
      <c r="W46" s="150"/>
      <c r="X46" s="85"/>
      <c r="Y46" s="151"/>
      <c r="Z46" s="85"/>
      <c r="AA46" s="74"/>
      <c r="AB46" s="75"/>
      <c r="AC46" s="72"/>
      <c r="AD46" s="71"/>
      <c r="AE46" s="71"/>
      <c r="AF46" s="152"/>
      <c r="AG46" s="86"/>
      <c r="AH46" s="77"/>
      <c r="AI46" s="87"/>
      <c r="AJ46" s="46"/>
      <c r="AK46" s="77"/>
      <c r="AL46" s="78"/>
      <c r="AM46" s="79"/>
      <c r="AN46" s="80"/>
      <c r="AO46" s="80"/>
      <c r="AP46" s="61"/>
      <c r="AQ46" s="62"/>
      <c r="AR46" s="81"/>
      <c r="AS46" s="81"/>
      <c r="AT46" s="81"/>
      <c r="AU46" s="81"/>
      <c r="AV46" s="82"/>
      <c r="AW46" s="83"/>
      <c r="AX46" s="83"/>
      <c r="AZ46" s="66">
        <f t="shared" ref="AZ46" si="28">(AT46*I46)+(AU46*J46)+(AV46*K46)+(AW46*L46)+(AX46*M46)</f>
        <v>0</v>
      </c>
    </row>
    <row r="47" spans="1:52" s="66" customFormat="1" ht="39.75" customHeight="1" thickBot="1" x14ac:dyDescent="0.2">
      <c r="A47" s="96"/>
      <c r="B47" s="108"/>
      <c r="C47" s="131" t="s">
        <v>416</v>
      </c>
      <c r="D47" s="108"/>
      <c r="E47" s="108"/>
      <c r="F47" s="122"/>
      <c r="G47" s="170"/>
      <c r="H47" s="207"/>
      <c r="I47" s="92">
        <v>0.51</v>
      </c>
      <c r="J47" s="41">
        <v>0.49</v>
      </c>
      <c r="K47" s="41"/>
      <c r="L47" s="42"/>
      <c r="M47" s="147"/>
      <c r="N47" s="69">
        <f t="shared" ref="N47:N56" si="29">SUM(I47:M47)</f>
        <v>1</v>
      </c>
      <c r="O47" s="125">
        <v>1</v>
      </c>
      <c r="P47" s="112">
        <v>15</v>
      </c>
      <c r="Q47" s="113">
        <v>15</v>
      </c>
      <c r="R47" s="113">
        <v>15</v>
      </c>
      <c r="S47" s="114"/>
      <c r="T47" s="70"/>
      <c r="U47" s="71">
        <f t="shared" si="1"/>
        <v>15</v>
      </c>
      <c r="V47" s="72">
        <f t="shared" si="2"/>
        <v>15</v>
      </c>
      <c r="W47" s="201"/>
      <c r="X47" s="201"/>
      <c r="Y47" s="117"/>
      <c r="Z47" s="201"/>
      <c r="AA47" s="74"/>
      <c r="AB47" s="75">
        <f t="shared" si="3"/>
        <v>0</v>
      </c>
      <c r="AC47" s="72">
        <f t="shared" si="4"/>
        <v>0</v>
      </c>
      <c r="AD47" s="124">
        <v>2</v>
      </c>
      <c r="AE47" s="71">
        <f t="shared" si="5"/>
        <v>2</v>
      </c>
      <c r="AF47" s="53"/>
      <c r="AG47" s="54">
        <v>0.68</v>
      </c>
      <c r="AH47" s="77">
        <f t="shared" si="6"/>
        <v>17</v>
      </c>
      <c r="AI47" s="56">
        <v>10</v>
      </c>
      <c r="AJ47" s="56">
        <v>10</v>
      </c>
      <c r="AK47" s="56">
        <v>45</v>
      </c>
      <c r="AL47" s="57">
        <f t="shared" si="7"/>
        <v>82.68</v>
      </c>
      <c r="AM47" s="55">
        <f t="shared" si="8"/>
        <v>82.68</v>
      </c>
      <c r="AN47" s="78">
        <f t="shared" si="9"/>
        <v>1.02</v>
      </c>
      <c r="AO47" s="79"/>
      <c r="AP47" s="80">
        <f t="shared" si="10"/>
        <v>1</v>
      </c>
      <c r="AQ47" s="80">
        <f t="shared" si="10"/>
        <v>2</v>
      </c>
      <c r="AR47" s="61"/>
      <c r="AS47" s="62"/>
      <c r="AT47" s="81"/>
      <c r="AU47" s="81"/>
      <c r="AV47" s="81"/>
      <c r="AW47" s="81"/>
      <c r="AX47" s="82"/>
      <c r="AY47" s="83">
        <f t="shared" si="11"/>
        <v>0</v>
      </c>
      <c r="AZ47" s="83">
        <f t="shared" si="12"/>
        <v>0</v>
      </c>
    </row>
    <row r="48" spans="1:52" s="66" customFormat="1" ht="39.75" customHeight="1" thickBot="1" x14ac:dyDescent="0.2">
      <c r="A48" s="96"/>
      <c r="B48" s="108"/>
      <c r="C48" s="131" t="s">
        <v>384</v>
      </c>
      <c r="D48" s="131"/>
      <c r="E48" s="131"/>
      <c r="F48" s="108"/>
      <c r="G48" s="97"/>
      <c r="H48" s="207"/>
      <c r="I48" s="92">
        <v>0.28000000000000003</v>
      </c>
      <c r="J48" s="41">
        <v>0.24</v>
      </c>
      <c r="K48" s="41">
        <v>0.23</v>
      </c>
      <c r="L48" s="42">
        <v>0.25</v>
      </c>
      <c r="M48" s="147"/>
      <c r="N48" s="69">
        <f t="shared" ref="N48:N55" si="30">SUM(I48:M48)</f>
        <v>1</v>
      </c>
      <c r="O48" s="125">
        <v>1</v>
      </c>
      <c r="P48" s="112">
        <v>15</v>
      </c>
      <c r="Q48" s="113">
        <v>15</v>
      </c>
      <c r="R48" s="113"/>
      <c r="S48" s="114"/>
      <c r="T48" s="70"/>
      <c r="U48" s="71">
        <f t="shared" si="1"/>
        <v>7.8</v>
      </c>
      <c r="V48" s="72">
        <f t="shared" si="2"/>
        <v>7.8</v>
      </c>
      <c r="W48" s="201"/>
      <c r="X48" s="117"/>
      <c r="Y48" s="231"/>
      <c r="Z48" s="201"/>
      <c r="AA48" s="74"/>
      <c r="AB48" s="75">
        <f t="shared" si="3"/>
        <v>0</v>
      </c>
      <c r="AC48" s="72">
        <f t="shared" si="4"/>
        <v>0</v>
      </c>
      <c r="AD48" s="124">
        <v>2</v>
      </c>
      <c r="AE48" s="71">
        <f t="shared" si="5"/>
        <v>2</v>
      </c>
      <c r="AF48" s="76"/>
      <c r="AG48" s="54">
        <v>0.68</v>
      </c>
      <c r="AH48" s="77">
        <f t="shared" si="6"/>
        <v>9.8000000000000007</v>
      </c>
      <c r="AI48" s="56">
        <v>10</v>
      </c>
      <c r="AJ48" s="56">
        <v>10</v>
      </c>
      <c r="AK48" s="56">
        <v>45</v>
      </c>
      <c r="AL48" s="57">
        <f t="shared" si="7"/>
        <v>75.48</v>
      </c>
      <c r="AM48" s="55">
        <f t="shared" si="8"/>
        <v>75.48</v>
      </c>
      <c r="AN48" s="78">
        <f t="shared" si="9"/>
        <v>1.056</v>
      </c>
      <c r="AO48" s="79"/>
      <c r="AP48" s="80">
        <f t="shared" si="10"/>
        <v>1</v>
      </c>
      <c r="AQ48" s="80">
        <f t="shared" si="10"/>
        <v>2</v>
      </c>
      <c r="AR48" s="61"/>
      <c r="AS48" s="62"/>
      <c r="AT48" s="81"/>
      <c r="AU48" s="81"/>
      <c r="AV48" s="81"/>
      <c r="AW48" s="81"/>
      <c r="AX48" s="82"/>
      <c r="AY48" s="83">
        <f t="shared" si="11"/>
        <v>0</v>
      </c>
      <c r="AZ48" s="83">
        <f t="shared" si="12"/>
        <v>0</v>
      </c>
    </row>
    <row r="49" spans="1:52" s="66" customFormat="1" ht="39.75" customHeight="1" thickBot="1" x14ac:dyDescent="0.2">
      <c r="A49" s="96"/>
      <c r="B49" s="108"/>
      <c r="C49" s="105"/>
      <c r="D49" s="108"/>
      <c r="E49" s="108"/>
      <c r="F49" s="122"/>
      <c r="G49" s="170"/>
      <c r="H49" s="207"/>
      <c r="I49" s="92">
        <v>0.51</v>
      </c>
      <c r="J49" s="41">
        <v>0.49</v>
      </c>
      <c r="K49" s="41"/>
      <c r="L49" s="42"/>
      <c r="M49" s="68"/>
      <c r="N49" s="94">
        <f t="shared" si="30"/>
        <v>1</v>
      </c>
      <c r="O49" s="125">
        <v>1</v>
      </c>
      <c r="P49" s="244">
        <v>15</v>
      </c>
      <c r="Q49" s="245">
        <v>15</v>
      </c>
      <c r="R49" s="245"/>
      <c r="S49" s="114"/>
      <c r="T49" s="70"/>
      <c r="U49" s="71">
        <f t="shared" si="1"/>
        <v>15</v>
      </c>
      <c r="V49" s="72">
        <f t="shared" si="2"/>
        <v>15</v>
      </c>
      <c r="W49" s="201"/>
      <c r="X49" s="201"/>
      <c r="Y49" s="201"/>
      <c r="Z49" s="253"/>
      <c r="AA49" s="74"/>
      <c r="AB49" s="75">
        <f t="shared" si="3"/>
        <v>0</v>
      </c>
      <c r="AC49" s="72">
        <f t="shared" si="4"/>
        <v>0</v>
      </c>
      <c r="AD49" s="124">
        <v>2</v>
      </c>
      <c r="AE49" s="71">
        <f t="shared" si="5"/>
        <v>2</v>
      </c>
      <c r="AF49" s="76"/>
      <c r="AG49" s="54">
        <v>0.68</v>
      </c>
      <c r="AH49" s="77">
        <f t="shared" si="6"/>
        <v>17</v>
      </c>
      <c r="AI49" s="56">
        <v>10</v>
      </c>
      <c r="AJ49" s="56">
        <v>10</v>
      </c>
      <c r="AK49" s="56">
        <v>45</v>
      </c>
      <c r="AL49" s="57">
        <f t="shared" si="7"/>
        <v>82.68</v>
      </c>
      <c r="AM49" s="55">
        <f t="shared" si="8"/>
        <v>82.68</v>
      </c>
      <c r="AN49" s="78">
        <f t="shared" si="9"/>
        <v>1.02</v>
      </c>
      <c r="AO49" s="79"/>
      <c r="AP49" s="80">
        <f t="shared" si="10"/>
        <v>1</v>
      </c>
      <c r="AQ49" s="80">
        <f t="shared" si="10"/>
        <v>2</v>
      </c>
      <c r="AR49" s="61"/>
      <c r="AS49" s="62"/>
      <c r="AT49" s="81"/>
      <c r="AU49" s="81"/>
      <c r="AV49" s="81"/>
      <c r="AW49" s="81"/>
      <c r="AX49" s="82"/>
      <c r="AY49" s="83">
        <f t="shared" si="11"/>
        <v>0</v>
      </c>
      <c r="AZ49" s="83">
        <f t="shared" si="12"/>
        <v>0</v>
      </c>
    </row>
    <row r="50" spans="1:52" s="66" customFormat="1" ht="39.75" customHeight="1" thickBot="1" x14ac:dyDescent="0.2">
      <c r="A50" s="96"/>
      <c r="B50" s="108"/>
      <c r="C50" s="131" t="s">
        <v>249</v>
      </c>
      <c r="D50" s="108"/>
      <c r="E50" s="108"/>
      <c r="F50" s="105"/>
      <c r="G50" s="170"/>
      <c r="H50" s="207"/>
      <c r="I50" s="92">
        <v>0.51</v>
      </c>
      <c r="J50" s="41">
        <v>0.49</v>
      </c>
      <c r="K50" s="41"/>
      <c r="L50" s="42"/>
      <c r="M50" s="147"/>
      <c r="N50" s="94">
        <f t="shared" si="30"/>
        <v>1</v>
      </c>
      <c r="O50" s="125">
        <v>1</v>
      </c>
      <c r="P50" s="244">
        <v>15</v>
      </c>
      <c r="Q50" s="245">
        <v>15</v>
      </c>
      <c r="R50" s="245">
        <v>15</v>
      </c>
      <c r="S50" s="114"/>
      <c r="T50" s="70"/>
      <c r="U50" s="71">
        <f t="shared" si="1"/>
        <v>15</v>
      </c>
      <c r="V50" s="72">
        <f t="shared" si="2"/>
        <v>15</v>
      </c>
      <c r="W50" s="201"/>
      <c r="X50" s="230"/>
      <c r="Y50" s="85"/>
      <c r="Z50" s="253"/>
      <c r="AA50" s="74"/>
      <c r="AB50" s="75">
        <f t="shared" si="3"/>
        <v>0</v>
      </c>
      <c r="AC50" s="72">
        <f t="shared" si="4"/>
        <v>0</v>
      </c>
      <c r="AD50" s="52">
        <v>2</v>
      </c>
      <c r="AE50" s="71">
        <f t="shared" si="5"/>
        <v>2</v>
      </c>
      <c r="AF50" s="76"/>
      <c r="AG50" s="54">
        <v>0.68</v>
      </c>
      <c r="AH50" s="77">
        <f t="shared" si="6"/>
        <v>17</v>
      </c>
      <c r="AI50" s="56">
        <v>10</v>
      </c>
      <c r="AJ50" s="56">
        <v>10</v>
      </c>
      <c r="AK50" s="56">
        <v>45</v>
      </c>
      <c r="AL50" s="57">
        <f t="shared" si="7"/>
        <v>82.68</v>
      </c>
      <c r="AM50" s="55">
        <f t="shared" si="8"/>
        <v>82.68</v>
      </c>
      <c r="AN50" s="78">
        <f t="shared" si="9"/>
        <v>1.02</v>
      </c>
      <c r="AO50" s="79"/>
      <c r="AP50" s="80">
        <f t="shared" si="10"/>
        <v>1</v>
      </c>
      <c r="AQ50" s="80">
        <f t="shared" si="10"/>
        <v>2</v>
      </c>
      <c r="AR50" s="61"/>
      <c r="AS50" s="62"/>
      <c r="AT50" s="81"/>
      <c r="AU50" s="81"/>
      <c r="AV50" s="81"/>
      <c r="AW50" s="81"/>
      <c r="AX50" s="82"/>
      <c r="AY50" s="83">
        <f t="shared" si="11"/>
        <v>0</v>
      </c>
      <c r="AZ50" s="83">
        <f t="shared" si="12"/>
        <v>0</v>
      </c>
    </row>
    <row r="51" spans="1:52" s="66" customFormat="1" ht="39.75" customHeight="1" thickBot="1" x14ac:dyDescent="0.2">
      <c r="A51" s="96"/>
      <c r="B51" s="108"/>
      <c r="C51" s="105"/>
      <c r="D51" s="122" t="s">
        <v>248</v>
      </c>
      <c r="E51" s="122"/>
      <c r="F51" s="105"/>
      <c r="G51" s="170"/>
      <c r="H51" s="207"/>
      <c r="I51" s="92">
        <v>0.7</v>
      </c>
      <c r="J51" s="41">
        <v>0.3</v>
      </c>
      <c r="K51" s="41"/>
      <c r="L51" s="42"/>
      <c r="M51" s="147"/>
      <c r="N51" s="94">
        <f t="shared" si="30"/>
        <v>1</v>
      </c>
      <c r="O51" s="125">
        <v>1</v>
      </c>
      <c r="P51" s="112">
        <v>15</v>
      </c>
      <c r="Q51" s="113">
        <v>15</v>
      </c>
      <c r="R51" s="245"/>
      <c r="S51" s="120"/>
      <c r="T51" s="70"/>
      <c r="U51" s="71">
        <f t="shared" si="1"/>
        <v>15</v>
      </c>
      <c r="V51" s="72">
        <f t="shared" si="2"/>
        <v>15</v>
      </c>
      <c r="W51" s="200"/>
      <c r="X51" s="205"/>
      <c r="Y51" s="85"/>
      <c r="Z51" s="117"/>
      <c r="AA51" s="74"/>
      <c r="AB51" s="75">
        <f t="shared" si="3"/>
        <v>0</v>
      </c>
      <c r="AC51" s="72">
        <f t="shared" si="4"/>
        <v>0</v>
      </c>
      <c r="AD51" s="124">
        <v>2</v>
      </c>
      <c r="AE51" s="71">
        <f t="shared" si="5"/>
        <v>2</v>
      </c>
      <c r="AF51" s="76"/>
      <c r="AG51" s="54">
        <v>0.68</v>
      </c>
      <c r="AH51" s="77">
        <f t="shared" si="6"/>
        <v>17</v>
      </c>
      <c r="AI51" s="56">
        <v>10</v>
      </c>
      <c r="AJ51" s="56">
        <v>10</v>
      </c>
      <c r="AK51" s="56">
        <v>45</v>
      </c>
      <c r="AL51" s="57">
        <f t="shared" si="7"/>
        <v>82.68</v>
      </c>
      <c r="AM51" s="55">
        <f t="shared" si="8"/>
        <v>82.68</v>
      </c>
      <c r="AN51" s="78">
        <f t="shared" si="9"/>
        <v>1.02</v>
      </c>
      <c r="AO51" s="79"/>
      <c r="AP51" s="80">
        <f t="shared" si="10"/>
        <v>1</v>
      </c>
      <c r="AQ51" s="80">
        <f t="shared" si="10"/>
        <v>2</v>
      </c>
      <c r="AR51" s="61"/>
      <c r="AS51" s="62"/>
      <c r="AT51" s="81"/>
      <c r="AU51" s="81"/>
      <c r="AV51" s="81"/>
      <c r="AW51" s="81"/>
      <c r="AX51" s="82"/>
      <c r="AY51" s="83">
        <f t="shared" si="11"/>
        <v>0</v>
      </c>
      <c r="AZ51" s="83">
        <f t="shared" si="12"/>
        <v>0</v>
      </c>
    </row>
    <row r="52" spans="1:52" s="66" customFormat="1" ht="39.75" customHeight="1" thickBot="1" x14ac:dyDescent="0.2">
      <c r="A52" s="96">
        <v>36</v>
      </c>
      <c r="B52" s="108"/>
      <c r="C52" s="131"/>
      <c r="D52" s="122"/>
      <c r="E52" s="131"/>
      <c r="F52" s="131"/>
      <c r="G52" s="170"/>
      <c r="H52" s="207"/>
      <c r="I52" s="92">
        <v>0.51</v>
      </c>
      <c r="J52" s="41">
        <v>0.49</v>
      </c>
      <c r="K52" s="41"/>
      <c r="L52" s="42"/>
      <c r="M52" s="68"/>
      <c r="N52" s="94">
        <f t="shared" si="30"/>
        <v>1</v>
      </c>
      <c r="O52" s="125">
        <v>1</v>
      </c>
      <c r="P52" s="112">
        <v>15</v>
      </c>
      <c r="Q52" s="113">
        <v>15</v>
      </c>
      <c r="R52" s="113">
        <v>15</v>
      </c>
      <c r="S52" s="114"/>
      <c r="T52" s="70"/>
      <c r="U52" s="71">
        <f t="shared" si="1"/>
        <v>15</v>
      </c>
      <c r="V52" s="72">
        <f t="shared" si="2"/>
        <v>15</v>
      </c>
      <c r="W52" s="206"/>
      <c r="X52" s="201"/>
      <c r="Y52" s="201"/>
      <c r="Z52" s="230"/>
      <c r="AA52" s="74"/>
      <c r="AB52" s="75">
        <f t="shared" si="3"/>
        <v>0</v>
      </c>
      <c r="AC52" s="72">
        <f t="shared" si="4"/>
        <v>0</v>
      </c>
      <c r="AD52" s="124">
        <v>2</v>
      </c>
      <c r="AE52" s="71">
        <f t="shared" si="5"/>
        <v>2</v>
      </c>
      <c r="AF52" s="76">
        <f>0.5*I52</f>
        <v>0.255</v>
      </c>
      <c r="AG52" s="54">
        <v>0.68</v>
      </c>
      <c r="AH52" s="77">
        <f t="shared" si="6"/>
        <v>17.254999999999999</v>
      </c>
      <c r="AI52" s="56">
        <v>10</v>
      </c>
      <c r="AJ52" s="56">
        <v>10</v>
      </c>
      <c r="AK52" s="56">
        <v>45</v>
      </c>
      <c r="AL52" s="57">
        <f t="shared" si="7"/>
        <v>82.935000000000002</v>
      </c>
      <c r="AM52" s="55">
        <f t="shared" si="8"/>
        <v>82.935000000000002</v>
      </c>
      <c r="AN52" s="78">
        <f t="shared" si="9"/>
        <v>1.0187250000000001</v>
      </c>
      <c r="AO52" s="79"/>
      <c r="AP52" s="80">
        <f t="shared" si="10"/>
        <v>1</v>
      </c>
      <c r="AQ52" s="80">
        <f t="shared" si="10"/>
        <v>2</v>
      </c>
      <c r="AR52" s="61"/>
      <c r="AS52" s="62"/>
      <c r="AT52" s="81"/>
      <c r="AU52" s="81"/>
      <c r="AV52" s="81"/>
      <c r="AW52" s="81"/>
      <c r="AX52" s="82"/>
      <c r="AY52" s="83">
        <f t="shared" si="11"/>
        <v>0</v>
      </c>
      <c r="AZ52" s="83">
        <f t="shared" si="12"/>
        <v>0</v>
      </c>
    </row>
    <row r="53" spans="1:52" s="66" customFormat="1" ht="39.75" customHeight="1" thickBot="1" x14ac:dyDescent="0.2">
      <c r="A53" s="96">
        <v>37</v>
      </c>
      <c r="B53" s="108"/>
      <c r="C53" s="131"/>
      <c r="D53" s="122"/>
      <c r="E53" s="122"/>
      <c r="F53" s="131"/>
      <c r="G53" s="170"/>
      <c r="H53" s="207"/>
      <c r="I53" s="41">
        <v>0.55000000000000004</v>
      </c>
      <c r="J53" s="209">
        <v>0.2918</v>
      </c>
      <c r="K53" s="209">
        <v>0.14560000000000001</v>
      </c>
      <c r="L53" s="42"/>
      <c r="M53" s="147"/>
      <c r="N53" s="94">
        <f t="shared" si="30"/>
        <v>0.98740000000000006</v>
      </c>
      <c r="O53" s="125">
        <v>1</v>
      </c>
      <c r="P53" s="112">
        <v>15</v>
      </c>
      <c r="Q53" s="113">
        <v>15</v>
      </c>
      <c r="R53" s="135">
        <v>14.83</v>
      </c>
      <c r="S53" s="114"/>
      <c r="T53" s="70"/>
      <c r="U53" s="71">
        <f t="shared" si="1"/>
        <v>14.79</v>
      </c>
      <c r="V53" s="72">
        <f t="shared" si="2"/>
        <v>14.79</v>
      </c>
      <c r="W53" s="201"/>
      <c r="X53" s="231"/>
      <c r="Y53" s="117"/>
      <c r="Z53" s="201"/>
      <c r="AA53" s="74"/>
      <c r="AB53" s="75">
        <f t="shared" si="3"/>
        <v>0</v>
      </c>
      <c r="AC53" s="72">
        <f t="shared" si="4"/>
        <v>0</v>
      </c>
      <c r="AD53" s="149">
        <v>1.5</v>
      </c>
      <c r="AE53" s="71">
        <f t="shared" si="5"/>
        <v>1.5</v>
      </c>
      <c r="AF53" s="76"/>
      <c r="AG53" s="54">
        <v>0.68</v>
      </c>
      <c r="AH53" s="77">
        <f t="shared" si="6"/>
        <v>16.29</v>
      </c>
      <c r="AI53" s="56">
        <v>10</v>
      </c>
      <c r="AJ53" s="56">
        <v>10</v>
      </c>
      <c r="AK53" s="56">
        <v>45</v>
      </c>
      <c r="AL53" s="57">
        <f t="shared" si="7"/>
        <v>81.97</v>
      </c>
      <c r="AM53" s="55">
        <f t="shared" si="8"/>
        <v>81.97</v>
      </c>
      <c r="AN53" s="78">
        <f t="shared" si="9"/>
        <v>1.02355</v>
      </c>
      <c r="AO53" s="79"/>
      <c r="AP53" s="80">
        <f t="shared" si="10"/>
        <v>1</v>
      </c>
      <c r="AQ53" s="80">
        <f t="shared" si="10"/>
        <v>2</v>
      </c>
      <c r="AR53" s="61"/>
      <c r="AS53" s="62"/>
      <c r="AT53" s="81"/>
      <c r="AU53" s="81"/>
      <c r="AV53" s="81"/>
      <c r="AW53" s="81"/>
      <c r="AX53" s="82"/>
      <c r="AY53" s="83">
        <f t="shared" si="11"/>
        <v>0</v>
      </c>
      <c r="AZ53" s="83">
        <f t="shared" si="12"/>
        <v>0</v>
      </c>
    </row>
    <row r="54" spans="1:52" s="66" customFormat="1" ht="21" customHeight="1" thickBot="1" x14ac:dyDescent="0.2">
      <c r="A54" s="96"/>
      <c r="B54" s="91"/>
      <c r="C54" s="352" t="s">
        <v>3</v>
      </c>
      <c r="D54" s="353"/>
      <c r="E54" s="353"/>
      <c r="F54" s="353"/>
      <c r="G54" s="354"/>
      <c r="H54" s="195"/>
      <c r="I54" s="199">
        <v>85</v>
      </c>
      <c r="J54" s="84">
        <v>85</v>
      </c>
      <c r="K54" s="84">
        <v>85</v>
      </c>
      <c r="L54" s="84">
        <v>85</v>
      </c>
      <c r="M54" s="84"/>
      <c r="N54" s="168">
        <f>I54*I53+J54*J53+K54*K53+L54*L53+M54*M53</f>
        <v>83.929000000000016</v>
      </c>
      <c r="O54" s="44"/>
      <c r="P54" s="45"/>
      <c r="Q54" s="46"/>
      <c r="R54" s="46"/>
      <c r="S54" s="47"/>
      <c r="T54" s="70"/>
      <c r="U54" s="71"/>
      <c r="V54" s="72"/>
      <c r="W54" s="150"/>
      <c r="X54" s="85"/>
      <c r="Y54" s="151"/>
      <c r="Z54" s="85"/>
      <c r="AA54" s="74"/>
      <c r="AB54" s="75"/>
      <c r="AC54" s="72"/>
      <c r="AD54" s="71"/>
      <c r="AE54" s="71"/>
      <c r="AF54" s="152"/>
      <c r="AG54" s="86"/>
      <c r="AH54" s="77"/>
      <c r="AI54" s="87"/>
      <c r="AJ54" s="46"/>
      <c r="AK54" s="77"/>
      <c r="AL54" s="78"/>
      <c r="AM54" s="79"/>
      <c r="AN54" s="80"/>
      <c r="AO54" s="80"/>
      <c r="AP54" s="61"/>
      <c r="AQ54" s="62"/>
      <c r="AR54" s="81"/>
      <c r="AS54" s="81"/>
      <c r="AT54" s="81"/>
      <c r="AU54" s="81"/>
      <c r="AV54" s="82"/>
      <c r="AW54" s="83"/>
      <c r="AX54" s="83"/>
      <c r="AZ54" s="66">
        <f t="shared" si="12"/>
        <v>0</v>
      </c>
    </row>
    <row r="55" spans="1:52" s="66" customFormat="1" ht="39.75" customHeight="1" thickBot="1" x14ac:dyDescent="0.2">
      <c r="A55" s="96"/>
      <c r="B55" s="91"/>
      <c r="C55" s="131"/>
      <c r="D55" s="109"/>
      <c r="E55" s="109"/>
      <c r="F55" s="131"/>
      <c r="G55" s="170"/>
      <c r="H55" s="207"/>
      <c r="I55" s="92">
        <v>0.51</v>
      </c>
      <c r="J55" s="41">
        <v>0.25</v>
      </c>
      <c r="K55" s="41">
        <v>0.24</v>
      </c>
      <c r="L55" s="42"/>
      <c r="M55" s="68"/>
      <c r="N55" s="94">
        <f t="shared" si="30"/>
        <v>1</v>
      </c>
      <c r="O55" s="125">
        <v>1</v>
      </c>
      <c r="P55" s="112">
        <v>15</v>
      </c>
      <c r="Q55" s="247">
        <v>15</v>
      </c>
      <c r="R55" s="247">
        <v>15</v>
      </c>
      <c r="S55" s="247"/>
      <c r="T55" s="70"/>
      <c r="U55" s="71">
        <f t="shared" si="1"/>
        <v>15</v>
      </c>
      <c r="V55" s="72">
        <f t="shared" si="2"/>
        <v>15</v>
      </c>
      <c r="W55" s="201"/>
      <c r="X55" s="201">
        <v>1283707000</v>
      </c>
      <c r="Y55" s="85">
        <v>4319931000</v>
      </c>
      <c r="Z55" s="231"/>
      <c r="AA55" s="74"/>
      <c r="AB55" s="75">
        <f t="shared" si="3"/>
        <v>1.43</v>
      </c>
      <c r="AC55" s="72">
        <f t="shared" si="4"/>
        <v>1.43</v>
      </c>
      <c r="AD55" s="124">
        <v>2</v>
      </c>
      <c r="AE55" s="71">
        <f t="shared" si="5"/>
        <v>3.4299999999999997</v>
      </c>
      <c r="AF55" s="76"/>
      <c r="AG55" s="54">
        <v>3.06</v>
      </c>
      <c r="AH55" s="77">
        <f t="shared" si="6"/>
        <v>18.43</v>
      </c>
      <c r="AI55" s="56">
        <v>10</v>
      </c>
      <c r="AJ55" s="56">
        <v>10</v>
      </c>
      <c r="AK55" s="56">
        <v>45</v>
      </c>
      <c r="AL55" s="57">
        <f t="shared" si="7"/>
        <v>86.490000000000009</v>
      </c>
      <c r="AM55" s="55">
        <f t="shared" si="8"/>
        <v>86.490000000000009</v>
      </c>
      <c r="AN55" s="78">
        <f t="shared" si="9"/>
        <v>1.01285</v>
      </c>
      <c r="AO55" s="79"/>
      <c r="AP55" s="80">
        <f t="shared" si="10"/>
        <v>1</v>
      </c>
      <c r="AQ55" s="80">
        <f t="shared" si="10"/>
        <v>2</v>
      </c>
      <c r="AR55" s="61"/>
      <c r="AS55" s="62"/>
      <c r="AT55" s="81"/>
      <c r="AU55" s="81"/>
      <c r="AV55" s="81"/>
      <c r="AW55" s="81"/>
      <c r="AX55" s="82"/>
      <c r="AY55" s="83">
        <f t="shared" si="11"/>
        <v>0</v>
      </c>
      <c r="AZ55" s="83">
        <f t="shared" si="12"/>
        <v>0</v>
      </c>
    </row>
    <row r="56" spans="1:52" s="66" customFormat="1" ht="39.75" customHeight="1" thickBot="1" x14ac:dyDescent="0.2">
      <c r="A56" s="96"/>
      <c r="B56" s="108"/>
      <c r="C56" s="131"/>
      <c r="D56" s="109"/>
      <c r="E56" s="109"/>
      <c r="F56" s="109"/>
      <c r="G56" s="170"/>
      <c r="H56" s="207"/>
      <c r="I56" s="92">
        <v>0.51</v>
      </c>
      <c r="J56" s="41">
        <v>0.49</v>
      </c>
      <c r="K56" s="41"/>
      <c r="L56" s="42"/>
      <c r="M56" s="68"/>
      <c r="N56" s="94">
        <f t="shared" si="29"/>
        <v>1</v>
      </c>
      <c r="O56" s="125">
        <v>1</v>
      </c>
      <c r="P56" s="112">
        <v>15</v>
      </c>
      <c r="Q56" s="113">
        <v>15</v>
      </c>
      <c r="R56" s="113"/>
      <c r="S56" s="114"/>
      <c r="T56" s="70"/>
      <c r="U56" s="71">
        <f t="shared" si="1"/>
        <v>15</v>
      </c>
      <c r="V56" s="72">
        <f t="shared" si="2"/>
        <v>15</v>
      </c>
      <c r="W56" s="200"/>
      <c r="X56" s="268"/>
      <c r="Y56" s="201"/>
      <c r="Z56" s="231"/>
      <c r="AA56" s="74"/>
      <c r="AB56" s="75">
        <f t="shared" si="3"/>
        <v>0</v>
      </c>
      <c r="AC56" s="72">
        <f t="shared" si="4"/>
        <v>0</v>
      </c>
      <c r="AD56" s="124">
        <v>2</v>
      </c>
      <c r="AE56" s="71">
        <f t="shared" si="5"/>
        <v>2</v>
      </c>
      <c r="AF56" s="76"/>
      <c r="AG56" s="54">
        <v>3.06</v>
      </c>
      <c r="AH56" s="77">
        <f t="shared" si="6"/>
        <v>17</v>
      </c>
      <c r="AI56" s="56">
        <v>10</v>
      </c>
      <c r="AJ56" s="56">
        <v>10</v>
      </c>
      <c r="AK56" s="56">
        <v>45</v>
      </c>
      <c r="AL56" s="57">
        <f t="shared" si="7"/>
        <v>85.06</v>
      </c>
      <c r="AM56" s="55">
        <f t="shared" si="8"/>
        <v>85.06</v>
      </c>
      <c r="AN56" s="78">
        <f t="shared" si="9"/>
        <v>1.02</v>
      </c>
      <c r="AO56" s="79"/>
      <c r="AP56" s="80">
        <f t="shared" si="10"/>
        <v>1</v>
      </c>
      <c r="AQ56" s="80">
        <f t="shared" si="10"/>
        <v>2</v>
      </c>
      <c r="AR56" s="61"/>
      <c r="AS56" s="62"/>
      <c r="AT56" s="81"/>
      <c r="AU56" s="81"/>
      <c r="AV56" s="81"/>
      <c r="AW56" s="81"/>
      <c r="AX56" s="82"/>
      <c r="AY56" s="83">
        <f t="shared" si="11"/>
        <v>0</v>
      </c>
      <c r="AZ56" s="83">
        <f t="shared" si="12"/>
        <v>0</v>
      </c>
    </row>
    <row r="57" spans="1:52" s="66" customFormat="1" ht="39.75" customHeight="1" thickBot="1" x14ac:dyDescent="0.2">
      <c r="A57" s="96"/>
      <c r="B57" s="108"/>
      <c r="C57" s="131"/>
      <c r="D57" s="131"/>
      <c r="E57" s="109"/>
      <c r="F57" s="109"/>
      <c r="G57" s="170"/>
      <c r="H57" s="207"/>
      <c r="I57" s="92">
        <v>0.5</v>
      </c>
      <c r="J57" s="41">
        <v>0.49</v>
      </c>
      <c r="K57" s="41"/>
      <c r="L57" s="42"/>
      <c r="M57" s="147"/>
      <c r="N57" s="94">
        <f t="shared" ref="N57:N59" si="31">SUM(I57:M57)</f>
        <v>0.99</v>
      </c>
      <c r="O57" s="125">
        <v>1</v>
      </c>
      <c r="P57" s="112">
        <v>15</v>
      </c>
      <c r="Q57" s="113">
        <v>15</v>
      </c>
      <c r="R57" s="113">
        <v>15</v>
      </c>
      <c r="S57" s="120"/>
      <c r="T57" s="70"/>
      <c r="U57" s="71">
        <f t="shared" si="1"/>
        <v>14.85</v>
      </c>
      <c r="V57" s="72">
        <f t="shared" si="2"/>
        <v>14.85</v>
      </c>
      <c r="W57" s="201"/>
      <c r="X57" s="117"/>
      <c r="Y57" s="85"/>
      <c r="Z57" s="230"/>
      <c r="AA57" s="74"/>
      <c r="AB57" s="75">
        <f t="shared" si="3"/>
        <v>0</v>
      </c>
      <c r="AC57" s="72">
        <f t="shared" si="4"/>
        <v>0</v>
      </c>
      <c r="AD57" s="124">
        <v>2</v>
      </c>
      <c r="AE57" s="71">
        <f t="shared" si="5"/>
        <v>2</v>
      </c>
      <c r="AF57" s="76"/>
      <c r="AG57" s="54">
        <v>3.06</v>
      </c>
      <c r="AH57" s="77">
        <f t="shared" si="6"/>
        <v>16.850000000000001</v>
      </c>
      <c r="AI57" s="56">
        <v>10</v>
      </c>
      <c r="AJ57" s="56">
        <v>10</v>
      </c>
      <c r="AK57" s="56">
        <v>45</v>
      </c>
      <c r="AL57" s="57">
        <f t="shared" si="7"/>
        <v>84.91</v>
      </c>
      <c r="AM57" s="55">
        <f t="shared" si="8"/>
        <v>84.91</v>
      </c>
      <c r="AN57" s="78">
        <f t="shared" si="9"/>
        <v>1.02075</v>
      </c>
      <c r="AO57" s="79"/>
      <c r="AP57" s="80">
        <f t="shared" si="10"/>
        <v>1</v>
      </c>
      <c r="AQ57" s="80">
        <f t="shared" si="10"/>
        <v>2</v>
      </c>
      <c r="AR57" s="61"/>
      <c r="AS57" s="62"/>
      <c r="AT57" s="81"/>
      <c r="AU57" s="81"/>
      <c r="AV57" s="81"/>
      <c r="AW57" s="81"/>
      <c r="AX57" s="82"/>
      <c r="AY57" s="83">
        <f t="shared" si="11"/>
        <v>0</v>
      </c>
      <c r="AZ57" s="83">
        <f t="shared" si="12"/>
        <v>0</v>
      </c>
    </row>
    <row r="58" spans="1:52" s="66" customFormat="1" ht="39.75" customHeight="1" thickBot="1" x14ac:dyDescent="0.2">
      <c r="A58" s="96"/>
      <c r="B58" s="108"/>
      <c r="C58" s="131"/>
      <c r="D58" s="131"/>
      <c r="E58" s="105"/>
      <c r="F58" s="109"/>
      <c r="G58" s="170"/>
      <c r="H58" s="207"/>
      <c r="I58" s="92">
        <v>0.51</v>
      </c>
      <c r="J58" s="41">
        <v>0.28000000000000003</v>
      </c>
      <c r="K58" s="41">
        <v>0.21</v>
      </c>
      <c r="L58" s="42"/>
      <c r="M58" s="147"/>
      <c r="N58" s="94">
        <f t="shared" si="31"/>
        <v>1</v>
      </c>
      <c r="O58" s="125">
        <v>1</v>
      </c>
      <c r="P58" s="112">
        <v>15</v>
      </c>
      <c r="Q58" s="113">
        <v>15</v>
      </c>
      <c r="R58" s="114">
        <v>15</v>
      </c>
      <c r="S58" s="120"/>
      <c r="T58" s="70"/>
      <c r="U58" s="71">
        <f t="shared" si="1"/>
        <v>15</v>
      </c>
      <c r="V58" s="72">
        <f t="shared" si="2"/>
        <v>15</v>
      </c>
      <c r="W58" s="117">
        <v>14959340000</v>
      </c>
      <c r="X58" s="85"/>
      <c r="Y58" s="201"/>
      <c r="Z58" s="231"/>
      <c r="AA58" s="74"/>
      <c r="AB58" s="75">
        <f t="shared" si="3"/>
        <v>7.8</v>
      </c>
      <c r="AC58" s="72">
        <f t="shared" si="4"/>
        <v>7.8</v>
      </c>
      <c r="AD58" s="124">
        <v>2</v>
      </c>
      <c r="AE58" s="71">
        <f t="shared" si="5"/>
        <v>9.8000000000000007</v>
      </c>
      <c r="AF58" s="76"/>
      <c r="AG58" s="54">
        <v>3.06</v>
      </c>
      <c r="AH58" s="77">
        <f t="shared" si="6"/>
        <v>24.8</v>
      </c>
      <c r="AI58" s="56">
        <v>10</v>
      </c>
      <c r="AJ58" s="56">
        <v>10</v>
      </c>
      <c r="AK58" s="56">
        <v>45</v>
      </c>
      <c r="AL58" s="57">
        <f t="shared" si="7"/>
        <v>92.86</v>
      </c>
      <c r="AM58" s="55">
        <f t="shared" si="8"/>
        <v>92.86</v>
      </c>
      <c r="AN58" s="78">
        <f t="shared" si="9"/>
        <v>0.98099999999999998</v>
      </c>
      <c r="AO58" s="79"/>
      <c r="AP58" s="80">
        <f t="shared" si="10"/>
        <v>1</v>
      </c>
      <c r="AQ58" s="80">
        <f t="shared" si="10"/>
        <v>2</v>
      </c>
      <c r="AR58" s="61"/>
      <c r="AS58" s="62"/>
      <c r="AT58" s="81"/>
      <c r="AU58" s="81"/>
      <c r="AV58" s="81"/>
      <c r="AW58" s="81"/>
      <c r="AX58" s="82"/>
      <c r="AY58" s="83">
        <f t="shared" si="11"/>
        <v>0</v>
      </c>
      <c r="AZ58" s="83">
        <f t="shared" si="12"/>
        <v>0</v>
      </c>
    </row>
    <row r="59" spans="1:52" s="66" customFormat="1" ht="39.75" customHeight="1" thickBot="1" x14ac:dyDescent="0.2">
      <c r="A59" s="96"/>
      <c r="B59" s="108"/>
      <c r="C59" s="131" t="s">
        <v>247</v>
      </c>
      <c r="D59" s="105"/>
      <c r="E59" s="105"/>
      <c r="F59" s="187" t="s">
        <v>244</v>
      </c>
      <c r="G59" s="131"/>
      <c r="H59" s="207"/>
      <c r="I59" s="92">
        <v>0.51</v>
      </c>
      <c r="J59" s="41">
        <v>0.49</v>
      </c>
      <c r="K59" s="41"/>
      <c r="L59" s="42"/>
      <c r="M59" s="68"/>
      <c r="N59" s="94">
        <f t="shared" si="31"/>
        <v>1</v>
      </c>
      <c r="O59" s="125">
        <v>1</v>
      </c>
      <c r="P59" s="112">
        <v>15</v>
      </c>
      <c r="Q59" s="245">
        <v>15</v>
      </c>
      <c r="R59" s="114">
        <v>15</v>
      </c>
      <c r="S59" s="120"/>
      <c r="T59" s="70"/>
      <c r="U59" s="71">
        <f t="shared" si="1"/>
        <v>15</v>
      </c>
      <c r="V59" s="72">
        <f t="shared" si="2"/>
        <v>15</v>
      </c>
      <c r="W59" s="118"/>
      <c r="X59" s="205"/>
      <c r="Y59" s="205"/>
      <c r="Z59" s="201"/>
      <c r="AA59" s="205"/>
      <c r="AB59" s="71">
        <f t="shared" si="3"/>
        <v>0</v>
      </c>
      <c r="AC59" s="72">
        <f t="shared" si="4"/>
        <v>0</v>
      </c>
      <c r="AD59" s="124">
        <v>2</v>
      </c>
      <c r="AE59" s="71">
        <f t="shared" si="5"/>
        <v>2</v>
      </c>
      <c r="AF59" s="76"/>
      <c r="AG59" s="54">
        <v>3.06</v>
      </c>
      <c r="AH59" s="77">
        <f t="shared" si="6"/>
        <v>17</v>
      </c>
      <c r="AI59" s="56">
        <v>10</v>
      </c>
      <c r="AJ59" s="56">
        <v>10</v>
      </c>
      <c r="AK59" s="56">
        <v>45</v>
      </c>
      <c r="AL59" s="57">
        <f t="shared" si="7"/>
        <v>85.06</v>
      </c>
      <c r="AM59" s="55">
        <f t="shared" si="8"/>
        <v>85.06</v>
      </c>
      <c r="AN59" s="78">
        <f t="shared" si="9"/>
        <v>1.02</v>
      </c>
      <c r="AO59" s="79"/>
      <c r="AP59" s="80">
        <f t="shared" si="10"/>
        <v>1</v>
      </c>
      <c r="AQ59" s="80">
        <f t="shared" si="10"/>
        <v>2</v>
      </c>
      <c r="AR59" s="61"/>
      <c r="AS59" s="62"/>
      <c r="AT59" s="81"/>
      <c r="AU59" s="81"/>
      <c r="AV59" s="81"/>
      <c r="AW59" s="81"/>
      <c r="AX59" s="82"/>
      <c r="AY59" s="83">
        <f t="shared" si="11"/>
        <v>0</v>
      </c>
      <c r="AZ59" s="83">
        <f t="shared" si="12"/>
        <v>0</v>
      </c>
    </row>
    <row r="60" spans="1:52" s="66" customFormat="1" ht="39.75" customHeight="1" thickBot="1" x14ac:dyDescent="0.2">
      <c r="A60" s="96"/>
      <c r="B60" s="108"/>
      <c r="C60" s="110" t="s">
        <v>241</v>
      </c>
      <c r="D60" s="110"/>
      <c r="E60" s="105"/>
      <c r="F60" s="187" t="s">
        <v>243</v>
      </c>
      <c r="G60" s="170"/>
      <c r="H60" s="255"/>
      <c r="I60" s="92">
        <v>0.51</v>
      </c>
      <c r="J60" s="41">
        <v>0.49</v>
      </c>
      <c r="K60" s="41"/>
      <c r="L60" s="42"/>
      <c r="M60" s="128"/>
      <c r="N60" s="43">
        <f>SUM(I60:M60)</f>
        <v>1</v>
      </c>
      <c r="O60" s="125">
        <v>1</v>
      </c>
      <c r="P60" s="112">
        <v>15</v>
      </c>
      <c r="Q60" s="245">
        <v>15</v>
      </c>
      <c r="R60" s="113"/>
      <c r="S60" s="120"/>
      <c r="T60" s="156"/>
      <c r="U60" s="48">
        <f>ROUND(((P60*I60)+(Q60*J60)+(R60*K60)+(S60*L60)+(T60*M60))*O60,2)</f>
        <v>15</v>
      </c>
      <c r="V60" s="49">
        <f>IF(U60&gt;=15,15,U60)</f>
        <v>15</v>
      </c>
      <c r="W60" s="117">
        <v>3331838000</v>
      </c>
      <c r="X60" s="117"/>
      <c r="Y60" s="117"/>
      <c r="Z60" s="117"/>
      <c r="AA60" s="74"/>
      <c r="AB60" s="75">
        <f>ROUND((((W60*I60)+(X60*J60)+(Y60*K60)+(Z60*L60)+(AA60*M60))/$I$2),2)*13</f>
        <v>1.69</v>
      </c>
      <c r="AC60" s="72">
        <f>IF(AB60&gt;=13,13,AB60)</f>
        <v>1.69</v>
      </c>
      <c r="AD60" s="124">
        <v>2</v>
      </c>
      <c r="AE60" s="71">
        <f>IF((AC60+AD60)&gt;=15,15,(AC60+AD60))</f>
        <v>3.69</v>
      </c>
      <c r="AF60" s="76"/>
      <c r="AG60" s="54">
        <v>3.06</v>
      </c>
      <c r="AH60" s="77">
        <f>IF((V60+AE60+AF60)&gt;=30,30,(V60+AE60+AF60))</f>
        <v>18.690000000000001</v>
      </c>
      <c r="AI60" s="56">
        <v>10</v>
      </c>
      <c r="AJ60" s="56">
        <v>10</v>
      </c>
      <c r="AK60" s="56">
        <v>45</v>
      </c>
      <c r="AL60" s="57">
        <f>V60+AE60+AF60+AI60+AJ60+AK60+AG60</f>
        <v>86.75</v>
      </c>
      <c r="AM60" s="55">
        <f>IF(AH60+AI60+AJ60+AK60+AG60&gt;=95,95,AH60+AI60+AJ60+AK60+AG60)</f>
        <v>86.75</v>
      </c>
      <c r="AN60" s="78">
        <f>-((50-((176+(45+(50-AH60)))))/200)</f>
        <v>1.0115499999999999</v>
      </c>
      <c r="AO60" s="79"/>
      <c r="AP60" s="80">
        <f t="shared" si="10"/>
        <v>1</v>
      </c>
      <c r="AQ60" s="80">
        <f t="shared" si="10"/>
        <v>2</v>
      </c>
      <c r="AR60" s="61"/>
      <c r="AS60" s="62"/>
      <c r="AT60" s="81"/>
      <c r="AU60" s="81"/>
      <c r="AV60" s="81"/>
      <c r="AW60" s="81"/>
      <c r="AX60" s="82"/>
      <c r="AY60" s="83">
        <f>AT60+AU60+AV60+AW60+AX60</f>
        <v>0</v>
      </c>
      <c r="AZ60" s="83">
        <f t="shared" si="12"/>
        <v>0</v>
      </c>
    </row>
    <row r="61" spans="1:52" s="66" customFormat="1" ht="39.75" customHeight="1" thickBot="1" x14ac:dyDescent="0.2">
      <c r="A61" s="96"/>
      <c r="B61" s="91"/>
      <c r="C61" s="131" t="s">
        <v>245</v>
      </c>
      <c r="D61" s="110"/>
      <c r="E61" s="105"/>
      <c r="F61" s="108"/>
      <c r="G61" s="170"/>
      <c r="H61" s="207"/>
      <c r="I61" s="41">
        <v>0.51</v>
      </c>
      <c r="J61" s="41">
        <v>0.49</v>
      </c>
      <c r="K61" s="41"/>
      <c r="L61" s="42"/>
      <c r="M61" s="147"/>
      <c r="N61" s="94">
        <f t="shared" ref="N61:N65" si="32">SUM(I61:M61)</f>
        <v>1</v>
      </c>
      <c r="O61" s="125">
        <v>1</v>
      </c>
      <c r="P61" s="112">
        <v>15</v>
      </c>
      <c r="Q61" s="113">
        <v>15</v>
      </c>
      <c r="R61" s="114">
        <v>15</v>
      </c>
      <c r="S61" s="120"/>
      <c r="T61" s="70"/>
      <c r="U61" s="71">
        <f t="shared" si="1"/>
        <v>15</v>
      </c>
      <c r="V61" s="72">
        <f t="shared" si="2"/>
        <v>15</v>
      </c>
      <c r="W61" s="200"/>
      <c r="X61" s="231"/>
      <c r="Y61" s="230"/>
      <c r="Z61" s="117"/>
      <c r="AA61" s="74"/>
      <c r="AB61" s="75">
        <f t="shared" si="3"/>
        <v>0</v>
      </c>
      <c r="AC61" s="72">
        <f t="shared" si="4"/>
        <v>0</v>
      </c>
      <c r="AD61" s="124">
        <v>2</v>
      </c>
      <c r="AE61" s="71">
        <f t="shared" si="5"/>
        <v>2</v>
      </c>
      <c r="AF61" s="76"/>
      <c r="AG61" s="54"/>
      <c r="AH61" s="77">
        <f t="shared" si="6"/>
        <v>17</v>
      </c>
      <c r="AI61" s="56">
        <v>10</v>
      </c>
      <c r="AJ61" s="56">
        <v>10</v>
      </c>
      <c r="AK61" s="56">
        <v>45</v>
      </c>
      <c r="AL61" s="57">
        <f t="shared" si="7"/>
        <v>82</v>
      </c>
      <c r="AM61" s="55">
        <f t="shared" si="8"/>
        <v>82</v>
      </c>
      <c r="AN61" s="78">
        <f t="shared" si="9"/>
        <v>1.02</v>
      </c>
      <c r="AO61" s="79"/>
      <c r="AP61" s="80">
        <f t="shared" si="10"/>
        <v>1</v>
      </c>
      <c r="AQ61" s="80">
        <f t="shared" si="10"/>
        <v>2</v>
      </c>
      <c r="AR61" s="61"/>
      <c r="AS61" s="62"/>
      <c r="AT61" s="81"/>
      <c r="AU61" s="81"/>
      <c r="AV61" s="81"/>
      <c r="AW61" s="81"/>
      <c r="AX61" s="82"/>
      <c r="AY61" s="83">
        <f t="shared" si="11"/>
        <v>0</v>
      </c>
      <c r="AZ61" s="83">
        <f t="shared" si="12"/>
        <v>0</v>
      </c>
    </row>
    <row r="62" spans="1:52" s="66" customFormat="1" ht="39.75" customHeight="1" thickBot="1" x14ac:dyDescent="0.2">
      <c r="A62" s="96"/>
      <c r="B62" s="91"/>
      <c r="C62" s="131" t="s">
        <v>246</v>
      </c>
      <c r="D62" s="110"/>
      <c r="E62" s="108"/>
      <c r="F62" s="110"/>
      <c r="G62" s="170"/>
      <c r="H62" s="207"/>
      <c r="I62" s="41">
        <v>0.51</v>
      </c>
      <c r="J62" s="41">
        <v>0.49</v>
      </c>
      <c r="K62" s="41"/>
      <c r="L62" s="42"/>
      <c r="M62" s="147"/>
      <c r="N62" s="94">
        <f t="shared" si="32"/>
        <v>1</v>
      </c>
      <c r="O62" s="125">
        <v>1</v>
      </c>
      <c r="P62" s="112">
        <v>15</v>
      </c>
      <c r="Q62" s="113">
        <v>15</v>
      </c>
      <c r="R62" s="114">
        <v>15</v>
      </c>
      <c r="S62" s="120"/>
      <c r="T62" s="70"/>
      <c r="U62" s="71">
        <f t="shared" si="1"/>
        <v>15</v>
      </c>
      <c r="V62" s="72">
        <f t="shared" si="2"/>
        <v>15</v>
      </c>
      <c r="W62" s="201"/>
      <c r="X62" s="231"/>
      <c r="Y62" s="230"/>
      <c r="Z62" s="117"/>
      <c r="AA62" s="74"/>
      <c r="AB62" s="75">
        <f t="shared" si="3"/>
        <v>0</v>
      </c>
      <c r="AC62" s="72">
        <f t="shared" si="4"/>
        <v>0</v>
      </c>
      <c r="AD62" s="124">
        <v>2</v>
      </c>
      <c r="AE62" s="71">
        <f t="shared" si="5"/>
        <v>2</v>
      </c>
      <c r="AF62" s="76"/>
      <c r="AG62" s="54"/>
      <c r="AH62" s="77">
        <f t="shared" si="6"/>
        <v>17</v>
      </c>
      <c r="AI62" s="56">
        <v>10</v>
      </c>
      <c r="AJ62" s="56">
        <v>10</v>
      </c>
      <c r="AK62" s="56">
        <v>45</v>
      </c>
      <c r="AL62" s="57">
        <f t="shared" si="7"/>
        <v>82</v>
      </c>
      <c r="AM62" s="55">
        <f t="shared" si="8"/>
        <v>82</v>
      </c>
      <c r="AN62" s="78">
        <f t="shared" si="9"/>
        <v>1.02</v>
      </c>
      <c r="AO62" s="79"/>
      <c r="AP62" s="80">
        <f t="shared" si="10"/>
        <v>1</v>
      </c>
      <c r="AQ62" s="80">
        <f t="shared" si="10"/>
        <v>2</v>
      </c>
      <c r="AR62" s="61"/>
      <c r="AS62" s="62"/>
      <c r="AT62" s="81"/>
      <c r="AU62" s="81"/>
      <c r="AV62" s="81"/>
      <c r="AW62" s="81"/>
      <c r="AX62" s="82"/>
      <c r="AY62" s="83">
        <f t="shared" si="11"/>
        <v>0</v>
      </c>
      <c r="AZ62" s="83">
        <f t="shared" si="12"/>
        <v>0</v>
      </c>
    </row>
    <row r="63" spans="1:52" s="66" customFormat="1" ht="39.75" customHeight="1" thickBot="1" x14ac:dyDescent="0.2">
      <c r="A63" s="96"/>
      <c r="B63" s="91"/>
      <c r="C63" s="110" t="s">
        <v>238</v>
      </c>
      <c r="D63" s="110"/>
      <c r="E63" s="109"/>
      <c r="F63" s="109"/>
      <c r="G63" s="170"/>
      <c r="H63" s="207"/>
      <c r="I63" s="41">
        <v>0.51</v>
      </c>
      <c r="J63" s="41">
        <v>0.49</v>
      </c>
      <c r="K63" s="41"/>
      <c r="L63" s="42"/>
      <c r="M63" s="68"/>
      <c r="N63" s="94">
        <f t="shared" si="32"/>
        <v>1</v>
      </c>
      <c r="O63" s="125">
        <v>1</v>
      </c>
      <c r="P63" s="115">
        <v>15</v>
      </c>
      <c r="Q63" s="113">
        <v>15</v>
      </c>
      <c r="R63" s="245"/>
      <c r="S63" s="114"/>
      <c r="T63" s="70"/>
      <c r="U63" s="71">
        <f t="shared" si="1"/>
        <v>15</v>
      </c>
      <c r="V63" s="72">
        <f t="shared" si="2"/>
        <v>15</v>
      </c>
      <c r="W63" s="118">
        <v>44048635000</v>
      </c>
      <c r="X63" s="230"/>
      <c r="Y63" s="230"/>
      <c r="Z63" s="117"/>
      <c r="AA63" s="74"/>
      <c r="AB63" s="75">
        <f t="shared" si="3"/>
        <v>23.01</v>
      </c>
      <c r="AC63" s="72">
        <f t="shared" si="4"/>
        <v>13</v>
      </c>
      <c r="AD63" s="124">
        <v>2</v>
      </c>
      <c r="AE63" s="71">
        <f t="shared" si="5"/>
        <v>15</v>
      </c>
      <c r="AF63" s="76"/>
      <c r="AG63" s="54"/>
      <c r="AH63" s="77">
        <f t="shared" si="6"/>
        <v>30</v>
      </c>
      <c r="AI63" s="56">
        <v>10</v>
      </c>
      <c r="AJ63" s="56">
        <v>10</v>
      </c>
      <c r="AK63" s="56">
        <v>45</v>
      </c>
      <c r="AL63" s="57">
        <f t="shared" si="7"/>
        <v>95</v>
      </c>
      <c r="AM63" s="55">
        <f t="shared" si="8"/>
        <v>95</v>
      </c>
      <c r="AN63" s="78">
        <f t="shared" si="9"/>
        <v>0.95499999999999996</v>
      </c>
      <c r="AO63" s="79"/>
      <c r="AP63" s="80">
        <f t="shared" ref="AP63:AQ67" si="33">100%+AO63</f>
        <v>1</v>
      </c>
      <c r="AQ63" s="80">
        <f t="shared" si="33"/>
        <v>2</v>
      </c>
      <c r="AR63" s="61"/>
      <c r="AS63" s="62"/>
      <c r="AT63" s="81"/>
      <c r="AU63" s="81"/>
      <c r="AV63" s="81"/>
      <c r="AW63" s="81"/>
      <c r="AX63" s="82"/>
      <c r="AY63" s="83">
        <f t="shared" si="11"/>
        <v>0</v>
      </c>
      <c r="AZ63" s="83">
        <f t="shared" si="12"/>
        <v>0</v>
      </c>
    </row>
    <row r="64" spans="1:52" s="66" customFormat="1" ht="39.75" customHeight="1" thickBot="1" x14ac:dyDescent="0.2">
      <c r="A64" s="96"/>
      <c r="B64" s="91"/>
      <c r="C64" s="110"/>
      <c r="D64" s="131"/>
      <c r="E64" s="105"/>
      <c r="F64" s="105"/>
      <c r="G64" s="170"/>
      <c r="H64" s="207"/>
      <c r="I64" s="41">
        <v>0.51</v>
      </c>
      <c r="J64" s="41">
        <v>0.49</v>
      </c>
      <c r="K64" s="41"/>
      <c r="L64" s="88"/>
      <c r="M64" s="147"/>
      <c r="N64" s="94">
        <f t="shared" si="32"/>
        <v>1</v>
      </c>
      <c r="O64" s="125">
        <v>1</v>
      </c>
      <c r="P64" s="112">
        <v>15</v>
      </c>
      <c r="Q64" s="113">
        <v>15</v>
      </c>
      <c r="R64" s="114">
        <v>15</v>
      </c>
      <c r="S64" s="120"/>
      <c r="T64" s="70"/>
      <c r="U64" s="71">
        <f t="shared" si="1"/>
        <v>15</v>
      </c>
      <c r="V64" s="72">
        <f t="shared" si="2"/>
        <v>15</v>
      </c>
      <c r="W64" s="201"/>
      <c r="X64" s="117"/>
      <c r="Y64" s="201"/>
      <c r="Z64" s="117"/>
      <c r="AA64" s="74"/>
      <c r="AB64" s="75">
        <f t="shared" si="3"/>
        <v>0</v>
      </c>
      <c r="AC64" s="72">
        <f t="shared" si="4"/>
        <v>0</v>
      </c>
      <c r="AD64" s="124">
        <v>2</v>
      </c>
      <c r="AE64" s="71">
        <f t="shared" si="5"/>
        <v>2</v>
      </c>
      <c r="AF64" s="76"/>
      <c r="AG64" s="54"/>
      <c r="AH64" s="77">
        <f t="shared" si="6"/>
        <v>17</v>
      </c>
      <c r="AI64" s="56">
        <v>10</v>
      </c>
      <c r="AJ64" s="56">
        <v>10</v>
      </c>
      <c r="AK64" s="56">
        <v>45</v>
      </c>
      <c r="AL64" s="57">
        <f t="shared" si="7"/>
        <v>82</v>
      </c>
      <c r="AM64" s="55">
        <f t="shared" si="8"/>
        <v>82</v>
      </c>
      <c r="AN64" s="78">
        <f t="shared" si="9"/>
        <v>1.02</v>
      </c>
      <c r="AO64" s="79"/>
      <c r="AP64" s="80">
        <f t="shared" si="33"/>
        <v>1</v>
      </c>
      <c r="AQ64" s="80">
        <f t="shared" si="33"/>
        <v>2</v>
      </c>
      <c r="AR64" s="61"/>
      <c r="AS64" s="62"/>
      <c r="AT64" s="81"/>
      <c r="AU64" s="81"/>
      <c r="AV64" s="81"/>
      <c r="AW64" s="81"/>
      <c r="AX64" s="82"/>
      <c r="AY64" s="83">
        <f t="shared" si="11"/>
        <v>0</v>
      </c>
      <c r="AZ64" s="83">
        <f t="shared" si="12"/>
        <v>0</v>
      </c>
    </row>
    <row r="65" spans="1:52" s="66" customFormat="1" ht="39.75" customHeight="1" thickBot="1" x14ac:dyDescent="0.2">
      <c r="A65" s="96"/>
      <c r="B65" s="91"/>
      <c r="C65" s="105"/>
      <c r="D65" s="105"/>
      <c r="E65" s="105"/>
      <c r="F65" s="105"/>
      <c r="G65" s="170"/>
      <c r="H65" s="207"/>
      <c r="I65" s="92">
        <v>0.51</v>
      </c>
      <c r="J65" s="41">
        <v>0.49</v>
      </c>
      <c r="K65" s="41"/>
      <c r="L65" s="42"/>
      <c r="M65" s="68"/>
      <c r="N65" s="94">
        <f t="shared" si="32"/>
        <v>1</v>
      </c>
      <c r="O65" s="125">
        <v>1</v>
      </c>
      <c r="P65" s="244">
        <v>15</v>
      </c>
      <c r="Q65" s="113">
        <v>15</v>
      </c>
      <c r="R65" s="245"/>
      <c r="S65" s="114"/>
      <c r="T65" s="70"/>
      <c r="U65" s="71">
        <f t="shared" si="1"/>
        <v>15</v>
      </c>
      <c r="V65" s="72">
        <f t="shared" si="2"/>
        <v>15</v>
      </c>
      <c r="W65" s="201"/>
      <c r="X65" s="117"/>
      <c r="Y65" s="85"/>
      <c r="Z65" s="205"/>
      <c r="AA65" s="74"/>
      <c r="AB65" s="71">
        <f t="shared" si="3"/>
        <v>0</v>
      </c>
      <c r="AC65" s="72">
        <f t="shared" si="4"/>
        <v>0</v>
      </c>
      <c r="AD65" s="124">
        <v>2</v>
      </c>
      <c r="AE65" s="71">
        <f t="shared" si="5"/>
        <v>2</v>
      </c>
      <c r="AF65" s="76"/>
      <c r="AG65" s="54"/>
      <c r="AH65" s="77">
        <f t="shared" si="6"/>
        <v>17</v>
      </c>
      <c r="AI65" s="56">
        <v>10</v>
      </c>
      <c r="AJ65" s="56">
        <v>10</v>
      </c>
      <c r="AK65" s="56">
        <v>45</v>
      </c>
      <c r="AL65" s="57">
        <f t="shared" si="7"/>
        <v>82</v>
      </c>
      <c r="AM65" s="55">
        <f t="shared" si="8"/>
        <v>82</v>
      </c>
      <c r="AN65" s="78">
        <f t="shared" si="9"/>
        <v>1.02</v>
      </c>
      <c r="AO65" s="79"/>
      <c r="AP65" s="80">
        <f t="shared" si="33"/>
        <v>1</v>
      </c>
      <c r="AQ65" s="80">
        <f t="shared" si="33"/>
        <v>2</v>
      </c>
      <c r="AR65" s="61"/>
      <c r="AS65" s="62"/>
      <c r="AT65" s="81"/>
      <c r="AU65" s="81"/>
      <c r="AV65" s="81"/>
      <c r="AW65" s="81"/>
      <c r="AX65" s="82"/>
      <c r="AY65" s="83">
        <f t="shared" si="11"/>
        <v>0</v>
      </c>
      <c r="AZ65" s="83">
        <f t="shared" si="12"/>
        <v>0</v>
      </c>
    </row>
    <row r="66" spans="1:52" s="66" customFormat="1" ht="39.75" customHeight="1" thickBot="1" x14ac:dyDescent="0.2">
      <c r="A66" s="108"/>
      <c r="B66" s="108"/>
      <c r="C66" s="105"/>
      <c r="D66" s="108"/>
      <c r="E66" s="109"/>
      <c r="F66" s="109"/>
      <c r="G66" s="170"/>
      <c r="H66" s="207"/>
      <c r="I66" s="92">
        <v>0.7</v>
      </c>
      <c r="J66" s="41">
        <v>0.3</v>
      </c>
      <c r="K66" s="41"/>
      <c r="L66" s="42"/>
      <c r="M66" s="68"/>
      <c r="N66" s="94">
        <f>SUM(I66:M66)</f>
        <v>1</v>
      </c>
      <c r="O66" s="44">
        <v>1</v>
      </c>
      <c r="P66" s="45">
        <v>15</v>
      </c>
      <c r="Q66" s="46">
        <v>15</v>
      </c>
      <c r="R66" s="46"/>
      <c r="S66" s="121"/>
      <c r="T66" s="70"/>
      <c r="U66" s="71">
        <f>ROUND(((P66*I66)+(Q66*J66)+(R66*K66)+(S66*L66)+(T66*M66))*O66,2)</f>
        <v>15</v>
      </c>
      <c r="V66" s="72">
        <f>IF(U66&gt;=15,15,U66)</f>
        <v>15</v>
      </c>
      <c r="W66" s="99"/>
      <c r="X66" s="100"/>
      <c r="Y66" s="85"/>
      <c r="Z66" s="95"/>
      <c r="AA66" s="74"/>
      <c r="AB66" s="75">
        <f>ROUND((((W66*I66)+(X66*J66)+(Y66*K66)+(Z66*L66)+(AA66*M66))/$I$2),2)*13</f>
        <v>0</v>
      </c>
      <c r="AC66" s="72">
        <f>IF(AB66&gt;=13,13,AB66)</f>
        <v>0</v>
      </c>
      <c r="AD66" s="52">
        <v>2</v>
      </c>
      <c r="AE66" s="71">
        <f>IF((AC66+AD66)&gt;=15,15,(AC66+AD66))</f>
        <v>2</v>
      </c>
      <c r="AF66" s="76"/>
      <c r="AG66" s="54"/>
      <c r="AH66" s="77">
        <f>IF((V66+AE66+AF66)&gt;=30,30,(V66+AE66+AF66))</f>
        <v>17</v>
      </c>
      <c r="AI66" s="56">
        <v>10</v>
      </c>
      <c r="AJ66" s="56">
        <v>10</v>
      </c>
      <c r="AK66" s="56">
        <v>45</v>
      </c>
      <c r="AL66" s="57">
        <f>V66+AE66+AF66+AI66+AJ66+AK66+AG66</f>
        <v>82</v>
      </c>
      <c r="AM66" s="55">
        <f>IF(AH66+AI66+AJ66+AK66+AG66&gt;=95,95,AH66+AI66+AJ66+AK66+AG66)</f>
        <v>82</v>
      </c>
      <c r="AN66" s="78">
        <f>-((50-((176+(45+(50-AH66)))))/200)</f>
        <v>1.02</v>
      </c>
      <c r="AO66" s="79"/>
      <c r="AP66" s="80">
        <f>100%+AO66</f>
        <v>1</v>
      </c>
      <c r="AQ66" s="80">
        <f>100%+AP66</f>
        <v>2</v>
      </c>
      <c r="AR66" s="61"/>
      <c r="AS66" s="62"/>
      <c r="AT66" s="81"/>
      <c r="AU66" s="81"/>
      <c r="AV66" s="81"/>
      <c r="AW66" s="81"/>
      <c r="AX66" s="82"/>
      <c r="AY66" s="83">
        <f>AT66+AU66+AV66+AW66+AX66</f>
        <v>0</v>
      </c>
      <c r="AZ66" s="83">
        <f>(AT66*I66)+(AU66*J66)+(AV66*K66)+(AW66*L66)+(AX66*M66)</f>
        <v>0</v>
      </c>
    </row>
    <row r="67" spans="1:52" s="66" customFormat="1" ht="39.75" customHeight="1" thickBot="1" x14ac:dyDescent="0.2">
      <c r="A67" s="96"/>
      <c r="B67" s="91"/>
      <c r="C67" s="108"/>
      <c r="D67" s="108"/>
      <c r="E67" s="108"/>
      <c r="F67" s="109"/>
      <c r="G67" s="170"/>
      <c r="H67" s="207"/>
      <c r="I67" s="92">
        <v>0.51</v>
      </c>
      <c r="J67" s="41">
        <v>0.49</v>
      </c>
      <c r="K67" s="41"/>
      <c r="L67" s="42"/>
      <c r="M67" s="68"/>
      <c r="N67" s="94">
        <f t="shared" ref="N67:N81" si="34">SUM(I67:M67)</f>
        <v>1</v>
      </c>
      <c r="O67" s="125">
        <v>1</v>
      </c>
      <c r="P67" s="112">
        <v>15</v>
      </c>
      <c r="Q67" s="113">
        <v>15</v>
      </c>
      <c r="R67" s="113"/>
      <c r="S67" s="120"/>
      <c r="T67" s="70"/>
      <c r="U67" s="71">
        <f t="shared" si="1"/>
        <v>15</v>
      </c>
      <c r="V67" s="72">
        <f t="shared" si="2"/>
        <v>15</v>
      </c>
      <c r="W67" s="201"/>
      <c r="X67" s="117"/>
      <c r="Y67" s="201"/>
      <c r="Z67" s="119"/>
      <c r="AA67" s="74"/>
      <c r="AB67" s="75">
        <f t="shared" si="3"/>
        <v>0</v>
      </c>
      <c r="AC67" s="72">
        <f t="shared" si="4"/>
        <v>0</v>
      </c>
      <c r="AD67" s="124">
        <v>2</v>
      </c>
      <c r="AE67" s="71">
        <f t="shared" si="5"/>
        <v>2</v>
      </c>
      <c r="AF67" s="76"/>
      <c r="AG67" s="54"/>
      <c r="AH67" s="77">
        <f t="shared" si="6"/>
        <v>17</v>
      </c>
      <c r="AI67" s="56">
        <v>10</v>
      </c>
      <c r="AJ67" s="56">
        <v>10</v>
      </c>
      <c r="AK67" s="56">
        <v>45</v>
      </c>
      <c r="AL67" s="57">
        <f t="shared" si="7"/>
        <v>82</v>
      </c>
      <c r="AM67" s="55">
        <f t="shared" si="8"/>
        <v>82</v>
      </c>
      <c r="AN67" s="78">
        <f t="shared" si="9"/>
        <v>1.02</v>
      </c>
      <c r="AO67" s="79"/>
      <c r="AP67" s="80">
        <f t="shared" si="33"/>
        <v>1</v>
      </c>
      <c r="AQ67" s="80">
        <f t="shared" si="33"/>
        <v>2</v>
      </c>
      <c r="AR67" s="61"/>
      <c r="AS67" s="62"/>
      <c r="AT67" s="81"/>
      <c r="AU67" s="81"/>
      <c r="AV67" s="81"/>
      <c r="AW67" s="81"/>
      <c r="AX67" s="82"/>
      <c r="AY67" s="83">
        <f t="shared" si="11"/>
        <v>0</v>
      </c>
      <c r="AZ67" s="83">
        <f t="shared" si="12"/>
        <v>0</v>
      </c>
    </row>
    <row r="68" spans="1:52" s="66" customFormat="1" ht="39.75" customHeight="1" thickBot="1" x14ac:dyDescent="0.2">
      <c r="A68" s="96"/>
      <c r="B68" s="91"/>
      <c r="C68" s="105"/>
      <c r="D68" s="248" t="s">
        <v>239</v>
      </c>
      <c r="E68" s="131"/>
      <c r="F68" s="108"/>
      <c r="G68" s="170"/>
      <c r="H68" s="207"/>
      <c r="I68" s="92">
        <v>0.51</v>
      </c>
      <c r="J68" s="41">
        <v>0.49</v>
      </c>
      <c r="K68" s="41"/>
      <c r="L68" s="42"/>
      <c r="M68" s="147"/>
      <c r="N68" s="94">
        <f>SUM(I68:M68)</f>
        <v>1</v>
      </c>
      <c r="O68" s="125">
        <v>1</v>
      </c>
      <c r="P68" s="244">
        <v>15</v>
      </c>
      <c r="Q68" s="245">
        <v>15</v>
      </c>
      <c r="R68" s="245"/>
      <c r="S68" s="114"/>
      <c r="T68" s="70"/>
      <c r="U68" s="71">
        <f>ROUND(((P68*I68)+(Q68*J68)+(R68*K68)+(S68*L68)+(T68*M68))*O68,2)</f>
        <v>15</v>
      </c>
      <c r="V68" s="72">
        <f>IF(U68&gt;=15,15,U68)</f>
        <v>15</v>
      </c>
      <c r="W68" s="202"/>
      <c r="X68" s="231">
        <v>12902241000</v>
      </c>
      <c r="Y68" s="231"/>
      <c r="Z68" s="117"/>
      <c r="AA68" s="74"/>
      <c r="AB68" s="75">
        <f>ROUND((((W68*I68)+(X68*J68)+(Y68*K68)+(Z68*L68)+(AA68*M68))/$I$2),2)*13</f>
        <v>6.5</v>
      </c>
      <c r="AC68" s="72">
        <f>IF(AB68&gt;=13,13,AB68)</f>
        <v>6.5</v>
      </c>
      <c r="AD68" s="124">
        <v>2</v>
      </c>
      <c r="AE68" s="71">
        <f>IF((AC68+AD68)&gt;=15,15,(AC68+AD68))</f>
        <v>8.5</v>
      </c>
      <c r="AF68" s="76"/>
      <c r="AG68" s="54"/>
      <c r="AH68" s="77">
        <f>IF((V68+AE68+AF68)&gt;=30,30,(V68+AE68+AF68))</f>
        <v>23.5</v>
      </c>
      <c r="AI68" s="56">
        <v>10</v>
      </c>
      <c r="AJ68" s="56">
        <v>10</v>
      </c>
      <c r="AK68" s="56">
        <v>45</v>
      </c>
      <c r="AL68" s="57">
        <f>V68+AE68+AF68+AI68+AJ68+AK68+AG68</f>
        <v>88.5</v>
      </c>
      <c r="AM68" s="55">
        <f>IF(AH68+AI68+AJ68+AK68+AG68&gt;=95,95,AH68+AI68+AJ68+AK68+AG68)</f>
        <v>88.5</v>
      </c>
      <c r="AN68" s="78">
        <f>-((50-((176+(45+(50-AH68)))))/200)</f>
        <v>0.98750000000000004</v>
      </c>
      <c r="AO68" s="79"/>
      <c r="AP68" s="80">
        <f>100%+AO68</f>
        <v>1</v>
      </c>
      <c r="AQ68" s="80">
        <f>100%+AP68</f>
        <v>2</v>
      </c>
      <c r="AR68" s="61"/>
      <c r="AS68" s="62"/>
      <c r="AT68" s="81"/>
      <c r="AU68" s="81"/>
      <c r="AV68" s="81"/>
      <c r="AW68" s="81"/>
      <c r="AX68" s="82"/>
      <c r="AY68" s="83">
        <f>AT68+AU68+AV68+AW68+AX68</f>
        <v>0</v>
      </c>
      <c r="AZ68" s="83">
        <f>(AT68*I68)+(AU68*J68)+(AV68*K68)+(AW68*L68)+(AX68*M68)</f>
        <v>0</v>
      </c>
    </row>
    <row r="69" spans="1:52" s="66" customFormat="1" ht="39.75" customHeight="1" thickBot="1" x14ac:dyDescent="0.2">
      <c r="A69" s="155"/>
      <c r="B69" s="91"/>
      <c r="C69" s="129"/>
      <c r="D69" s="249" t="s">
        <v>240</v>
      </c>
      <c r="E69" s="109"/>
      <c r="F69" s="110"/>
      <c r="G69" s="170"/>
      <c r="H69" s="207"/>
      <c r="I69" s="92">
        <v>0.51</v>
      </c>
      <c r="J69" s="41">
        <v>0.49</v>
      </c>
      <c r="K69" s="41"/>
      <c r="L69" s="42"/>
      <c r="M69" s="147"/>
      <c r="N69" s="94">
        <f t="shared" si="34"/>
        <v>1</v>
      </c>
      <c r="O69" s="125">
        <v>1</v>
      </c>
      <c r="P69" s="112">
        <v>15</v>
      </c>
      <c r="Q69" s="113">
        <v>15</v>
      </c>
      <c r="R69" s="113"/>
      <c r="S69" s="114"/>
      <c r="T69" s="70"/>
      <c r="U69" s="71">
        <f t="shared" si="1"/>
        <v>15</v>
      </c>
      <c r="V69" s="72">
        <f t="shared" si="2"/>
        <v>15</v>
      </c>
      <c r="W69" s="201"/>
      <c r="X69" s="201">
        <v>22556538000</v>
      </c>
      <c r="Y69" s="117"/>
      <c r="Z69" s="119"/>
      <c r="AA69" s="74"/>
      <c r="AB69" s="71">
        <f t="shared" si="3"/>
        <v>11.31</v>
      </c>
      <c r="AC69" s="72">
        <f t="shared" si="4"/>
        <v>11.31</v>
      </c>
      <c r="AD69" s="124">
        <v>2</v>
      </c>
      <c r="AE69" s="71">
        <f t="shared" si="5"/>
        <v>13.31</v>
      </c>
      <c r="AF69" s="76"/>
      <c r="AG69" s="54"/>
      <c r="AH69" s="77">
        <f t="shared" si="6"/>
        <v>28.310000000000002</v>
      </c>
      <c r="AI69" s="56">
        <v>10</v>
      </c>
      <c r="AJ69" s="56">
        <v>10</v>
      </c>
      <c r="AK69" s="56">
        <v>45</v>
      </c>
      <c r="AL69" s="57">
        <f t="shared" si="7"/>
        <v>93.31</v>
      </c>
      <c r="AM69" s="55">
        <f t="shared" si="8"/>
        <v>93.31</v>
      </c>
      <c r="AN69" s="78">
        <f t="shared" si="9"/>
        <v>0.96345000000000003</v>
      </c>
      <c r="AO69" s="79"/>
      <c r="AP69" s="80">
        <f t="shared" ref="AP69:AQ84" si="35">100%+AO69</f>
        <v>1</v>
      </c>
      <c r="AQ69" s="80">
        <f t="shared" si="35"/>
        <v>2</v>
      </c>
      <c r="AR69" s="61"/>
      <c r="AS69" s="62"/>
      <c r="AT69" s="81"/>
      <c r="AU69" s="81"/>
      <c r="AV69" s="81"/>
      <c r="AW69" s="81"/>
      <c r="AX69" s="82"/>
      <c r="AY69" s="83">
        <f t="shared" si="11"/>
        <v>0</v>
      </c>
      <c r="AZ69" s="83">
        <f t="shared" si="12"/>
        <v>0</v>
      </c>
    </row>
    <row r="70" spans="1:52" s="66" customFormat="1" ht="39.75" customHeight="1" thickBot="1" x14ac:dyDescent="0.2">
      <c r="A70" s="108"/>
      <c r="B70" s="108"/>
      <c r="C70" s="131"/>
      <c r="D70" s="108"/>
      <c r="E70" s="108"/>
      <c r="F70" s="105"/>
      <c r="G70" s="170"/>
      <c r="H70" s="207"/>
      <c r="I70" s="92">
        <v>0.7</v>
      </c>
      <c r="J70" s="41">
        <v>0.3</v>
      </c>
      <c r="K70" s="41"/>
      <c r="L70" s="42"/>
      <c r="M70" s="68"/>
      <c r="N70" s="94">
        <f t="shared" si="34"/>
        <v>1</v>
      </c>
      <c r="O70" s="44">
        <v>1</v>
      </c>
      <c r="P70" s="45">
        <v>15</v>
      </c>
      <c r="Q70" s="46">
        <v>15</v>
      </c>
      <c r="R70" s="46"/>
      <c r="S70" s="121"/>
      <c r="T70" s="70"/>
      <c r="U70" s="71">
        <f t="shared" si="1"/>
        <v>15</v>
      </c>
      <c r="V70" s="72">
        <f t="shared" si="2"/>
        <v>15</v>
      </c>
      <c r="W70" s="205">
        <v>119609695000</v>
      </c>
      <c r="X70" s="81"/>
      <c r="Y70" s="85"/>
      <c r="Z70" s="95"/>
      <c r="AA70" s="74"/>
      <c r="AB70" s="75">
        <f t="shared" si="3"/>
        <v>85.93</v>
      </c>
      <c r="AC70" s="72">
        <f t="shared" si="4"/>
        <v>13</v>
      </c>
      <c r="AD70" s="52">
        <v>2</v>
      </c>
      <c r="AE70" s="71">
        <f t="shared" si="5"/>
        <v>15</v>
      </c>
      <c r="AF70" s="76"/>
      <c r="AG70" s="54"/>
      <c r="AH70" s="77">
        <f t="shared" si="6"/>
        <v>30</v>
      </c>
      <c r="AI70" s="56">
        <v>10</v>
      </c>
      <c r="AJ70" s="56">
        <v>10</v>
      </c>
      <c r="AK70" s="56">
        <v>45</v>
      </c>
      <c r="AL70" s="57">
        <f t="shared" si="7"/>
        <v>95</v>
      </c>
      <c r="AM70" s="55">
        <f t="shared" si="8"/>
        <v>95</v>
      </c>
      <c r="AN70" s="78">
        <f t="shared" si="9"/>
        <v>0.95499999999999996</v>
      </c>
      <c r="AO70" s="79"/>
      <c r="AP70" s="80">
        <f t="shared" si="35"/>
        <v>1</v>
      </c>
      <c r="AQ70" s="80">
        <f t="shared" si="35"/>
        <v>2</v>
      </c>
      <c r="AR70" s="61"/>
      <c r="AS70" s="62"/>
      <c r="AT70" s="81"/>
      <c r="AU70" s="81"/>
      <c r="AV70" s="81"/>
      <c r="AW70" s="81"/>
      <c r="AX70" s="82"/>
      <c r="AY70" s="83">
        <f t="shared" si="11"/>
        <v>0</v>
      </c>
      <c r="AZ70" s="83">
        <f t="shared" si="12"/>
        <v>0</v>
      </c>
    </row>
    <row r="71" spans="1:52" s="66" customFormat="1" ht="39.75" customHeight="1" thickBot="1" x14ac:dyDescent="0.2">
      <c r="A71" s="108"/>
      <c r="B71" s="108"/>
      <c r="C71" s="108"/>
      <c r="D71" s="108"/>
      <c r="E71" s="108"/>
      <c r="F71" s="109"/>
      <c r="G71" s="170"/>
      <c r="H71" s="207"/>
      <c r="I71" s="92">
        <v>0.7</v>
      </c>
      <c r="J71" s="41">
        <v>0.3</v>
      </c>
      <c r="K71" s="41"/>
      <c r="L71" s="42"/>
      <c r="M71" s="68"/>
      <c r="N71" s="94">
        <f t="shared" ref="N71:N75" si="36">SUM(I71:M71)</f>
        <v>1</v>
      </c>
      <c r="O71" s="44">
        <v>1</v>
      </c>
      <c r="P71" s="45">
        <v>15</v>
      </c>
      <c r="Q71" s="46">
        <v>15</v>
      </c>
      <c r="R71" s="46"/>
      <c r="S71" s="121"/>
      <c r="T71" s="70"/>
      <c r="U71" s="71">
        <f t="shared" si="1"/>
        <v>15</v>
      </c>
      <c r="V71" s="72">
        <f t="shared" si="2"/>
        <v>15</v>
      </c>
      <c r="W71" s="99"/>
      <c r="X71" s="100"/>
      <c r="Y71" s="85"/>
      <c r="Z71" s="95"/>
      <c r="AA71" s="74"/>
      <c r="AB71" s="75">
        <f t="shared" si="3"/>
        <v>0</v>
      </c>
      <c r="AC71" s="72">
        <f t="shared" si="4"/>
        <v>0</v>
      </c>
      <c r="AD71" s="52">
        <v>2</v>
      </c>
      <c r="AE71" s="71">
        <f t="shared" si="5"/>
        <v>2</v>
      </c>
      <c r="AF71" s="76"/>
      <c r="AG71" s="54"/>
      <c r="AH71" s="77">
        <f t="shared" si="6"/>
        <v>17</v>
      </c>
      <c r="AI71" s="56">
        <v>10</v>
      </c>
      <c r="AJ71" s="56">
        <v>10</v>
      </c>
      <c r="AK71" s="56">
        <v>45</v>
      </c>
      <c r="AL71" s="57">
        <f t="shared" si="7"/>
        <v>82</v>
      </c>
      <c r="AM71" s="55">
        <f t="shared" si="8"/>
        <v>82</v>
      </c>
      <c r="AN71" s="78">
        <f t="shared" si="9"/>
        <v>1.02</v>
      </c>
      <c r="AO71" s="79"/>
      <c r="AP71" s="80">
        <f t="shared" si="35"/>
        <v>1</v>
      </c>
      <c r="AQ71" s="80">
        <f t="shared" si="35"/>
        <v>2</v>
      </c>
      <c r="AR71" s="61"/>
      <c r="AS71" s="62"/>
      <c r="AT71" s="81"/>
      <c r="AU71" s="81"/>
      <c r="AV71" s="81"/>
      <c r="AW71" s="81"/>
      <c r="AX71" s="82"/>
      <c r="AY71" s="83">
        <f t="shared" si="11"/>
        <v>0</v>
      </c>
      <c r="AZ71" s="83">
        <f t="shared" si="12"/>
        <v>0</v>
      </c>
    </row>
    <row r="72" spans="1:52" s="66" customFormat="1" ht="39.75" customHeight="1" thickBot="1" x14ac:dyDescent="0.2">
      <c r="A72" s="96"/>
      <c r="B72" s="91"/>
      <c r="C72" s="131"/>
      <c r="D72" s="108"/>
      <c r="E72" s="108"/>
      <c r="F72" s="108"/>
      <c r="G72" s="170"/>
      <c r="H72" s="207"/>
      <c r="I72" s="92">
        <v>0.51</v>
      </c>
      <c r="J72" s="41">
        <v>0.49</v>
      </c>
      <c r="K72" s="41"/>
      <c r="L72" s="88"/>
      <c r="M72" s="147"/>
      <c r="N72" s="94">
        <f t="shared" si="36"/>
        <v>1</v>
      </c>
      <c r="O72" s="125">
        <v>1</v>
      </c>
      <c r="P72" s="112">
        <v>15</v>
      </c>
      <c r="Q72" s="113">
        <v>15</v>
      </c>
      <c r="R72" s="113"/>
      <c r="S72" s="120"/>
      <c r="T72" s="70"/>
      <c r="U72" s="71">
        <f t="shared" si="1"/>
        <v>15</v>
      </c>
      <c r="V72" s="72">
        <f t="shared" si="2"/>
        <v>15</v>
      </c>
      <c r="W72" s="201"/>
      <c r="X72" s="85"/>
      <c r="Y72" s="230"/>
      <c r="Z72" s="117"/>
      <c r="AA72" s="74"/>
      <c r="AB72" s="75">
        <f t="shared" si="3"/>
        <v>0</v>
      </c>
      <c r="AC72" s="72">
        <f t="shared" si="4"/>
        <v>0</v>
      </c>
      <c r="AD72" s="124">
        <v>2</v>
      </c>
      <c r="AE72" s="71">
        <f t="shared" si="5"/>
        <v>2</v>
      </c>
      <c r="AF72" s="76"/>
      <c r="AG72" s="54"/>
      <c r="AH72" s="77">
        <f t="shared" si="6"/>
        <v>17</v>
      </c>
      <c r="AI72" s="56">
        <v>10</v>
      </c>
      <c r="AJ72" s="56">
        <v>10</v>
      </c>
      <c r="AK72" s="56">
        <v>45</v>
      </c>
      <c r="AL72" s="57">
        <f t="shared" si="7"/>
        <v>82</v>
      </c>
      <c r="AM72" s="55">
        <f t="shared" si="8"/>
        <v>82</v>
      </c>
      <c r="AN72" s="78">
        <f t="shared" si="9"/>
        <v>1.02</v>
      </c>
      <c r="AO72" s="79"/>
      <c r="AP72" s="80">
        <f t="shared" si="35"/>
        <v>1</v>
      </c>
      <c r="AQ72" s="80">
        <f t="shared" si="35"/>
        <v>2</v>
      </c>
      <c r="AR72" s="61"/>
      <c r="AS72" s="62"/>
      <c r="AT72" s="81"/>
      <c r="AU72" s="81"/>
      <c r="AV72" s="81"/>
      <c r="AW72" s="81"/>
      <c r="AX72" s="82"/>
      <c r="AY72" s="83">
        <f t="shared" si="11"/>
        <v>0</v>
      </c>
      <c r="AZ72" s="83">
        <f t="shared" si="12"/>
        <v>0</v>
      </c>
    </row>
    <row r="73" spans="1:52" s="66" customFormat="1" ht="39.75" customHeight="1" thickBot="1" x14ac:dyDescent="0.2">
      <c r="A73" s="96"/>
      <c r="B73" s="91"/>
      <c r="C73" s="109"/>
      <c r="D73" s="109"/>
      <c r="E73" s="109"/>
      <c r="F73" s="109"/>
      <c r="G73" s="170"/>
      <c r="H73" s="207"/>
      <c r="I73" s="92">
        <v>0.51</v>
      </c>
      <c r="J73" s="41">
        <v>0.49</v>
      </c>
      <c r="K73" s="41"/>
      <c r="L73" s="42"/>
      <c r="M73" s="147"/>
      <c r="N73" s="94">
        <f t="shared" si="36"/>
        <v>1</v>
      </c>
      <c r="O73" s="125">
        <v>1</v>
      </c>
      <c r="P73" s="244">
        <v>15</v>
      </c>
      <c r="Q73" s="245">
        <v>15</v>
      </c>
      <c r="R73" s="114">
        <v>15</v>
      </c>
      <c r="S73" s="113"/>
      <c r="T73" s="70"/>
      <c r="U73" s="71">
        <f t="shared" si="1"/>
        <v>15</v>
      </c>
      <c r="V73" s="72">
        <f t="shared" si="2"/>
        <v>15</v>
      </c>
      <c r="W73" s="201"/>
      <c r="X73" s="201"/>
      <c r="Y73" s="201"/>
      <c r="Z73" s="117"/>
      <c r="AA73" s="74"/>
      <c r="AB73" s="75">
        <f t="shared" si="3"/>
        <v>0</v>
      </c>
      <c r="AC73" s="72">
        <f t="shared" si="4"/>
        <v>0</v>
      </c>
      <c r="AD73" s="124">
        <v>2</v>
      </c>
      <c r="AE73" s="71">
        <f t="shared" si="5"/>
        <v>2</v>
      </c>
      <c r="AF73" s="76"/>
      <c r="AG73" s="54"/>
      <c r="AH73" s="77">
        <f t="shared" si="6"/>
        <v>17</v>
      </c>
      <c r="AI73" s="56">
        <v>10</v>
      </c>
      <c r="AJ73" s="56">
        <v>10</v>
      </c>
      <c r="AK73" s="56">
        <v>45</v>
      </c>
      <c r="AL73" s="57">
        <f t="shared" si="7"/>
        <v>82</v>
      </c>
      <c r="AM73" s="55">
        <f t="shared" si="8"/>
        <v>82</v>
      </c>
      <c r="AN73" s="78">
        <f t="shared" si="9"/>
        <v>1.02</v>
      </c>
      <c r="AO73" s="79"/>
      <c r="AP73" s="80">
        <f t="shared" si="35"/>
        <v>1</v>
      </c>
      <c r="AQ73" s="80">
        <f t="shared" si="35"/>
        <v>2</v>
      </c>
      <c r="AR73" s="61"/>
      <c r="AS73" s="62"/>
      <c r="AT73" s="81"/>
      <c r="AU73" s="81"/>
      <c r="AV73" s="81"/>
      <c r="AW73" s="81"/>
      <c r="AX73" s="82"/>
      <c r="AY73" s="83">
        <f t="shared" si="11"/>
        <v>0</v>
      </c>
      <c r="AZ73" s="83">
        <f t="shared" si="12"/>
        <v>0</v>
      </c>
    </row>
    <row r="74" spans="1:52" s="66" customFormat="1" ht="39.75" customHeight="1" thickBot="1" x14ac:dyDescent="0.2">
      <c r="A74" s="96"/>
      <c r="B74" s="91"/>
      <c r="C74" s="131"/>
      <c r="D74" s="109"/>
      <c r="E74" s="109"/>
      <c r="F74" s="109"/>
      <c r="G74" s="170"/>
      <c r="H74" s="207"/>
      <c r="I74" s="92">
        <v>0.6</v>
      </c>
      <c r="J74" s="41">
        <v>0.25</v>
      </c>
      <c r="K74" s="41">
        <v>0.15</v>
      </c>
      <c r="L74" s="42"/>
      <c r="M74" s="147"/>
      <c r="N74" s="94">
        <f t="shared" si="36"/>
        <v>1</v>
      </c>
      <c r="O74" s="125">
        <v>1</v>
      </c>
      <c r="P74" s="112">
        <v>15</v>
      </c>
      <c r="Q74" s="113">
        <v>15</v>
      </c>
      <c r="R74" s="114">
        <v>15</v>
      </c>
      <c r="S74" s="120"/>
      <c r="T74" s="70"/>
      <c r="U74" s="71">
        <f t="shared" si="1"/>
        <v>15</v>
      </c>
      <c r="V74" s="72">
        <f t="shared" si="2"/>
        <v>15</v>
      </c>
      <c r="W74" s="205"/>
      <c r="X74" s="231"/>
      <c r="Y74" s="201"/>
      <c r="Z74" s="201"/>
      <c r="AA74" s="74"/>
      <c r="AB74" s="75">
        <f t="shared" si="3"/>
        <v>0</v>
      </c>
      <c r="AC74" s="72">
        <f t="shared" si="4"/>
        <v>0</v>
      </c>
      <c r="AD74" s="124">
        <v>2</v>
      </c>
      <c r="AE74" s="71">
        <f t="shared" si="5"/>
        <v>2</v>
      </c>
      <c r="AF74" s="76"/>
      <c r="AG74" s="54"/>
      <c r="AH74" s="77">
        <f t="shared" si="6"/>
        <v>17</v>
      </c>
      <c r="AI74" s="56">
        <v>10</v>
      </c>
      <c r="AJ74" s="56">
        <v>10</v>
      </c>
      <c r="AK74" s="56">
        <v>45</v>
      </c>
      <c r="AL74" s="57">
        <f t="shared" si="7"/>
        <v>82</v>
      </c>
      <c r="AM74" s="55">
        <f t="shared" si="8"/>
        <v>82</v>
      </c>
      <c r="AN74" s="78">
        <f t="shared" si="9"/>
        <v>1.02</v>
      </c>
      <c r="AO74" s="79"/>
      <c r="AP74" s="80">
        <f t="shared" si="35"/>
        <v>1</v>
      </c>
      <c r="AQ74" s="80">
        <f t="shared" si="35"/>
        <v>2</v>
      </c>
      <c r="AR74" s="61"/>
      <c r="AS74" s="62"/>
      <c r="AT74" s="81"/>
      <c r="AU74" s="81"/>
      <c r="AV74" s="81"/>
      <c r="AW74" s="81"/>
      <c r="AX74" s="82"/>
      <c r="AY74" s="83">
        <f t="shared" si="11"/>
        <v>0</v>
      </c>
      <c r="AZ74" s="83">
        <f t="shared" si="12"/>
        <v>0</v>
      </c>
    </row>
    <row r="75" spans="1:52" s="66" customFormat="1" ht="39.75" customHeight="1" thickBot="1" x14ac:dyDescent="0.2">
      <c r="A75" s="96"/>
      <c r="B75" s="91"/>
      <c r="C75" s="131"/>
      <c r="D75" s="131"/>
      <c r="E75" s="109"/>
      <c r="F75" s="131"/>
      <c r="G75" s="170"/>
      <c r="H75" s="207"/>
      <c r="I75" s="92">
        <v>0.6</v>
      </c>
      <c r="J75" s="41">
        <v>0.4</v>
      </c>
      <c r="K75" s="41"/>
      <c r="L75" s="42"/>
      <c r="M75" s="147"/>
      <c r="N75" s="94">
        <f t="shared" si="36"/>
        <v>1</v>
      </c>
      <c r="O75" s="125">
        <v>1</v>
      </c>
      <c r="P75" s="112">
        <v>15</v>
      </c>
      <c r="Q75" s="113">
        <v>15</v>
      </c>
      <c r="R75" s="114"/>
      <c r="S75" s="120"/>
      <c r="T75" s="70"/>
      <c r="U75" s="71">
        <f t="shared" si="1"/>
        <v>15</v>
      </c>
      <c r="V75" s="72">
        <f t="shared" si="2"/>
        <v>15</v>
      </c>
      <c r="W75" s="201"/>
      <c r="X75" s="201"/>
      <c r="Y75" s="117"/>
      <c r="Z75" s="201"/>
      <c r="AA75" s="74"/>
      <c r="AB75" s="75">
        <f t="shared" si="3"/>
        <v>0</v>
      </c>
      <c r="AC75" s="72">
        <f t="shared" si="4"/>
        <v>0</v>
      </c>
      <c r="AD75" s="124">
        <v>2</v>
      </c>
      <c r="AE75" s="71">
        <f t="shared" si="5"/>
        <v>2</v>
      </c>
      <c r="AF75" s="76"/>
      <c r="AG75" s="54"/>
      <c r="AH75" s="77">
        <f t="shared" si="6"/>
        <v>17</v>
      </c>
      <c r="AI75" s="56">
        <v>10</v>
      </c>
      <c r="AJ75" s="56">
        <v>10</v>
      </c>
      <c r="AK75" s="56">
        <v>45</v>
      </c>
      <c r="AL75" s="57">
        <f t="shared" si="7"/>
        <v>82</v>
      </c>
      <c r="AM75" s="55">
        <f t="shared" si="8"/>
        <v>82</v>
      </c>
      <c r="AN75" s="78">
        <f t="shared" si="9"/>
        <v>1.02</v>
      </c>
      <c r="AO75" s="79"/>
      <c r="AP75" s="80">
        <f t="shared" si="35"/>
        <v>1</v>
      </c>
      <c r="AQ75" s="80">
        <f t="shared" si="35"/>
        <v>2</v>
      </c>
      <c r="AR75" s="61"/>
      <c r="AS75" s="62"/>
      <c r="AT75" s="81"/>
      <c r="AU75" s="81"/>
      <c r="AV75" s="81"/>
      <c r="AW75" s="81"/>
      <c r="AX75" s="82"/>
      <c r="AY75" s="83">
        <f t="shared" si="11"/>
        <v>0</v>
      </c>
      <c r="AZ75" s="83">
        <f t="shared" si="12"/>
        <v>0</v>
      </c>
    </row>
    <row r="76" spans="1:52" s="66" customFormat="1" ht="39.75" customHeight="1" thickBot="1" x14ac:dyDescent="0.2">
      <c r="A76" s="108"/>
      <c r="B76" s="108"/>
      <c r="C76" s="108"/>
      <c r="D76" s="108"/>
      <c r="E76" s="108"/>
      <c r="F76" s="105"/>
      <c r="G76" s="170"/>
      <c r="H76" s="207"/>
      <c r="I76" s="92">
        <v>0.7</v>
      </c>
      <c r="J76" s="41">
        <v>0.3</v>
      </c>
      <c r="K76" s="41"/>
      <c r="L76" s="42"/>
      <c r="M76" s="68"/>
      <c r="N76" s="94">
        <f t="shared" si="34"/>
        <v>1</v>
      </c>
      <c r="O76" s="44">
        <v>1</v>
      </c>
      <c r="P76" s="45">
        <v>15</v>
      </c>
      <c r="Q76" s="46">
        <v>15</v>
      </c>
      <c r="R76" s="46"/>
      <c r="S76" s="121"/>
      <c r="T76" s="70"/>
      <c r="U76" s="71">
        <f t="shared" si="1"/>
        <v>15</v>
      </c>
      <c r="V76" s="72">
        <f t="shared" si="2"/>
        <v>15</v>
      </c>
      <c r="W76" s="99"/>
      <c r="X76" s="100"/>
      <c r="Y76" s="85"/>
      <c r="Z76" s="95"/>
      <c r="AA76" s="74"/>
      <c r="AB76" s="75">
        <f t="shared" si="3"/>
        <v>0</v>
      </c>
      <c r="AC76" s="72">
        <f t="shared" si="4"/>
        <v>0</v>
      </c>
      <c r="AD76" s="52">
        <v>2</v>
      </c>
      <c r="AE76" s="71">
        <f t="shared" si="5"/>
        <v>2</v>
      </c>
      <c r="AF76" s="76"/>
      <c r="AG76" s="54"/>
      <c r="AH76" s="77">
        <f t="shared" si="6"/>
        <v>17</v>
      </c>
      <c r="AI76" s="56">
        <v>10</v>
      </c>
      <c r="AJ76" s="56">
        <v>10</v>
      </c>
      <c r="AK76" s="56">
        <v>45</v>
      </c>
      <c r="AL76" s="57">
        <f t="shared" si="7"/>
        <v>82</v>
      </c>
      <c r="AM76" s="55">
        <f t="shared" si="8"/>
        <v>82</v>
      </c>
      <c r="AN76" s="78">
        <f t="shared" si="9"/>
        <v>1.02</v>
      </c>
      <c r="AO76" s="79"/>
      <c r="AP76" s="80">
        <f t="shared" si="35"/>
        <v>1</v>
      </c>
      <c r="AQ76" s="80">
        <f t="shared" si="35"/>
        <v>2</v>
      </c>
      <c r="AR76" s="61"/>
      <c r="AS76" s="62"/>
      <c r="AT76" s="81"/>
      <c r="AU76" s="81"/>
      <c r="AV76" s="81"/>
      <c r="AW76" s="81"/>
      <c r="AX76" s="82"/>
      <c r="AY76" s="83">
        <f t="shared" si="11"/>
        <v>0</v>
      </c>
      <c r="AZ76" s="83">
        <f t="shared" si="12"/>
        <v>0</v>
      </c>
    </row>
    <row r="77" spans="1:52" s="66" customFormat="1" ht="39.75" customHeight="1" thickBot="1" x14ac:dyDescent="0.2">
      <c r="A77" s="108"/>
      <c r="B77" s="108"/>
      <c r="C77" s="108"/>
      <c r="D77" s="108"/>
      <c r="E77" s="108"/>
      <c r="F77" s="105"/>
      <c r="G77" s="170"/>
      <c r="H77" s="207"/>
      <c r="I77" s="92">
        <v>0.7</v>
      </c>
      <c r="J77" s="41">
        <v>0.3</v>
      </c>
      <c r="K77" s="41"/>
      <c r="L77" s="42"/>
      <c r="M77" s="68"/>
      <c r="N77" s="94">
        <f t="shared" si="34"/>
        <v>1</v>
      </c>
      <c r="O77" s="44">
        <v>1</v>
      </c>
      <c r="P77" s="45">
        <v>15</v>
      </c>
      <c r="Q77" s="46">
        <v>15</v>
      </c>
      <c r="R77" s="46"/>
      <c r="S77" s="121"/>
      <c r="T77" s="70"/>
      <c r="U77" s="71">
        <f t="shared" si="1"/>
        <v>15</v>
      </c>
      <c r="V77" s="72">
        <f t="shared" si="2"/>
        <v>15</v>
      </c>
      <c r="W77" s="99"/>
      <c r="X77" s="100"/>
      <c r="Y77" s="85"/>
      <c r="Z77" s="95"/>
      <c r="AA77" s="74"/>
      <c r="AB77" s="75">
        <f t="shared" si="3"/>
        <v>0</v>
      </c>
      <c r="AC77" s="72">
        <f t="shared" si="4"/>
        <v>0</v>
      </c>
      <c r="AD77" s="52">
        <v>2</v>
      </c>
      <c r="AE77" s="71">
        <f t="shared" si="5"/>
        <v>2</v>
      </c>
      <c r="AF77" s="76"/>
      <c r="AG77" s="54"/>
      <c r="AH77" s="77">
        <f t="shared" si="6"/>
        <v>17</v>
      </c>
      <c r="AI77" s="56">
        <v>10</v>
      </c>
      <c r="AJ77" s="56">
        <v>10</v>
      </c>
      <c r="AK77" s="56">
        <v>45</v>
      </c>
      <c r="AL77" s="57">
        <f t="shared" si="7"/>
        <v>82</v>
      </c>
      <c r="AM77" s="55">
        <f t="shared" si="8"/>
        <v>82</v>
      </c>
      <c r="AN77" s="78">
        <f t="shared" si="9"/>
        <v>1.02</v>
      </c>
      <c r="AO77" s="79"/>
      <c r="AP77" s="80">
        <f t="shared" si="35"/>
        <v>1</v>
      </c>
      <c r="AQ77" s="80">
        <f t="shared" si="35"/>
        <v>2</v>
      </c>
      <c r="AR77" s="61"/>
      <c r="AS77" s="62"/>
      <c r="AT77" s="81"/>
      <c r="AU77" s="81"/>
      <c r="AV77" s="81"/>
      <c r="AW77" s="81"/>
      <c r="AX77" s="82"/>
      <c r="AY77" s="83">
        <f t="shared" si="11"/>
        <v>0</v>
      </c>
      <c r="AZ77" s="83">
        <f t="shared" si="12"/>
        <v>0</v>
      </c>
    </row>
    <row r="78" spans="1:52" s="66" customFormat="1" ht="39.75" customHeight="1" thickBot="1" x14ac:dyDescent="0.2">
      <c r="A78" s="108"/>
      <c r="B78" s="108"/>
      <c r="C78" s="108"/>
      <c r="D78" s="108"/>
      <c r="E78" s="108"/>
      <c r="F78" s="105"/>
      <c r="G78" s="170"/>
      <c r="H78" s="207"/>
      <c r="I78" s="92">
        <v>0.7</v>
      </c>
      <c r="J78" s="41">
        <v>0.3</v>
      </c>
      <c r="K78" s="41"/>
      <c r="L78" s="42"/>
      <c r="M78" s="68"/>
      <c r="N78" s="94">
        <f t="shared" si="34"/>
        <v>1</v>
      </c>
      <c r="O78" s="44">
        <v>1</v>
      </c>
      <c r="P78" s="45">
        <v>15</v>
      </c>
      <c r="Q78" s="46">
        <v>15</v>
      </c>
      <c r="R78" s="46"/>
      <c r="S78" s="121"/>
      <c r="T78" s="70"/>
      <c r="U78" s="71">
        <f t="shared" si="1"/>
        <v>15</v>
      </c>
      <c r="V78" s="72">
        <f t="shared" si="2"/>
        <v>15</v>
      </c>
      <c r="W78" s="99"/>
      <c r="X78" s="100"/>
      <c r="Y78" s="85"/>
      <c r="Z78" s="95"/>
      <c r="AA78" s="74"/>
      <c r="AB78" s="75">
        <f t="shared" si="3"/>
        <v>0</v>
      </c>
      <c r="AC78" s="72">
        <f t="shared" si="4"/>
        <v>0</v>
      </c>
      <c r="AD78" s="52">
        <v>2</v>
      </c>
      <c r="AE78" s="71">
        <f t="shared" si="5"/>
        <v>2</v>
      </c>
      <c r="AF78" s="76"/>
      <c r="AG78" s="54"/>
      <c r="AH78" s="77">
        <f t="shared" si="6"/>
        <v>17</v>
      </c>
      <c r="AI78" s="56">
        <v>10</v>
      </c>
      <c r="AJ78" s="56">
        <v>10</v>
      </c>
      <c r="AK78" s="56">
        <v>45</v>
      </c>
      <c r="AL78" s="57">
        <f t="shared" si="7"/>
        <v>82</v>
      </c>
      <c r="AM78" s="55">
        <f t="shared" si="8"/>
        <v>82</v>
      </c>
      <c r="AN78" s="78">
        <f t="shared" si="9"/>
        <v>1.02</v>
      </c>
      <c r="AO78" s="79"/>
      <c r="AP78" s="80">
        <f t="shared" si="35"/>
        <v>1</v>
      </c>
      <c r="AQ78" s="80">
        <f t="shared" si="35"/>
        <v>2</v>
      </c>
      <c r="AR78" s="61"/>
      <c r="AS78" s="62"/>
      <c r="AT78" s="81"/>
      <c r="AU78" s="81"/>
      <c r="AV78" s="81"/>
      <c r="AW78" s="81"/>
      <c r="AX78" s="82"/>
      <c r="AY78" s="83">
        <f t="shared" si="11"/>
        <v>0</v>
      </c>
      <c r="AZ78" s="83">
        <f t="shared" si="12"/>
        <v>0</v>
      </c>
    </row>
    <row r="79" spans="1:52" s="66" customFormat="1" ht="39.75" customHeight="1" thickBot="1" x14ac:dyDescent="0.2">
      <c r="A79" s="108"/>
      <c r="B79" s="108"/>
      <c r="C79" s="108"/>
      <c r="D79" s="108"/>
      <c r="E79" s="108"/>
      <c r="F79" s="105"/>
      <c r="G79" s="170"/>
      <c r="H79" s="207"/>
      <c r="I79" s="92">
        <v>0.7</v>
      </c>
      <c r="J79" s="41">
        <v>0.3</v>
      </c>
      <c r="K79" s="41"/>
      <c r="L79" s="42"/>
      <c r="M79" s="68"/>
      <c r="N79" s="94">
        <f t="shared" si="34"/>
        <v>1</v>
      </c>
      <c r="O79" s="44">
        <v>1</v>
      </c>
      <c r="P79" s="45">
        <v>15</v>
      </c>
      <c r="Q79" s="46">
        <v>15</v>
      </c>
      <c r="R79" s="46"/>
      <c r="S79" s="121"/>
      <c r="T79" s="70"/>
      <c r="U79" s="71">
        <f t="shared" si="1"/>
        <v>15</v>
      </c>
      <c r="V79" s="72">
        <f t="shared" si="2"/>
        <v>15</v>
      </c>
      <c r="W79" s="99"/>
      <c r="X79" s="100"/>
      <c r="Y79" s="85"/>
      <c r="Z79" s="95"/>
      <c r="AA79" s="74"/>
      <c r="AB79" s="75">
        <f t="shared" si="3"/>
        <v>0</v>
      </c>
      <c r="AC79" s="72">
        <f t="shared" si="4"/>
        <v>0</v>
      </c>
      <c r="AD79" s="52">
        <v>2</v>
      </c>
      <c r="AE79" s="71">
        <f t="shared" si="5"/>
        <v>2</v>
      </c>
      <c r="AF79" s="76"/>
      <c r="AG79" s="54"/>
      <c r="AH79" s="77">
        <f t="shared" si="6"/>
        <v>17</v>
      </c>
      <c r="AI79" s="56">
        <v>10</v>
      </c>
      <c r="AJ79" s="56">
        <v>10</v>
      </c>
      <c r="AK79" s="56">
        <v>45</v>
      </c>
      <c r="AL79" s="57">
        <f t="shared" si="7"/>
        <v>82</v>
      </c>
      <c r="AM79" s="55">
        <f t="shared" si="8"/>
        <v>82</v>
      </c>
      <c r="AN79" s="78">
        <f t="shared" si="9"/>
        <v>1.02</v>
      </c>
      <c r="AO79" s="79"/>
      <c r="AP79" s="80">
        <f t="shared" si="35"/>
        <v>1</v>
      </c>
      <c r="AQ79" s="80">
        <f t="shared" si="35"/>
        <v>2</v>
      </c>
      <c r="AR79" s="61"/>
      <c r="AS79" s="62"/>
      <c r="AT79" s="81"/>
      <c r="AU79" s="81"/>
      <c r="AV79" s="81"/>
      <c r="AW79" s="81"/>
      <c r="AX79" s="82"/>
      <c r="AY79" s="83">
        <f t="shared" si="11"/>
        <v>0</v>
      </c>
      <c r="AZ79" s="83">
        <f t="shared" si="12"/>
        <v>0</v>
      </c>
    </row>
    <row r="80" spans="1:52" s="66" customFormat="1" ht="39.75" customHeight="1" thickBot="1" x14ac:dyDescent="0.2">
      <c r="A80" s="108"/>
      <c r="B80" s="108"/>
      <c r="C80" s="108"/>
      <c r="D80" s="108"/>
      <c r="E80" s="108"/>
      <c r="F80" s="105"/>
      <c r="G80" s="170"/>
      <c r="H80" s="207"/>
      <c r="I80" s="92">
        <v>0.7</v>
      </c>
      <c r="J80" s="41">
        <v>0.3</v>
      </c>
      <c r="K80" s="41"/>
      <c r="L80" s="42"/>
      <c r="M80" s="68"/>
      <c r="N80" s="94">
        <f t="shared" si="34"/>
        <v>1</v>
      </c>
      <c r="O80" s="44">
        <v>1</v>
      </c>
      <c r="P80" s="45">
        <v>15</v>
      </c>
      <c r="Q80" s="46">
        <v>15</v>
      </c>
      <c r="R80" s="46"/>
      <c r="S80" s="121"/>
      <c r="T80" s="70"/>
      <c r="U80" s="71">
        <f t="shared" si="1"/>
        <v>15</v>
      </c>
      <c r="V80" s="72">
        <f t="shared" si="2"/>
        <v>15</v>
      </c>
      <c r="W80" s="99"/>
      <c r="X80" s="100"/>
      <c r="Y80" s="85"/>
      <c r="Z80" s="95"/>
      <c r="AA80" s="74"/>
      <c r="AB80" s="75">
        <f t="shared" si="3"/>
        <v>0</v>
      </c>
      <c r="AC80" s="72">
        <f t="shared" si="4"/>
        <v>0</v>
      </c>
      <c r="AD80" s="52">
        <v>2</v>
      </c>
      <c r="AE80" s="71">
        <f t="shared" si="5"/>
        <v>2</v>
      </c>
      <c r="AF80" s="76"/>
      <c r="AG80" s="54"/>
      <c r="AH80" s="77">
        <f t="shared" si="6"/>
        <v>17</v>
      </c>
      <c r="AI80" s="56">
        <v>10</v>
      </c>
      <c r="AJ80" s="56">
        <v>10</v>
      </c>
      <c r="AK80" s="56">
        <v>45</v>
      </c>
      <c r="AL80" s="57">
        <f t="shared" si="7"/>
        <v>82</v>
      </c>
      <c r="AM80" s="55">
        <f t="shared" si="8"/>
        <v>82</v>
      </c>
      <c r="AN80" s="78">
        <f t="shared" si="9"/>
        <v>1.02</v>
      </c>
      <c r="AO80" s="79"/>
      <c r="AP80" s="80">
        <f t="shared" si="35"/>
        <v>1</v>
      </c>
      <c r="AQ80" s="80">
        <f t="shared" si="35"/>
        <v>2</v>
      </c>
      <c r="AR80" s="61"/>
      <c r="AS80" s="62"/>
      <c r="AT80" s="81"/>
      <c r="AU80" s="81"/>
      <c r="AV80" s="81"/>
      <c r="AW80" s="81"/>
      <c r="AX80" s="82"/>
      <c r="AY80" s="83">
        <f t="shared" si="11"/>
        <v>0</v>
      </c>
      <c r="AZ80" s="83">
        <f t="shared" si="12"/>
        <v>0</v>
      </c>
    </row>
    <row r="81" spans="1:52" s="66" customFormat="1" ht="39.75" customHeight="1" thickBot="1" x14ac:dyDescent="0.2">
      <c r="A81" s="106"/>
      <c r="B81" s="106"/>
      <c r="C81" s="106"/>
      <c r="D81" s="106"/>
      <c r="E81" s="106"/>
      <c r="F81" s="105"/>
      <c r="G81" s="170"/>
      <c r="H81" s="207"/>
      <c r="I81" s="92">
        <v>0.7</v>
      </c>
      <c r="J81" s="41">
        <v>0.3</v>
      </c>
      <c r="K81" s="41"/>
      <c r="L81" s="42"/>
      <c r="M81" s="68"/>
      <c r="N81" s="94">
        <f t="shared" si="34"/>
        <v>1</v>
      </c>
      <c r="O81" s="44">
        <v>1</v>
      </c>
      <c r="P81" s="45">
        <v>15</v>
      </c>
      <c r="Q81" s="46">
        <v>15</v>
      </c>
      <c r="R81" s="46"/>
      <c r="S81" s="121"/>
      <c r="T81" s="70"/>
      <c r="U81" s="71">
        <f t="shared" si="1"/>
        <v>15</v>
      </c>
      <c r="V81" s="72">
        <f t="shared" si="2"/>
        <v>15</v>
      </c>
      <c r="W81" s="99"/>
      <c r="X81" s="100"/>
      <c r="Y81" s="85"/>
      <c r="Z81" s="95"/>
      <c r="AA81" s="74"/>
      <c r="AB81" s="75">
        <f t="shared" si="3"/>
        <v>0</v>
      </c>
      <c r="AC81" s="72">
        <f t="shared" si="4"/>
        <v>0</v>
      </c>
      <c r="AD81" s="52">
        <v>2</v>
      </c>
      <c r="AE81" s="71">
        <f t="shared" si="5"/>
        <v>2</v>
      </c>
      <c r="AF81" s="76"/>
      <c r="AG81" s="54"/>
      <c r="AH81" s="77">
        <f t="shared" si="6"/>
        <v>17</v>
      </c>
      <c r="AI81" s="56">
        <v>10</v>
      </c>
      <c r="AJ81" s="56">
        <v>10</v>
      </c>
      <c r="AK81" s="56">
        <v>45</v>
      </c>
      <c r="AL81" s="57">
        <f t="shared" si="7"/>
        <v>82</v>
      </c>
      <c r="AM81" s="55">
        <f t="shared" si="8"/>
        <v>82</v>
      </c>
      <c r="AN81" s="78">
        <f t="shared" si="9"/>
        <v>1.02</v>
      </c>
      <c r="AO81" s="79"/>
      <c r="AP81" s="80">
        <f t="shared" si="35"/>
        <v>1</v>
      </c>
      <c r="AQ81" s="80">
        <f t="shared" si="35"/>
        <v>2</v>
      </c>
      <c r="AR81" s="61"/>
      <c r="AS81" s="62"/>
      <c r="AT81" s="81"/>
      <c r="AU81" s="81"/>
      <c r="AV81" s="81"/>
      <c r="AW81" s="81"/>
      <c r="AX81" s="82"/>
      <c r="AY81" s="83">
        <f t="shared" si="11"/>
        <v>0</v>
      </c>
      <c r="AZ81" s="83">
        <f t="shared" si="12"/>
        <v>0</v>
      </c>
    </row>
    <row r="82" spans="1:52" s="66" customFormat="1" ht="39.75" customHeight="1" thickBot="1" x14ac:dyDescent="0.2">
      <c r="A82" s="106"/>
      <c r="B82" s="106"/>
      <c r="C82" s="106"/>
      <c r="D82" s="106"/>
      <c r="E82" s="106"/>
      <c r="F82" s="105"/>
      <c r="G82" s="170"/>
      <c r="H82" s="207"/>
      <c r="I82" s="92">
        <v>0.7</v>
      </c>
      <c r="J82" s="41">
        <v>0.3</v>
      </c>
      <c r="K82" s="41"/>
      <c r="L82" s="42"/>
      <c r="M82" s="68"/>
      <c r="N82" s="94">
        <f t="shared" ref="N82:N145" si="37">SUM(I82:M82)</f>
        <v>1</v>
      </c>
      <c r="O82" s="44">
        <v>1</v>
      </c>
      <c r="P82" s="45">
        <v>15</v>
      </c>
      <c r="Q82" s="46">
        <v>15</v>
      </c>
      <c r="R82" s="46"/>
      <c r="S82" s="121"/>
      <c r="T82" s="70"/>
      <c r="U82" s="71">
        <f t="shared" ref="U82:U145" si="38">ROUND(((P82*I82)+(Q82*J82)+(R82*K82)+(S82*L82)+(T82*M82))*O82,2)</f>
        <v>15</v>
      </c>
      <c r="V82" s="72">
        <f t="shared" ref="V82:V145" si="39">IF(U82&gt;=15,15,U82)</f>
        <v>15</v>
      </c>
      <c r="W82" s="99"/>
      <c r="X82" s="100"/>
      <c r="Y82" s="85"/>
      <c r="Z82" s="95"/>
      <c r="AA82" s="74"/>
      <c r="AB82" s="75">
        <f t="shared" ref="AB82:AB145" si="40">ROUND((((W82*I82)+(X82*J82)+(Y82*K82)+(Z82*L82)+(AA82*M82))/$I$2),2)*13</f>
        <v>0</v>
      </c>
      <c r="AC82" s="72">
        <f t="shared" ref="AC82:AC145" si="41">IF(AB82&gt;=13,13,AB82)</f>
        <v>0</v>
      </c>
      <c r="AD82" s="52">
        <v>2</v>
      </c>
      <c r="AE82" s="71">
        <f t="shared" ref="AE82:AE145" si="42">IF((AC82+AD82)&gt;=15,15,(AC82+AD82))</f>
        <v>2</v>
      </c>
      <c r="AF82" s="76"/>
      <c r="AG82" s="54"/>
      <c r="AH82" s="77">
        <f t="shared" ref="AH82:AH145" si="43">IF((V82+AE82+AF82)&gt;=30,30,(V82+AE82+AF82))</f>
        <v>17</v>
      </c>
      <c r="AI82" s="56">
        <v>10</v>
      </c>
      <c r="AJ82" s="56">
        <v>10</v>
      </c>
      <c r="AK82" s="56">
        <v>45</v>
      </c>
      <c r="AL82" s="57">
        <f t="shared" ref="AL82:AL145" si="44">V82+AE82+AF82+AI82+AJ82+AK82+AG82</f>
        <v>82</v>
      </c>
      <c r="AM82" s="55">
        <f t="shared" ref="AM82:AM145" si="45">IF(AH82+AI82+AJ82+AK82+AG82&gt;=95,95,AH82+AI82+AJ82+AK82+AG82)</f>
        <v>82</v>
      </c>
      <c r="AN82" s="78">
        <f t="shared" ref="AN82:AN145" si="46">-((50-((176+(45+(50-AH82)))))/200)</f>
        <v>1.02</v>
      </c>
      <c r="AO82" s="79"/>
      <c r="AP82" s="80">
        <f t="shared" si="35"/>
        <v>1</v>
      </c>
      <c r="AQ82" s="80">
        <f t="shared" si="35"/>
        <v>2</v>
      </c>
      <c r="AR82" s="61"/>
      <c r="AS82" s="62"/>
      <c r="AT82" s="81"/>
      <c r="AU82" s="81"/>
      <c r="AV82" s="81"/>
      <c r="AW82" s="81"/>
      <c r="AX82" s="82"/>
      <c r="AY82" s="83">
        <f t="shared" ref="AY82:AY145" si="47">AT82+AU82+AV82+AW82+AX82</f>
        <v>0</v>
      </c>
      <c r="AZ82" s="83">
        <f t="shared" ref="AZ82:AZ145" si="48">(AT82*I82)+(AU82*J82)+(AV82*K82)+(AW82*L82)+(AX82*M82)</f>
        <v>0</v>
      </c>
    </row>
    <row r="83" spans="1:52" s="66" customFormat="1" ht="39.75" customHeight="1" thickBot="1" x14ac:dyDescent="0.2">
      <c r="A83" s="101"/>
      <c r="B83" s="101"/>
      <c r="C83" s="108"/>
      <c r="D83" s="108"/>
      <c r="E83" s="108"/>
      <c r="F83" s="105"/>
      <c r="G83" s="170"/>
      <c r="H83" s="207"/>
      <c r="I83" s="92">
        <v>0.7</v>
      </c>
      <c r="J83" s="41">
        <v>0.3</v>
      </c>
      <c r="K83" s="41"/>
      <c r="L83" s="42"/>
      <c r="M83" s="68"/>
      <c r="N83" s="94">
        <f t="shared" si="37"/>
        <v>1</v>
      </c>
      <c r="O83" s="44">
        <v>1</v>
      </c>
      <c r="P83" s="45">
        <v>15</v>
      </c>
      <c r="Q83" s="46">
        <v>15</v>
      </c>
      <c r="R83" s="46"/>
      <c r="S83" s="121"/>
      <c r="T83" s="70"/>
      <c r="U83" s="71">
        <f t="shared" si="38"/>
        <v>15</v>
      </c>
      <c r="V83" s="72">
        <f t="shared" si="39"/>
        <v>15</v>
      </c>
      <c r="W83" s="99"/>
      <c r="X83" s="100"/>
      <c r="Y83" s="85"/>
      <c r="Z83" s="95"/>
      <c r="AA83" s="74"/>
      <c r="AB83" s="75">
        <f t="shared" si="40"/>
        <v>0</v>
      </c>
      <c r="AC83" s="72">
        <f t="shared" si="41"/>
        <v>0</v>
      </c>
      <c r="AD83" s="52">
        <v>2</v>
      </c>
      <c r="AE83" s="71">
        <f t="shared" si="42"/>
        <v>2</v>
      </c>
      <c r="AF83" s="76"/>
      <c r="AG83" s="54"/>
      <c r="AH83" s="77">
        <f t="shared" si="43"/>
        <v>17</v>
      </c>
      <c r="AI83" s="56">
        <v>10</v>
      </c>
      <c r="AJ83" s="56">
        <v>10</v>
      </c>
      <c r="AK83" s="56">
        <v>45</v>
      </c>
      <c r="AL83" s="57">
        <f t="shared" si="44"/>
        <v>82</v>
      </c>
      <c r="AM83" s="55">
        <f t="shared" si="45"/>
        <v>82</v>
      </c>
      <c r="AN83" s="78">
        <f t="shared" si="46"/>
        <v>1.02</v>
      </c>
      <c r="AO83" s="79"/>
      <c r="AP83" s="80">
        <f t="shared" si="35"/>
        <v>1</v>
      </c>
      <c r="AQ83" s="80">
        <f t="shared" si="35"/>
        <v>2</v>
      </c>
      <c r="AR83" s="61"/>
      <c r="AS83" s="62"/>
      <c r="AT83" s="81"/>
      <c r="AU83" s="81"/>
      <c r="AV83" s="81"/>
      <c r="AW83" s="81"/>
      <c r="AX83" s="82"/>
      <c r="AY83" s="83">
        <f t="shared" si="47"/>
        <v>0</v>
      </c>
      <c r="AZ83" s="83">
        <f t="shared" si="48"/>
        <v>0</v>
      </c>
    </row>
    <row r="84" spans="1:52" s="66" customFormat="1" ht="39.75" customHeight="1" thickBot="1" x14ac:dyDescent="0.2">
      <c r="A84" s="101"/>
      <c r="B84" s="101"/>
      <c r="C84" s="108"/>
      <c r="D84" s="108"/>
      <c r="E84" s="108"/>
      <c r="F84" s="110"/>
      <c r="G84" s="169"/>
      <c r="H84" s="207"/>
      <c r="I84" s="92">
        <v>0.7</v>
      </c>
      <c r="J84" s="41">
        <v>0.3</v>
      </c>
      <c r="K84" s="41"/>
      <c r="L84" s="42"/>
      <c r="M84" s="68"/>
      <c r="N84" s="94">
        <f t="shared" si="37"/>
        <v>1</v>
      </c>
      <c r="O84" s="44">
        <v>1</v>
      </c>
      <c r="P84" s="45">
        <v>15</v>
      </c>
      <c r="Q84" s="46">
        <v>15</v>
      </c>
      <c r="R84" s="46"/>
      <c r="S84" s="121"/>
      <c r="T84" s="70"/>
      <c r="U84" s="71">
        <f t="shared" si="38"/>
        <v>15</v>
      </c>
      <c r="V84" s="72">
        <f t="shared" si="39"/>
        <v>15</v>
      </c>
      <c r="W84" s="99"/>
      <c r="X84" s="100"/>
      <c r="Y84" s="85"/>
      <c r="Z84" s="95"/>
      <c r="AA84" s="74"/>
      <c r="AB84" s="75">
        <f t="shared" si="40"/>
        <v>0</v>
      </c>
      <c r="AC84" s="72">
        <f t="shared" si="41"/>
        <v>0</v>
      </c>
      <c r="AD84" s="52">
        <v>2</v>
      </c>
      <c r="AE84" s="71">
        <f t="shared" si="42"/>
        <v>2</v>
      </c>
      <c r="AF84" s="76"/>
      <c r="AG84" s="54"/>
      <c r="AH84" s="77">
        <f t="shared" si="43"/>
        <v>17</v>
      </c>
      <c r="AI84" s="56">
        <v>10</v>
      </c>
      <c r="AJ84" s="56">
        <v>10</v>
      </c>
      <c r="AK84" s="56">
        <v>45</v>
      </c>
      <c r="AL84" s="57">
        <f t="shared" si="44"/>
        <v>82</v>
      </c>
      <c r="AM84" s="55">
        <f t="shared" si="45"/>
        <v>82</v>
      </c>
      <c r="AN84" s="78">
        <f t="shared" si="46"/>
        <v>1.02</v>
      </c>
      <c r="AO84" s="79"/>
      <c r="AP84" s="80">
        <f t="shared" si="35"/>
        <v>1</v>
      </c>
      <c r="AQ84" s="80">
        <f t="shared" si="35"/>
        <v>2</v>
      </c>
      <c r="AR84" s="61"/>
      <c r="AS84" s="62"/>
      <c r="AT84" s="81"/>
      <c r="AU84" s="81"/>
      <c r="AV84" s="81"/>
      <c r="AW84" s="81"/>
      <c r="AX84" s="82"/>
      <c r="AY84" s="83">
        <f t="shared" si="47"/>
        <v>0</v>
      </c>
      <c r="AZ84" s="83">
        <f t="shared" si="48"/>
        <v>0</v>
      </c>
    </row>
    <row r="85" spans="1:52" s="66" customFormat="1" ht="39.75" customHeight="1" thickBot="1" x14ac:dyDescent="0.2">
      <c r="A85" s="101"/>
      <c r="B85" s="101"/>
      <c r="C85" s="101"/>
      <c r="D85" s="101"/>
      <c r="E85" s="101"/>
      <c r="F85" s="40"/>
      <c r="G85" s="90"/>
      <c r="H85" s="207"/>
      <c r="I85" s="92">
        <v>0.7</v>
      </c>
      <c r="J85" s="41">
        <v>0.3</v>
      </c>
      <c r="K85" s="41"/>
      <c r="L85" s="42"/>
      <c r="M85" s="68"/>
      <c r="N85" s="94">
        <f t="shared" si="37"/>
        <v>1</v>
      </c>
      <c r="O85" s="44">
        <v>1</v>
      </c>
      <c r="P85" s="45">
        <v>15</v>
      </c>
      <c r="Q85" s="46">
        <v>15</v>
      </c>
      <c r="R85" s="46"/>
      <c r="S85" s="121"/>
      <c r="T85" s="70"/>
      <c r="U85" s="71">
        <f t="shared" si="38"/>
        <v>15</v>
      </c>
      <c r="V85" s="72">
        <f t="shared" si="39"/>
        <v>15</v>
      </c>
      <c r="W85" s="99"/>
      <c r="X85" s="100"/>
      <c r="Y85" s="85"/>
      <c r="Z85" s="95"/>
      <c r="AA85" s="74"/>
      <c r="AB85" s="75">
        <f t="shared" si="40"/>
        <v>0</v>
      </c>
      <c r="AC85" s="72">
        <f t="shared" si="41"/>
        <v>0</v>
      </c>
      <c r="AD85" s="52">
        <v>2</v>
      </c>
      <c r="AE85" s="71">
        <f t="shared" si="42"/>
        <v>2</v>
      </c>
      <c r="AF85" s="76"/>
      <c r="AG85" s="54"/>
      <c r="AH85" s="77">
        <f t="shared" si="43"/>
        <v>17</v>
      </c>
      <c r="AI85" s="56">
        <v>10</v>
      </c>
      <c r="AJ85" s="56">
        <v>10</v>
      </c>
      <c r="AK85" s="56">
        <v>45</v>
      </c>
      <c r="AL85" s="57">
        <f t="shared" si="44"/>
        <v>82</v>
      </c>
      <c r="AM85" s="55">
        <f t="shared" si="45"/>
        <v>82</v>
      </c>
      <c r="AN85" s="78">
        <f t="shared" si="46"/>
        <v>1.02</v>
      </c>
      <c r="AO85" s="79"/>
      <c r="AP85" s="80">
        <f t="shared" ref="AP85:AQ104" si="49">100%+AO85</f>
        <v>1</v>
      </c>
      <c r="AQ85" s="80">
        <f t="shared" si="49"/>
        <v>2</v>
      </c>
      <c r="AR85" s="61"/>
      <c r="AS85" s="62"/>
      <c r="AT85" s="81"/>
      <c r="AU85" s="81"/>
      <c r="AV85" s="81"/>
      <c r="AW85" s="81"/>
      <c r="AX85" s="82"/>
      <c r="AY85" s="83">
        <f t="shared" si="47"/>
        <v>0</v>
      </c>
      <c r="AZ85" s="83">
        <f t="shared" si="48"/>
        <v>0</v>
      </c>
    </row>
    <row r="86" spans="1:52" s="66" customFormat="1" ht="39.75" customHeight="1" thickBot="1" x14ac:dyDescent="0.2">
      <c r="A86" s="101"/>
      <c r="B86" s="101"/>
      <c r="C86" s="101"/>
      <c r="D86" s="101"/>
      <c r="E86" s="101"/>
      <c r="F86" s="40"/>
      <c r="G86" s="90"/>
      <c r="H86" s="207"/>
      <c r="I86" s="92">
        <v>0.7</v>
      </c>
      <c r="J86" s="41">
        <v>0.3</v>
      </c>
      <c r="K86" s="41"/>
      <c r="L86" s="42"/>
      <c r="M86" s="68"/>
      <c r="N86" s="94">
        <f t="shared" si="37"/>
        <v>1</v>
      </c>
      <c r="O86" s="44">
        <v>1</v>
      </c>
      <c r="P86" s="45">
        <v>15</v>
      </c>
      <c r="Q86" s="46">
        <v>15</v>
      </c>
      <c r="R86" s="46"/>
      <c r="S86" s="121"/>
      <c r="T86" s="70"/>
      <c r="U86" s="71">
        <f t="shared" si="38"/>
        <v>15</v>
      </c>
      <c r="V86" s="72">
        <f t="shared" si="39"/>
        <v>15</v>
      </c>
      <c r="W86" s="99"/>
      <c r="X86" s="100"/>
      <c r="Y86" s="85"/>
      <c r="Z86" s="95"/>
      <c r="AA86" s="74"/>
      <c r="AB86" s="75">
        <f t="shared" si="40"/>
        <v>0</v>
      </c>
      <c r="AC86" s="72">
        <f t="shared" si="41"/>
        <v>0</v>
      </c>
      <c r="AD86" s="52">
        <v>2</v>
      </c>
      <c r="AE86" s="71">
        <f t="shared" si="42"/>
        <v>2</v>
      </c>
      <c r="AF86" s="76"/>
      <c r="AG86" s="54"/>
      <c r="AH86" s="77">
        <f t="shared" si="43"/>
        <v>17</v>
      </c>
      <c r="AI86" s="56">
        <v>10</v>
      </c>
      <c r="AJ86" s="56">
        <v>10</v>
      </c>
      <c r="AK86" s="56">
        <v>45</v>
      </c>
      <c r="AL86" s="57">
        <f t="shared" si="44"/>
        <v>82</v>
      </c>
      <c r="AM86" s="55">
        <f t="shared" si="45"/>
        <v>82</v>
      </c>
      <c r="AN86" s="78">
        <f t="shared" si="46"/>
        <v>1.02</v>
      </c>
      <c r="AO86" s="79"/>
      <c r="AP86" s="80">
        <f t="shared" si="49"/>
        <v>1</v>
      </c>
      <c r="AQ86" s="80">
        <f t="shared" si="49"/>
        <v>2</v>
      </c>
      <c r="AR86" s="61"/>
      <c r="AS86" s="62"/>
      <c r="AT86" s="81"/>
      <c r="AU86" s="81"/>
      <c r="AV86" s="81"/>
      <c r="AW86" s="81"/>
      <c r="AX86" s="82"/>
      <c r="AY86" s="83">
        <f t="shared" si="47"/>
        <v>0</v>
      </c>
      <c r="AZ86" s="83">
        <f t="shared" si="48"/>
        <v>0</v>
      </c>
    </row>
    <row r="87" spans="1:52" s="66" customFormat="1" ht="39.75" customHeight="1" thickBot="1" x14ac:dyDescent="0.2">
      <c r="A87" s="101"/>
      <c r="B87" s="101"/>
      <c r="C87" s="101"/>
      <c r="D87" s="101"/>
      <c r="E87" s="101"/>
      <c r="F87" s="40"/>
      <c r="G87" s="90"/>
      <c r="H87" s="207"/>
      <c r="I87" s="92">
        <v>0.7</v>
      </c>
      <c r="J87" s="41">
        <v>0.3</v>
      </c>
      <c r="K87" s="41"/>
      <c r="L87" s="42"/>
      <c r="M87" s="68"/>
      <c r="N87" s="94">
        <f t="shared" si="37"/>
        <v>1</v>
      </c>
      <c r="O87" s="44">
        <v>1</v>
      </c>
      <c r="P87" s="45">
        <v>15</v>
      </c>
      <c r="Q87" s="46">
        <v>15</v>
      </c>
      <c r="R87" s="46"/>
      <c r="S87" s="121"/>
      <c r="T87" s="70"/>
      <c r="U87" s="71">
        <f t="shared" si="38"/>
        <v>15</v>
      </c>
      <c r="V87" s="72">
        <f t="shared" si="39"/>
        <v>15</v>
      </c>
      <c r="W87" s="99"/>
      <c r="X87" s="100"/>
      <c r="Y87" s="85"/>
      <c r="Z87" s="95"/>
      <c r="AA87" s="74"/>
      <c r="AB87" s="75">
        <f t="shared" si="40"/>
        <v>0</v>
      </c>
      <c r="AC87" s="72">
        <f t="shared" si="41"/>
        <v>0</v>
      </c>
      <c r="AD87" s="52">
        <v>2</v>
      </c>
      <c r="AE87" s="71">
        <f t="shared" si="42"/>
        <v>2</v>
      </c>
      <c r="AF87" s="76"/>
      <c r="AG87" s="54"/>
      <c r="AH87" s="77">
        <f t="shared" si="43"/>
        <v>17</v>
      </c>
      <c r="AI87" s="56">
        <v>10</v>
      </c>
      <c r="AJ87" s="56">
        <v>10</v>
      </c>
      <c r="AK87" s="56">
        <v>45</v>
      </c>
      <c r="AL87" s="57">
        <f t="shared" si="44"/>
        <v>82</v>
      </c>
      <c r="AM87" s="55">
        <f t="shared" si="45"/>
        <v>82</v>
      </c>
      <c r="AN87" s="78">
        <f t="shared" si="46"/>
        <v>1.02</v>
      </c>
      <c r="AO87" s="79"/>
      <c r="AP87" s="80">
        <f t="shared" si="49"/>
        <v>1</v>
      </c>
      <c r="AQ87" s="80">
        <f t="shared" si="49"/>
        <v>2</v>
      </c>
      <c r="AR87" s="61"/>
      <c r="AS87" s="62"/>
      <c r="AT87" s="81"/>
      <c r="AU87" s="81"/>
      <c r="AV87" s="81"/>
      <c r="AW87" s="81"/>
      <c r="AX87" s="82"/>
      <c r="AY87" s="83">
        <f t="shared" si="47"/>
        <v>0</v>
      </c>
      <c r="AZ87" s="83">
        <f t="shared" si="48"/>
        <v>0</v>
      </c>
    </row>
    <row r="88" spans="1:52" s="66" customFormat="1" ht="39.75" customHeight="1" thickBot="1" x14ac:dyDescent="0.2">
      <c r="A88" s="101"/>
      <c r="B88" s="101"/>
      <c r="C88" s="101"/>
      <c r="D88" s="101"/>
      <c r="E88" s="101"/>
      <c r="F88" s="40"/>
      <c r="G88" s="90"/>
      <c r="H88" s="207"/>
      <c r="I88" s="92">
        <v>0.7</v>
      </c>
      <c r="J88" s="41">
        <v>0.3</v>
      </c>
      <c r="K88" s="41"/>
      <c r="L88" s="42"/>
      <c r="M88" s="68"/>
      <c r="N88" s="94">
        <f t="shared" si="37"/>
        <v>1</v>
      </c>
      <c r="O88" s="44">
        <v>1</v>
      </c>
      <c r="P88" s="45">
        <v>15</v>
      </c>
      <c r="Q88" s="46">
        <v>15</v>
      </c>
      <c r="R88" s="46"/>
      <c r="S88" s="121"/>
      <c r="T88" s="70"/>
      <c r="U88" s="71">
        <f t="shared" si="38"/>
        <v>15</v>
      </c>
      <c r="V88" s="72">
        <f t="shared" si="39"/>
        <v>15</v>
      </c>
      <c r="W88" s="99"/>
      <c r="X88" s="100"/>
      <c r="Y88" s="85"/>
      <c r="Z88" s="95"/>
      <c r="AA88" s="74"/>
      <c r="AB88" s="75">
        <f t="shared" si="40"/>
        <v>0</v>
      </c>
      <c r="AC88" s="72">
        <f t="shared" si="41"/>
        <v>0</v>
      </c>
      <c r="AD88" s="52">
        <v>2</v>
      </c>
      <c r="AE88" s="71">
        <f t="shared" si="42"/>
        <v>2</v>
      </c>
      <c r="AF88" s="76"/>
      <c r="AG88" s="54"/>
      <c r="AH88" s="77">
        <f t="shared" si="43"/>
        <v>17</v>
      </c>
      <c r="AI88" s="56">
        <v>10</v>
      </c>
      <c r="AJ88" s="56">
        <v>10</v>
      </c>
      <c r="AK88" s="56">
        <v>45</v>
      </c>
      <c r="AL88" s="57">
        <f t="shared" si="44"/>
        <v>82</v>
      </c>
      <c r="AM88" s="55">
        <f t="shared" si="45"/>
        <v>82</v>
      </c>
      <c r="AN88" s="78">
        <f t="shared" si="46"/>
        <v>1.02</v>
      </c>
      <c r="AO88" s="79"/>
      <c r="AP88" s="80">
        <f t="shared" si="49"/>
        <v>1</v>
      </c>
      <c r="AQ88" s="80">
        <f t="shared" si="49"/>
        <v>2</v>
      </c>
      <c r="AR88" s="61"/>
      <c r="AS88" s="62"/>
      <c r="AT88" s="81"/>
      <c r="AU88" s="81"/>
      <c r="AV88" s="81"/>
      <c r="AW88" s="81"/>
      <c r="AX88" s="82"/>
      <c r="AY88" s="83">
        <f t="shared" si="47"/>
        <v>0</v>
      </c>
      <c r="AZ88" s="83">
        <f t="shared" si="48"/>
        <v>0</v>
      </c>
    </row>
    <row r="89" spans="1:52" s="66" customFormat="1" ht="39.75" customHeight="1" thickBot="1" x14ac:dyDescent="0.2">
      <c r="A89" s="101"/>
      <c r="B89" s="101"/>
      <c r="C89" s="101"/>
      <c r="D89" s="101"/>
      <c r="E89" s="101"/>
      <c r="F89" s="40"/>
      <c r="G89" s="90"/>
      <c r="H89" s="207"/>
      <c r="I89" s="92">
        <v>0.51</v>
      </c>
      <c r="J89" s="41">
        <v>0.49</v>
      </c>
      <c r="K89" s="41"/>
      <c r="L89" s="42"/>
      <c r="M89" s="68"/>
      <c r="N89" s="94">
        <f t="shared" si="37"/>
        <v>1</v>
      </c>
      <c r="O89" s="44">
        <v>1</v>
      </c>
      <c r="P89" s="45">
        <v>15</v>
      </c>
      <c r="Q89" s="46">
        <v>15</v>
      </c>
      <c r="R89" s="46"/>
      <c r="S89" s="121"/>
      <c r="T89" s="70"/>
      <c r="U89" s="71">
        <f t="shared" si="38"/>
        <v>15</v>
      </c>
      <c r="V89" s="72">
        <f t="shared" si="39"/>
        <v>15</v>
      </c>
      <c r="W89" s="99"/>
      <c r="X89" s="100"/>
      <c r="Y89" s="85"/>
      <c r="Z89" s="95"/>
      <c r="AA89" s="74"/>
      <c r="AB89" s="75">
        <f t="shared" si="40"/>
        <v>0</v>
      </c>
      <c r="AC89" s="72">
        <f t="shared" si="41"/>
        <v>0</v>
      </c>
      <c r="AD89" s="52">
        <v>2</v>
      </c>
      <c r="AE89" s="71">
        <f t="shared" si="42"/>
        <v>2</v>
      </c>
      <c r="AF89" s="76"/>
      <c r="AG89" s="54"/>
      <c r="AH89" s="77">
        <f t="shared" si="43"/>
        <v>17</v>
      </c>
      <c r="AI89" s="56">
        <v>10</v>
      </c>
      <c r="AJ89" s="56">
        <v>10</v>
      </c>
      <c r="AK89" s="56">
        <v>45</v>
      </c>
      <c r="AL89" s="57">
        <f t="shared" si="44"/>
        <v>82</v>
      </c>
      <c r="AM89" s="55">
        <f t="shared" si="45"/>
        <v>82</v>
      </c>
      <c r="AN89" s="78">
        <f t="shared" si="46"/>
        <v>1.02</v>
      </c>
      <c r="AO89" s="79"/>
      <c r="AP89" s="80">
        <f t="shared" si="49"/>
        <v>1</v>
      </c>
      <c r="AQ89" s="80">
        <f t="shared" si="49"/>
        <v>2</v>
      </c>
      <c r="AR89" s="61"/>
      <c r="AS89" s="62"/>
      <c r="AT89" s="81"/>
      <c r="AU89" s="81"/>
      <c r="AV89" s="81"/>
      <c r="AW89" s="81"/>
      <c r="AX89" s="82"/>
      <c r="AY89" s="83">
        <f t="shared" si="47"/>
        <v>0</v>
      </c>
      <c r="AZ89" s="83">
        <f t="shared" si="48"/>
        <v>0</v>
      </c>
    </row>
    <row r="90" spans="1:52" s="66" customFormat="1" ht="39.75" customHeight="1" thickBot="1" x14ac:dyDescent="0.2">
      <c r="A90" s="101"/>
      <c r="B90" s="101"/>
      <c r="C90" s="101"/>
      <c r="D90" s="101"/>
      <c r="E90" s="101"/>
      <c r="F90" s="40"/>
      <c r="G90" s="90"/>
      <c r="H90" s="207"/>
      <c r="I90" s="92">
        <v>0.51</v>
      </c>
      <c r="J90" s="41">
        <v>0.49</v>
      </c>
      <c r="K90" s="41"/>
      <c r="L90" s="42"/>
      <c r="M90" s="68"/>
      <c r="N90" s="94">
        <f t="shared" si="37"/>
        <v>1</v>
      </c>
      <c r="O90" s="44">
        <v>1</v>
      </c>
      <c r="P90" s="45">
        <v>15</v>
      </c>
      <c r="Q90" s="46">
        <v>15</v>
      </c>
      <c r="R90" s="46"/>
      <c r="S90" s="121"/>
      <c r="T90" s="70"/>
      <c r="U90" s="71">
        <f t="shared" si="38"/>
        <v>15</v>
      </c>
      <c r="V90" s="72">
        <f t="shared" si="39"/>
        <v>15</v>
      </c>
      <c r="W90" s="99"/>
      <c r="X90" s="100"/>
      <c r="Y90" s="85"/>
      <c r="Z90" s="95"/>
      <c r="AA90" s="74"/>
      <c r="AB90" s="75">
        <f t="shared" si="40"/>
        <v>0</v>
      </c>
      <c r="AC90" s="72">
        <f t="shared" si="41"/>
        <v>0</v>
      </c>
      <c r="AD90" s="52">
        <v>2</v>
      </c>
      <c r="AE90" s="71">
        <f t="shared" si="42"/>
        <v>2</v>
      </c>
      <c r="AF90" s="76"/>
      <c r="AG90" s="54"/>
      <c r="AH90" s="77">
        <f t="shared" si="43"/>
        <v>17</v>
      </c>
      <c r="AI90" s="56">
        <v>10</v>
      </c>
      <c r="AJ90" s="56">
        <v>10</v>
      </c>
      <c r="AK90" s="56">
        <v>45</v>
      </c>
      <c r="AL90" s="57">
        <f t="shared" si="44"/>
        <v>82</v>
      </c>
      <c r="AM90" s="55">
        <f t="shared" si="45"/>
        <v>82</v>
      </c>
      <c r="AN90" s="78">
        <f t="shared" si="46"/>
        <v>1.02</v>
      </c>
      <c r="AO90" s="79"/>
      <c r="AP90" s="80">
        <f t="shared" si="49"/>
        <v>1</v>
      </c>
      <c r="AQ90" s="80">
        <f t="shared" si="49"/>
        <v>2</v>
      </c>
      <c r="AR90" s="61"/>
      <c r="AS90" s="62"/>
      <c r="AT90" s="81"/>
      <c r="AU90" s="81"/>
      <c r="AV90" s="81"/>
      <c r="AW90" s="81"/>
      <c r="AX90" s="82"/>
      <c r="AY90" s="83">
        <f t="shared" si="47"/>
        <v>0</v>
      </c>
      <c r="AZ90" s="83">
        <f t="shared" si="48"/>
        <v>0</v>
      </c>
    </row>
    <row r="91" spans="1:52" s="66" customFormat="1" ht="39.75" customHeight="1" thickBot="1" x14ac:dyDescent="0.2">
      <c r="A91" s="101"/>
      <c r="B91" s="101"/>
      <c r="C91" s="101"/>
      <c r="D91" s="101"/>
      <c r="E91" s="101"/>
      <c r="F91" s="40"/>
      <c r="G91" s="90"/>
      <c r="H91" s="207"/>
      <c r="I91" s="92">
        <v>0.51</v>
      </c>
      <c r="J91" s="41">
        <v>0.49</v>
      </c>
      <c r="K91" s="41"/>
      <c r="L91" s="42"/>
      <c r="M91" s="68"/>
      <c r="N91" s="94">
        <f t="shared" si="37"/>
        <v>1</v>
      </c>
      <c r="O91" s="44">
        <v>1</v>
      </c>
      <c r="P91" s="45">
        <v>15</v>
      </c>
      <c r="Q91" s="46">
        <v>15</v>
      </c>
      <c r="R91" s="46"/>
      <c r="S91" s="121"/>
      <c r="T91" s="70"/>
      <c r="U91" s="71">
        <f t="shared" si="38"/>
        <v>15</v>
      </c>
      <c r="V91" s="72">
        <f t="shared" si="39"/>
        <v>15</v>
      </c>
      <c r="W91" s="99"/>
      <c r="X91" s="100"/>
      <c r="Y91" s="85"/>
      <c r="Z91" s="95"/>
      <c r="AA91" s="74"/>
      <c r="AB91" s="75">
        <f t="shared" si="40"/>
        <v>0</v>
      </c>
      <c r="AC91" s="72">
        <f t="shared" si="41"/>
        <v>0</v>
      </c>
      <c r="AD91" s="52">
        <v>2</v>
      </c>
      <c r="AE91" s="71">
        <f t="shared" si="42"/>
        <v>2</v>
      </c>
      <c r="AF91" s="76"/>
      <c r="AG91" s="54"/>
      <c r="AH91" s="77">
        <f t="shared" si="43"/>
        <v>17</v>
      </c>
      <c r="AI91" s="56">
        <v>10</v>
      </c>
      <c r="AJ91" s="56">
        <v>10</v>
      </c>
      <c r="AK91" s="56">
        <v>45</v>
      </c>
      <c r="AL91" s="57">
        <f t="shared" si="44"/>
        <v>82</v>
      </c>
      <c r="AM91" s="55">
        <f t="shared" si="45"/>
        <v>82</v>
      </c>
      <c r="AN91" s="78">
        <f t="shared" si="46"/>
        <v>1.02</v>
      </c>
      <c r="AO91" s="79"/>
      <c r="AP91" s="80">
        <f t="shared" si="49"/>
        <v>1</v>
      </c>
      <c r="AQ91" s="80">
        <f t="shared" si="49"/>
        <v>2</v>
      </c>
      <c r="AR91" s="61"/>
      <c r="AS91" s="62"/>
      <c r="AT91" s="81"/>
      <c r="AU91" s="81"/>
      <c r="AV91" s="81"/>
      <c r="AW91" s="81"/>
      <c r="AX91" s="82"/>
      <c r="AY91" s="83">
        <f t="shared" si="47"/>
        <v>0</v>
      </c>
      <c r="AZ91" s="83">
        <f t="shared" si="48"/>
        <v>0</v>
      </c>
    </row>
    <row r="92" spans="1:52" s="66" customFormat="1" ht="39.75" customHeight="1" thickBot="1" x14ac:dyDescent="0.2">
      <c r="A92" s="101"/>
      <c r="B92" s="101"/>
      <c r="C92" s="101"/>
      <c r="D92" s="101"/>
      <c r="E92" s="101"/>
      <c r="F92" s="40"/>
      <c r="G92" s="90"/>
      <c r="H92" s="207"/>
      <c r="I92" s="92">
        <v>0.51</v>
      </c>
      <c r="J92" s="41">
        <v>0.49</v>
      </c>
      <c r="K92" s="41"/>
      <c r="L92" s="42"/>
      <c r="M92" s="68"/>
      <c r="N92" s="94">
        <f t="shared" si="37"/>
        <v>1</v>
      </c>
      <c r="O92" s="44">
        <v>1</v>
      </c>
      <c r="P92" s="45">
        <v>15</v>
      </c>
      <c r="Q92" s="46">
        <v>15</v>
      </c>
      <c r="R92" s="46"/>
      <c r="S92" s="46"/>
      <c r="T92" s="70"/>
      <c r="U92" s="71">
        <f t="shared" si="38"/>
        <v>15</v>
      </c>
      <c r="V92" s="72">
        <f t="shared" si="39"/>
        <v>15</v>
      </c>
      <c r="W92" s="99"/>
      <c r="X92" s="100"/>
      <c r="Y92" s="85"/>
      <c r="Z92" s="95"/>
      <c r="AA92" s="74"/>
      <c r="AB92" s="75">
        <f t="shared" si="40"/>
        <v>0</v>
      </c>
      <c r="AC92" s="72">
        <f t="shared" si="41"/>
        <v>0</v>
      </c>
      <c r="AD92" s="52">
        <v>2</v>
      </c>
      <c r="AE92" s="71">
        <f t="shared" si="42"/>
        <v>2</v>
      </c>
      <c r="AF92" s="76"/>
      <c r="AG92" s="54"/>
      <c r="AH92" s="77">
        <f t="shared" si="43"/>
        <v>17</v>
      </c>
      <c r="AI92" s="56">
        <v>10</v>
      </c>
      <c r="AJ92" s="56">
        <v>10</v>
      </c>
      <c r="AK92" s="56">
        <v>45</v>
      </c>
      <c r="AL92" s="57">
        <f t="shared" si="44"/>
        <v>82</v>
      </c>
      <c r="AM92" s="55">
        <f t="shared" si="45"/>
        <v>82</v>
      </c>
      <c r="AN92" s="78">
        <f t="shared" si="46"/>
        <v>1.02</v>
      </c>
      <c r="AO92" s="79"/>
      <c r="AP92" s="80">
        <f t="shared" si="49"/>
        <v>1</v>
      </c>
      <c r="AQ92" s="80">
        <f t="shared" si="49"/>
        <v>2</v>
      </c>
      <c r="AR92" s="61"/>
      <c r="AS92" s="62"/>
      <c r="AT92" s="81"/>
      <c r="AU92" s="81"/>
      <c r="AV92" s="81"/>
      <c r="AW92" s="81"/>
      <c r="AX92" s="82"/>
      <c r="AY92" s="83">
        <f t="shared" si="47"/>
        <v>0</v>
      </c>
      <c r="AZ92" s="83">
        <f t="shared" si="48"/>
        <v>0</v>
      </c>
    </row>
    <row r="93" spans="1:52" s="66" customFormat="1" ht="39.75" customHeight="1" thickBot="1" x14ac:dyDescent="0.2">
      <c r="A93" s="101"/>
      <c r="B93" s="101"/>
      <c r="C93" s="101"/>
      <c r="D93" s="101"/>
      <c r="E93" s="101"/>
      <c r="F93" s="40"/>
      <c r="G93" s="90"/>
      <c r="H93" s="207"/>
      <c r="I93" s="92">
        <v>0.51</v>
      </c>
      <c r="J93" s="41">
        <v>0.49</v>
      </c>
      <c r="K93" s="41"/>
      <c r="L93" s="42"/>
      <c r="M93" s="68"/>
      <c r="N93" s="94">
        <f t="shared" si="37"/>
        <v>1</v>
      </c>
      <c r="O93" s="44">
        <v>1</v>
      </c>
      <c r="P93" s="45">
        <v>15</v>
      </c>
      <c r="Q93" s="46">
        <v>15</v>
      </c>
      <c r="R93" s="46"/>
      <c r="S93" s="46"/>
      <c r="T93" s="70"/>
      <c r="U93" s="71">
        <f t="shared" si="38"/>
        <v>15</v>
      </c>
      <c r="V93" s="72">
        <f t="shared" si="39"/>
        <v>15</v>
      </c>
      <c r="W93" s="99"/>
      <c r="X93" s="100"/>
      <c r="Y93" s="85"/>
      <c r="Z93" s="95"/>
      <c r="AA93" s="74"/>
      <c r="AB93" s="75">
        <f t="shared" si="40"/>
        <v>0</v>
      </c>
      <c r="AC93" s="72">
        <f t="shared" si="41"/>
        <v>0</v>
      </c>
      <c r="AD93" s="52">
        <v>2</v>
      </c>
      <c r="AE93" s="71">
        <f t="shared" si="42"/>
        <v>2</v>
      </c>
      <c r="AF93" s="76"/>
      <c r="AG93" s="54"/>
      <c r="AH93" s="77">
        <f t="shared" si="43"/>
        <v>17</v>
      </c>
      <c r="AI93" s="56">
        <v>10</v>
      </c>
      <c r="AJ93" s="56">
        <v>10</v>
      </c>
      <c r="AK93" s="56">
        <v>45</v>
      </c>
      <c r="AL93" s="57">
        <f t="shared" si="44"/>
        <v>82</v>
      </c>
      <c r="AM93" s="55">
        <f t="shared" si="45"/>
        <v>82</v>
      </c>
      <c r="AN93" s="78">
        <f t="shared" si="46"/>
        <v>1.02</v>
      </c>
      <c r="AO93" s="79"/>
      <c r="AP93" s="80">
        <f t="shared" si="49"/>
        <v>1</v>
      </c>
      <c r="AQ93" s="80">
        <f t="shared" si="49"/>
        <v>2</v>
      </c>
      <c r="AR93" s="61"/>
      <c r="AS93" s="62"/>
      <c r="AT93" s="81"/>
      <c r="AU93" s="81"/>
      <c r="AV93" s="81"/>
      <c r="AW93" s="81"/>
      <c r="AX93" s="82"/>
      <c r="AY93" s="83">
        <f t="shared" si="47"/>
        <v>0</v>
      </c>
      <c r="AZ93" s="83">
        <f t="shared" si="48"/>
        <v>0</v>
      </c>
    </row>
    <row r="94" spans="1:52" s="66" customFormat="1" ht="39.75" customHeight="1" thickBot="1" x14ac:dyDescent="0.2">
      <c r="A94" s="101"/>
      <c r="B94" s="101"/>
      <c r="C94" s="101"/>
      <c r="D94" s="101"/>
      <c r="E94" s="101"/>
      <c r="F94" s="40"/>
      <c r="G94" s="90"/>
      <c r="H94" s="207"/>
      <c r="I94" s="92">
        <v>0.51</v>
      </c>
      <c r="J94" s="41">
        <v>0.49</v>
      </c>
      <c r="K94" s="41"/>
      <c r="L94" s="42"/>
      <c r="M94" s="68"/>
      <c r="N94" s="94">
        <f t="shared" si="37"/>
        <v>1</v>
      </c>
      <c r="O94" s="44">
        <v>1</v>
      </c>
      <c r="P94" s="45">
        <v>15</v>
      </c>
      <c r="Q94" s="46">
        <v>15</v>
      </c>
      <c r="R94" s="46"/>
      <c r="S94" s="46"/>
      <c r="T94" s="70"/>
      <c r="U94" s="71">
        <f t="shared" si="38"/>
        <v>15</v>
      </c>
      <c r="V94" s="72">
        <f t="shared" si="39"/>
        <v>15</v>
      </c>
      <c r="W94" s="99"/>
      <c r="X94" s="100"/>
      <c r="Y94" s="85"/>
      <c r="Z94" s="95"/>
      <c r="AA94" s="74"/>
      <c r="AB94" s="75">
        <f t="shared" si="40"/>
        <v>0</v>
      </c>
      <c r="AC94" s="72">
        <f t="shared" si="41"/>
        <v>0</v>
      </c>
      <c r="AD94" s="52">
        <v>2</v>
      </c>
      <c r="AE94" s="71">
        <f t="shared" si="42"/>
        <v>2</v>
      </c>
      <c r="AF94" s="76"/>
      <c r="AG94" s="86"/>
      <c r="AH94" s="77">
        <f t="shared" si="43"/>
        <v>17</v>
      </c>
      <c r="AI94" s="56">
        <v>10</v>
      </c>
      <c r="AJ94" s="56">
        <v>10</v>
      </c>
      <c r="AK94" s="56">
        <v>45</v>
      </c>
      <c r="AL94" s="57">
        <f t="shared" si="44"/>
        <v>82</v>
      </c>
      <c r="AM94" s="55">
        <f t="shared" si="45"/>
        <v>82</v>
      </c>
      <c r="AN94" s="78">
        <f t="shared" si="46"/>
        <v>1.02</v>
      </c>
      <c r="AO94" s="79"/>
      <c r="AP94" s="80">
        <f t="shared" si="49"/>
        <v>1</v>
      </c>
      <c r="AQ94" s="80">
        <f t="shared" si="49"/>
        <v>2</v>
      </c>
      <c r="AR94" s="61"/>
      <c r="AS94" s="62"/>
      <c r="AT94" s="81"/>
      <c r="AU94" s="81"/>
      <c r="AV94" s="81"/>
      <c r="AW94" s="81"/>
      <c r="AX94" s="82"/>
      <c r="AY94" s="83">
        <f t="shared" si="47"/>
        <v>0</v>
      </c>
      <c r="AZ94" s="83">
        <f t="shared" si="48"/>
        <v>0</v>
      </c>
    </row>
    <row r="95" spans="1:52" s="66" customFormat="1" ht="39.75" customHeight="1" thickBot="1" x14ac:dyDescent="0.2">
      <c r="A95" s="101"/>
      <c r="B95" s="101"/>
      <c r="C95" s="101"/>
      <c r="D95" s="101"/>
      <c r="E95" s="101"/>
      <c r="F95" s="40"/>
      <c r="G95" s="90"/>
      <c r="H95" s="207"/>
      <c r="I95" s="92">
        <v>0.51</v>
      </c>
      <c r="J95" s="41">
        <v>0.49</v>
      </c>
      <c r="K95" s="41"/>
      <c r="L95" s="42"/>
      <c r="M95" s="68"/>
      <c r="N95" s="94">
        <f t="shared" si="37"/>
        <v>1</v>
      </c>
      <c r="O95" s="44">
        <v>1</v>
      </c>
      <c r="P95" s="45">
        <v>15</v>
      </c>
      <c r="Q95" s="46">
        <v>15</v>
      </c>
      <c r="R95" s="46"/>
      <c r="S95" s="46"/>
      <c r="T95" s="70"/>
      <c r="U95" s="71">
        <f t="shared" si="38"/>
        <v>15</v>
      </c>
      <c r="V95" s="72">
        <f t="shared" si="39"/>
        <v>15</v>
      </c>
      <c r="W95" s="99"/>
      <c r="X95" s="100"/>
      <c r="Y95" s="85"/>
      <c r="Z95" s="95"/>
      <c r="AA95" s="74"/>
      <c r="AB95" s="75">
        <f t="shared" si="40"/>
        <v>0</v>
      </c>
      <c r="AC95" s="72">
        <f t="shared" si="41"/>
        <v>0</v>
      </c>
      <c r="AD95" s="52">
        <v>2</v>
      </c>
      <c r="AE95" s="71">
        <f t="shared" si="42"/>
        <v>2</v>
      </c>
      <c r="AF95" s="76"/>
      <c r="AG95" s="86"/>
      <c r="AH95" s="77">
        <f t="shared" si="43"/>
        <v>17</v>
      </c>
      <c r="AI95" s="56">
        <v>10</v>
      </c>
      <c r="AJ95" s="56">
        <v>10</v>
      </c>
      <c r="AK95" s="56">
        <v>45</v>
      </c>
      <c r="AL95" s="57">
        <f t="shared" si="44"/>
        <v>82</v>
      </c>
      <c r="AM95" s="55">
        <f t="shared" si="45"/>
        <v>82</v>
      </c>
      <c r="AN95" s="78">
        <f t="shared" si="46"/>
        <v>1.02</v>
      </c>
      <c r="AO95" s="79"/>
      <c r="AP95" s="80">
        <f t="shared" si="49"/>
        <v>1</v>
      </c>
      <c r="AQ95" s="80">
        <f t="shared" si="49"/>
        <v>2</v>
      </c>
      <c r="AR95" s="61"/>
      <c r="AS95" s="62"/>
      <c r="AT95" s="81"/>
      <c r="AU95" s="81"/>
      <c r="AV95" s="81"/>
      <c r="AW95" s="81"/>
      <c r="AX95" s="82"/>
      <c r="AY95" s="83">
        <f t="shared" si="47"/>
        <v>0</v>
      </c>
      <c r="AZ95" s="83">
        <f t="shared" si="48"/>
        <v>0</v>
      </c>
    </row>
    <row r="96" spans="1:52" s="66" customFormat="1" ht="39.75" customHeight="1" thickBot="1" x14ac:dyDescent="0.2">
      <c r="A96" s="101"/>
      <c r="B96" s="101"/>
      <c r="C96" s="101"/>
      <c r="D96" s="101"/>
      <c r="E96" s="101"/>
      <c r="F96" s="40"/>
      <c r="G96" s="90"/>
      <c r="H96" s="207"/>
      <c r="I96" s="92">
        <v>0.51</v>
      </c>
      <c r="J96" s="41">
        <v>0.49</v>
      </c>
      <c r="K96" s="41"/>
      <c r="L96" s="88"/>
      <c r="M96" s="68"/>
      <c r="N96" s="94">
        <f t="shared" si="37"/>
        <v>1</v>
      </c>
      <c r="O96" s="44">
        <v>1</v>
      </c>
      <c r="P96" s="45">
        <v>15</v>
      </c>
      <c r="Q96" s="46">
        <v>15</v>
      </c>
      <c r="R96" s="46"/>
      <c r="S96" s="46"/>
      <c r="T96" s="70"/>
      <c r="U96" s="71">
        <f t="shared" si="38"/>
        <v>15</v>
      </c>
      <c r="V96" s="72">
        <f t="shared" si="39"/>
        <v>15</v>
      </c>
      <c r="W96" s="99"/>
      <c r="X96" s="100"/>
      <c r="Y96" s="85"/>
      <c r="Z96" s="95"/>
      <c r="AA96" s="74"/>
      <c r="AB96" s="75">
        <f t="shared" si="40"/>
        <v>0</v>
      </c>
      <c r="AC96" s="72">
        <f t="shared" si="41"/>
        <v>0</v>
      </c>
      <c r="AD96" s="52">
        <v>2</v>
      </c>
      <c r="AE96" s="71">
        <f t="shared" si="42"/>
        <v>2</v>
      </c>
      <c r="AF96" s="76"/>
      <c r="AG96" s="86"/>
      <c r="AH96" s="77">
        <f t="shared" si="43"/>
        <v>17</v>
      </c>
      <c r="AI96" s="56">
        <v>10</v>
      </c>
      <c r="AJ96" s="56">
        <v>10</v>
      </c>
      <c r="AK96" s="56">
        <v>45</v>
      </c>
      <c r="AL96" s="57">
        <f t="shared" si="44"/>
        <v>82</v>
      </c>
      <c r="AM96" s="55">
        <f t="shared" si="45"/>
        <v>82</v>
      </c>
      <c r="AN96" s="78">
        <f t="shared" si="46"/>
        <v>1.02</v>
      </c>
      <c r="AO96" s="79"/>
      <c r="AP96" s="80">
        <f t="shared" si="49"/>
        <v>1</v>
      </c>
      <c r="AQ96" s="80">
        <f t="shared" si="49"/>
        <v>2</v>
      </c>
      <c r="AR96" s="61"/>
      <c r="AS96" s="62"/>
      <c r="AT96" s="81"/>
      <c r="AU96" s="81"/>
      <c r="AV96" s="81"/>
      <c r="AW96" s="81"/>
      <c r="AX96" s="82"/>
      <c r="AY96" s="83">
        <f t="shared" si="47"/>
        <v>0</v>
      </c>
      <c r="AZ96" s="83">
        <f t="shared" si="48"/>
        <v>0</v>
      </c>
    </row>
    <row r="97" spans="1:52" s="66" customFormat="1" ht="39.75" customHeight="1" thickBot="1" x14ac:dyDescent="0.2">
      <c r="A97" s="101"/>
      <c r="B97" s="101"/>
      <c r="C97" s="101"/>
      <c r="D97" s="101"/>
      <c r="E97" s="101"/>
      <c r="F97" s="40"/>
      <c r="G97" s="90"/>
      <c r="H97" s="207"/>
      <c r="I97" s="92">
        <v>0.51</v>
      </c>
      <c r="J97" s="41">
        <v>0.49</v>
      </c>
      <c r="K97" s="41"/>
      <c r="L97" s="88"/>
      <c r="M97" s="68"/>
      <c r="N97" s="94">
        <f t="shared" si="37"/>
        <v>1</v>
      </c>
      <c r="O97" s="44">
        <v>1</v>
      </c>
      <c r="P97" s="45">
        <v>15</v>
      </c>
      <c r="Q97" s="46">
        <v>15</v>
      </c>
      <c r="R97" s="46"/>
      <c r="S97" s="46"/>
      <c r="T97" s="70"/>
      <c r="U97" s="71">
        <f t="shared" si="38"/>
        <v>15</v>
      </c>
      <c r="V97" s="72">
        <f t="shared" si="39"/>
        <v>15</v>
      </c>
      <c r="W97" s="99"/>
      <c r="X97" s="100"/>
      <c r="Y97" s="85"/>
      <c r="Z97" s="95"/>
      <c r="AA97" s="74"/>
      <c r="AB97" s="75">
        <f t="shared" si="40"/>
        <v>0</v>
      </c>
      <c r="AC97" s="72">
        <f t="shared" si="41"/>
        <v>0</v>
      </c>
      <c r="AD97" s="52">
        <v>2</v>
      </c>
      <c r="AE97" s="71">
        <f t="shared" si="42"/>
        <v>2</v>
      </c>
      <c r="AF97" s="76"/>
      <c r="AG97" s="86"/>
      <c r="AH97" s="77">
        <f t="shared" si="43"/>
        <v>17</v>
      </c>
      <c r="AI97" s="56">
        <v>10</v>
      </c>
      <c r="AJ97" s="56">
        <v>10</v>
      </c>
      <c r="AK97" s="56">
        <v>45</v>
      </c>
      <c r="AL97" s="57">
        <f t="shared" si="44"/>
        <v>82</v>
      </c>
      <c r="AM97" s="55">
        <f t="shared" si="45"/>
        <v>82</v>
      </c>
      <c r="AN97" s="78">
        <f t="shared" si="46"/>
        <v>1.02</v>
      </c>
      <c r="AO97" s="79"/>
      <c r="AP97" s="80">
        <f t="shared" si="49"/>
        <v>1</v>
      </c>
      <c r="AQ97" s="80">
        <f t="shared" si="49"/>
        <v>2</v>
      </c>
      <c r="AR97" s="61"/>
      <c r="AS97" s="62"/>
      <c r="AT97" s="81"/>
      <c r="AU97" s="81"/>
      <c r="AV97" s="81"/>
      <c r="AW97" s="81"/>
      <c r="AX97" s="82"/>
      <c r="AY97" s="83">
        <f t="shared" si="47"/>
        <v>0</v>
      </c>
      <c r="AZ97" s="83">
        <f t="shared" si="48"/>
        <v>0</v>
      </c>
    </row>
    <row r="98" spans="1:52" s="66" customFormat="1" ht="39.75" customHeight="1" thickBot="1" x14ac:dyDescent="0.2">
      <c r="A98" s="101"/>
      <c r="B98" s="101"/>
      <c r="C98" s="101"/>
      <c r="D98" s="101"/>
      <c r="E98" s="101"/>
      <c r="F98" s="40"/>
      <c r="G98" s="90"/>
      <c r="H98" s="207"/>
      <c r="I98" s="92">
        <v>0.51</v>
      </c>
      <c r="J98" s="41">
        <v>0.49</v>
      </c>
      <c r="K98" s="41"/>
      <c r="L98" s="88"/>
      <c r="M98" s="68"/>
      <c r="N98" s="94">
        <f t="shared" si="37"/>
        <v>1</v>
      </c>
      <c r="O98" s="44">
        <v>1</v>
      </c>
      <c r="P98" s="45">
        <v>15</v>
      </c>
      <c r="Q98" s="46">
        <v>15</v>
      </c>
      <c r="R98" s="46"/>
      <c r="S98" s="46"/>
      <c r="T98" s="70"/>
      <c r="U98" s="71">
        <f t="shared" si="38"/>
        <v>15</v>
      </c>
      <c r="V98" s="72">
        <f t="shared" si="39"/>
        <v>15</v>
      </c>
      <c r="W98" s="99"/>
      <c r="X98" s="100"/>
      <c r="Y98" s="85"/>
      <c r="Z98" s="95"/>
      <c r="AA98" s="74"/>
      <c r="AB98" s="75">
        <f t="shared" si="40"/>
        <v>0</v>
      </c>
      <c r="AC98" s="72">
        <f t="shared" si="41"/>
        <v>0</v>
      </c>
      <c r="AD98" s="52">
        <v>2</v>
      </c>
      <c r="AE98" s="71">
        <f t="shared" si="42"/>
        <v>2</v>
      </c>
      <c r="AF98" s="76"/>
      <c r="AG98" s="86"/>
      <c r="AH98" s="77">
        <f t="shared" si="43"/>
        <v>17</v>
      </c>
      <c r="AI98" s="56">
        <v>10</v>
      </c>
      <c r="AJ98" s="56">
        <v>10</v>
      </c>
      <c r="AK98" s="56">
        <v>45</v>
      </c>
      <c r="AL98" s="57">
        <f t="shared" si="44"/>
        <v>82</v>
      </c>
      <c r="AM98" s="55">
        <f t="shared" si="45"/>
        <v>82</v>
      </c>
      <c r="AN98" s="78">
        <f t="shared" si="46"/>
        <v>1.02</v>
      </c>
      <c r="AO98" s="79"/>
      <c r="AP98" s="80">
        <f t="shared" si="49"/>
        <v>1</v>
      </c>
      <c r="AQ98" s="80">
        <f t="shared" si="49"/>
        <v>2</v>
      </c>
      <c r="AR98" s="61"/>
      <c r="AS98" s="62"/>
      <c r="AT98" s="81"/>
      <c r="AU98" s="81"/>
      <c r="AV98" s="81"/>
      <c r="AW98" s="81"/>
      <c r="AX98" s="82"/>
      <c r="AY98" s="83">
        <f t="shared" si="47"/>
        <v>0</v>
      </c>
      <c r="AZ98" s="83">
        <f t="shared" si="48"/>
        <v>0</v>
      </c>
    </row>
    <row r="99" spans="1:52" s="66" customFormat="1" ht="39.75" customHeight="1" thickBot="1" x14ac:dyDescent="0.2">
      <c r="A99" s="101"/>
      <c r="B99" s="101"/>
      <c r="C99" s="101"/>
      <c r="D99" s="101"/>
      <c r="E99" s="101"/>
      <c r="F99" s="40"/>
      <c r="G99" s="90"/>
      <c r="H99" s="207"/>
      <c r="I99" s="92">
        <v>0.51</v>
      </c>
      <c r="J99" s="41">
        <v>0.49</v>
      </c>
      <c r="K99" s="41"/>
      <c r="L99" s="88"/>
      <c r="M99" s="68"/>
      <c r="N99" s="94">
        <f t="shared" si="37"/>
        <v>1</v>
      </c>
      <c r="O99" s="44">
        <v>1</v>
      </c>
      <c r="P99" s="45">
        <v>15</v>
      </c>
      <c r="Q99" s="46">
        <v>15</v>
      </c>
      <c r="R99" s="46"/>
      <c r="S99" s="46"/>
      <c r="T99" s="70"/>
      <c r="U99" s="71">
        <f t="shared" si="38"/>
        <v>15</v>
      </c>
      <c r="V99" s="72">
        <f t="shared" si="39"/>
        <v>15</v>
      </c>
      <c r="W99" s="99"/>
      <c r="X99" s="100"/>
      <c r="Y99" s="85"/>
      <c r="Z99" s="95"/>
      <c r="AA99" s="74"/>
      <c r="AB99" s="75">
        <f t="shared" si="40"/>
        <v>0</v>
      </c>
      <c r="AC99" s="72">
        <f t="shared" si="41"/>
        <v>0</v>
      </c>
      <c r="AD99" s="52">
        <v>2</v>
      </c>
      <c r="AE99" s="71">
        <f t="shared" si="42"/>
        <v>2</v>
      </c>
      <c r="AF99" s="76"/>
      <c r="AG99" s="86"/>
      <c r="AH99" s="77">
        <f t="shared" si="43"/>
        <v>17</v>
      </c>
      <c r="AI99" s="56">
        <v>10</v>
      </c>
      <c r="AJ99" s="56">
        <v>10</v>
      </c>
      <c r="AK99" s="56">
        <v>45</v>
      </c>
      <c r="AL99" s="57">
        <f t="shared" si="44"/>
        <v>82</v>
      </c>
      <c r="AM99" s="55">
        <f t="shared" si="45"/>
        <v>82</v>
      </c>
      <c r="AN99" s="78">
        <f t="shared" si="46"/>
        <v>1.02</v>
      </c>
      <c r="AO99" s="79"/>
      <c r="AP99" s="80">
        <f t="shared" si="49"/>
        <v>1</v>
      </c>
      <c r="AQ99" s="80">
        <f t="shared" si="49"/>
        <v>2</v>
      </c>
      <c r="AR99" s="61"/>
      <c r="AS99" s="62"/>
      <c r="AT99" s="81"/>
      <c r="AU99" s="81"/>
      <c r="AV99" s="81"/>
      <c r="AW99" s="81"/>
      <c r="AX99" s="82"/>
      <c r="AY99" s="83">
        <f t="shared" si="47"/>
        <v>0</v>
      </c>
      <c r="AZ99" s="83">
        <f t="shared" si="48"/>
        <v>0</v>
      </c>
    </row>
    <row r="100" spans="1:52" s="66" customFormat="1" ht="39.75" customHeight="1" thickBot="1" x14ac:dyDescent="0.2">
      <c r="A100" s="101"/>
      <c r="B100" s="101"/>
      <c r="C100" s="101"/>
      <c r="D100" s="101"/>
      <c r="E100" s="101"/>
      <c r="F100" s="40"/>
      <c r="G100" s="90"/>
      <c r="H100" s="207"/>
      <c r="I100" s="92">
        <v>0.51</v>
      </c>
      <c r="J100" s="41">
        <v>0.49</v>
      </c>
      <c r="K100" s="41"/>
      <c r="L100" s="88"/>
      <c r="M100" s="68"/>
      <c r="N100" s="94">
        <f t="shared" si="37"/>
        <v>1</v>
      </c>
      <c r="O100" s="44">
        <v>1</v>
      </c>
      <c r="P100" s="45">
        <v>15</v>
      </c>
      <c r="Q100" s="46">
        <v>15</v>
      </c>
      <c r="R100" s="46"/>
      <c r="S100" s="46"/>
      <c r="T100" s="70"/>
      <c r="U100" s="71">
        <f t="shared" si="38"/>
        <v>15</v>
      </c>
      <c r="V100" s="72">
        <f t="shared" si="39"/>
        <v>15</v>
      </c>
      <c r="W100" s="99"/>
      <c r="X100" s="100"/>
      <c r="Y100" s="85"/>
      <c r="Z100" s="95"/>
      <c r="AA100" s="74"/>
      <c r="AB100" s="75">
        <f t="shared" si="40"/>
        <v>0</v>
      </c>
      <c r="AC100" s="72">
        <f t="shared" si="41"/>
        <v>0</v>
      </c>
      <c r="AD100" s="52">
        <v>2</v>
      </c>
      <c r="AE100" s="71">
        <f t="shared" si="42"/>
        <v>2</v>
      </c>
      <c r="AF100" s="76"/>
      <c r="AG100" s="86"/>
      <c r="AH100" s="77">
        <f t="shared" si="43"/>
        <v>17</v>
      </c>
      <c r="AI100" s="56">
        <v>10</v>
      </c>
      <c r="AJ100" s="56">
        <v>10</v>
      </c>
      <c r="AK100" s="56">
        <v>45</v>
      </c>
      <c r="AL100" s="57">
        <f t="shared" si="44"/>
        <v>82</v>
      </c>
      <c r="AM100" s="55">
        <f t="shared" si="45"/>
        <v>82</v>
      </c>
      <c r="AN100" s="78">
        <f t="shared" si="46"/>
        <v>1.02</v>
      </c>
      <c r="AO100" s="79"/>
      <c r="AP100" s="80">
        <f t="shared" si="49"/>
        <v>1</v>
      </c>
      <c r="AQ100" s="80">
        <f t="shared" si="49"/>
        <v>2</v>
      </c>
      <c r="AR100" s="61"/>
      <c r="AS100" s="62"/>
      <c r="AT100" s="81"/>
      <c r="AU100" s="81"/>
      <c r="AV100" s="81"/>
      <c r="AW100" s="81"/>
      <c r="AX100" s="82"/>
      <c r="AY100" s="83">
        <f t="shared" si="47"/>
        <v>0</v>
      </c>
      <c r="AZ100" s="83">
        <f t="shared" si="48"/>
        <v>0</v>
      </c>
    </row>
    <row r="101" spans="1:52" s="66" customFormat="1" ht="39.75" customHeight="1" thickBot="1" x14ac:dyDescent="0.2">
      <c r="A101" s="101"/>
      <c r="B101" s="101"/>
      <c r="C101" s="101"/>
      <c r="D101" s="101"/>
      <c r="E101" s="101"/>
      <c r="F101" s="40"/>
      <c r="G101" s="90"/>
      <c r="H101" s="158"/>
      <c r="I101" s="92">
        <v>0.51</v>
      </c>
      <c r="J101" s="41">
        <v>0.49</v>
      </c>
      <c r="K101" s="41"/>
      <c r="L101" s="88"/>
      <c r="M101" s="68"/>
      <c r="N101" s="94">
        <f t="shared" si="37"/>
        <v>1</v>
      </c>
      <c r="O101" s="44">
        <v>1</v>
      </c>
      <c r="P101" s="45">
        <v>15</v>
      </c>
      <c r="Q101" s="46">
        <v>15</v>
      </c>
      <c r="R101" s="46"/>
      <c r="S101" s="46"/>
      <c r="T101" s="70"/>
      <c r="U101" s="71">
        <f t="shared" si="38"/>
        <v>15</v>
      </c>
      <c r="V101" s="72">
        <f t="shared" si="39"/>
        <v>15</v>
      </c>
      <c r="W101" s="99"/>
      <c r="X101" s="100"/>
      <c r="Y101" s="85"/>
      <c r="Z101" s="73"/>
      <c r="AA101" s="74"/>
      <c r="AB101" s="75">
        <f t="shared" si="40"/>
        <v>0</v>
      </c>
      <c r="AC101" s="72">
        <f t="shared" si="41"/>
        <v>0</v>
      </c>
      <c r="AD101" s="52">
        <v>2</v>
      </c>
      <c r="AE101" s="71">
        <f t="shared" si="42"/>
        <v>2</v>
      </c>
      <c r="AF101" s="76"/>
      <c r="AG101" s="86"/>
      <c r="AH101" s="77">
        <f t="shared" si="43"/>
        <v>17</v>
      </c>
      <c r="AI101" s="56">
        <v>10</v>
      </c>
      <c r="AJ101" s="56">
        <v>10</v>
      </c>
      <c r="AK101" s="56">
        <v>45</v>
      </c>
      <c r="AL101" s="57">
        <f t="shared" si="44"/>
        <v>82</v>
      </c>
      <c r="AM101" s="55">
        <f t="shared" si="45"/>
        <v>82</v>
      </c>
      <c r="AN101" s="78">
        <f t="shared" si="46"/>
        <v>1.02</v>
      </c>
      <c r="AO101" s="79"/>
      <c r="AP101" s="80">
        <f t="shared" si="49"/>
        <v>1</v>
      </c>
      <c r="AQ101" s="80">
        <f t="shared" si="49"/>
        <v>2</v>
      </c>
      <c r="AR101" s="61"/>
      <c r="AS101" s="62"/>
      <c r="AT101" s="81"/>
      <c r="AU101" s="81"/>
      <c r="AV101" s="81"/>
      <c r="AW101" s="81"/>
      <c r="AX101" s="82"/>
      <c r="AY101" s="83">
        <f t="shared" si="47"/>
        <v>0</v>
      </c>
      <c r="AZ101" s="83">
        <f t="shared" si="48"/>
        <v>0</v>
      </c>
    </row>
    <row r="102" spans="1:52" s="66" customFormat="1" ht="39.75" customHeight="1" thickBot="1" x14ac:dyDescent="0.2">
      <c r="A102" s="101"/>
      <c r="B102" s="101"/>
      <c r="C102" s="101"/>
      <c r="D102" s="101"/>
      <c r="E102" s="101"/>
      <c r="F102" s="40"/>
      <c r="G102" s="90"/>
      <c r="H102" s="158"/>
      <c r="I102" s="92">
        <v>0.51</v>
      </c>
      <c r="J102" s="41">
        <v>0.49</v>
      </c>
      <c r="K102" s="41"/>
      <c r="L102" s="88"/>
      <c r="M102" s="68"/>
      <c r="N102" s="94">
        <f t="shared" si="37"/>
        <v>1</v>
      </c>
      <c r="O102" s="44">
        <v>1</v>
      </c>
      <c r="P102" s="45">
        <v>15</v>
      </c>
      <c r="Q102" s="46">
        <v>15</v>
      </c>
      <c r="R102" s="46"/>
      <c r="S102" s="46"/>
      <c r="T102" s="70"/>
      <c r="U102" s="71">
        <f t="shared" si="38"/>
        <v>15</v>
      </c>
      <c r="V102" s="72">
        <f t="shared" si="39"/>
        <v>15</v>
      </c>
      <c r="W102" s="99"/>
      <c r="X102" s="100"/>
      <c r="Y102" s="85"/>
      <c r="Z102" s="73"/>
      <c r="AA102" s="74"/>
      <c r="AB102" s="75">
        <f t="shared" si="40"/>
        <v>0</v>
      </c>
      <c r="AC102" s="72">
        <f t="shared" si="41"/>
        <v>0</v>
      </c>
      <c r="AD102" s="52">
        <v>2</v>
      </c>
      <c r="AE102" s="71">
        <f t="shared" si="42"/>
        <v>2</v>
      </c>
      <c r="AF102" s="76"/>
      <c r="AG102" s="86"/>
      <c r="AH102" s="77">
        <f t="shared" si="43"/>
        <v>17</v>
      </c>
      <c r="AI102" s="56">
        <v>10</v>
      </c>
      <c r="AJ102" s="56">
        <v>10</v>
      </c>
      <c r="AK102" s="56">
        <v>45</v>
      </c>
      <c r="AL102" s="57">
        <f t="shared" si="44"/>
        <v>82</v>
      </c>
      <c r="AM102" s="55">
        <f t="shared" si="45"/>
        <v>82</v>
      </c>
      <c r="AN102" s="78">
        <f t="shared" si="46"/>
        <v>1.02</v>
      </c>
      <c r="AO102" s="79"/>
      <c r="AP102" s="80">
        <f t="shared" si="49"/>
        <v>1</v>
      </c>
      <c r="AQ102" s="80">
        <f t="shared" si="49"/>
        <v>2</v>
      </c>
      <c r="AR102" s="61"/>
      <c r="AS102" s="62"/>
      <c r="AT102" s="81"/>
      <c r="AU102" s="81"/>
      <c r="AV102" s="81"/>
      <c r="AW102" s="81"/>
      <c r="AX102" s="82"/>
      <c r="AY102" s="83">
        <f t="shared" si="47"/>
        <v>0</v>
      </c>
      <c r="AZ102" s="83">
        <f t="shared" si="48"/>
        <v>0</v>
      </c>
    </row>
    <row r="103" spans="1:52" s="66" customFormat="1" ht="39.75" customHeight="1" thickBot="1" x14ac:dyDescent="0.2">
      <c r="A103" s="101"/>
      <c r="B103" s="101"/>
      <c r="C103" s="101"/>
      <c r="D103" s="101"/>
      <c r="E103" s="101"/>
      <c r="F103" s="40"/>
      <c r="G103" s="90"/>
      <c r="H103" s="158"/>
      <c r="I103" s="92">
        <v>0.51</v>
      </c>
      <c r="J103" s="41">
        <v>0.49</v>
      </c>
      <c r="K103" s="41"/>
      <c r="L103" s="88"/>
      <c r="M103" s="68"/>
      <c r="N103" s="94">
        <f t="shared" si="37"/>
        <v>1</v>
      </c>
      <c r="O103" s="44">
        <v>1</v>
      </c>
      <c r="P103" s="45">
        <v>15</v>
      </c>
      <c r="Q103" s="46">
        <v>15</v>
      </c>
      <c r="R103" s="46"/>
      <c r="S103" s="46"/>
      <c r="T103" s="70"/>
      <c r="U103" s="71">
        <f t="shared" si="38"/>
        <v>15</v>
      </c>
      <c r="V103" s="72">
        <f t="shared" si="39"/>
        <v>15</v>
      </c>
      <c r="W103" s="99"/>
      <c r="X103" s="100"/>
      <c r="Y103" s="85"/>
      <c r="Z103" s="73"/>
      <c r="AA103" s="74"/>
      <c r="AB103" s="75">
        <f t="shared" si="40"/>
        <v>0</v>
      </c>
      <c r="AC103" s="72">
        <f t="shared" si="41"/>
        <v>0</v>
      </c>
      <c r="AD103" s="52">
        <v>2</v>
      </c>
      <c r="AE103" s="71">
        <f t="shared" si="42"/>
        <v>2</v>
      </c>
      <c r="AF103" s="76"/>
      <c r="AG103" s="86"/>
      <c r="AH103" s="77">
        <f t="shared" si="43"/>
        <v>17</v>
      </c>
      <c r="AI103" s="56">
        <v>10</v>
      </c>
      <c r="AJ103" s="56">
        <v>10</v>
      </c>
      <c r="AK103" s="56">
        <v>45</v>
      </c>
      <c r="AL103" s="57">
        <f t="shared" si="44"/>
        <v>82</v>
      </c>
      <c r="AM103" s="55">
        <f t="shared" si="45"/>
        <v>82</v>
      </c>
      <c r="AN103" s="78">
        <f t="shared" si="46"/>
        <v>1.02</v>
      </c>
      <c r="AO103" s="79"/>
      <c r="AP103" s="80">
        <f t="shared" si="49"/>
        <v>1</v>
      </c>
      <c r="AQ103" s="80">
        <f t="shared" si="49"/>
        <v>2</v>
      </c>
      <c r="AR103" s="61"/>
      <c r="AS103" s="62"/>
      <c r="AT103" s="81"/>
      <c r="AU103" s="81"/>
      <c r="AV103" s="81"/>
      <c r="AW103" s="81"/>
      <c r="AX103" s="82"/>
      <c r="AY103" s="83">
        <f t="shared" si="47"/>
        <v>0</v>
      </c>
      <c r="AZ103" s="83">
        <f t="shared" si="48"/>
        <v>0</v>
      </c>
    </row>
    <row r="104" spans="1:52" s="66" customFormat="1" ht="39.75" customHeight="1" thickBot="1" x14ac:dyDescent="0.2">
      <c r="A104" s="101"/>
      <c r="B104" s="101"/>
      <c r="C104" s="101"/>
      <c r="D104" s="101"/>
      <c r="E104" s="101"/>
      <c r="F104" s="40"/>
      <c r="G104" s="90"/>
      <c r="H104" s="158"/>
      <c r="I104" s="92">
        <v>0.51</v>
      </c>
      <c r="J104" s="41">
        <v>0.49</v>
      </c>
      <c r="K104" s="41"/>
      <c r="L104" s="88"/>
      <c r="M104" s="68"/>
      <c r="N104" s="94">
        <f t="shared" si="37"/>
        <v>1</v>
      </c>
      <c r="O104" s="44">
        <v>1</v>
      </c>
      <c r="P104" s="45">
        <v>15</v>
      </c>
      <c r="Q104" s="46">
        <v>15</v>
      </c>
      <c r="R104" s="46"/>
      <c r="S104" s="46"/>
      <c r="T104" s="70"/>
      <c r="U104" s="71">
        <f t="shared" si="38"/>
        <v>15</v>
      </c>
      <c r="V104" s="72">
        <f t="shared" si="39"/>
        <v>15</v>
      </c>
      <c r="W104" s="99"/>
      <c r="X104" s="100"/>
      <c r="Y104" s="85"/>
      <c r="Z104" s="73"/>
      <c r="AA104" s="74"/>
      <c r="AB104" s="75">
        <f t="shared" si="40"/>
        <v>0</v>
      </c>
      <c r="AC104" s="72">
        <f t="shared" si="41"/>
        <v>0</v>
      </c>
      <c r="AD104" s="52">
        <v>2</v>
      </c>
      <c r="AE104" s="71">
        <f t="shared" si="42"/>
        <v>2</v>
      </c>
      <c r="AF104" s="76"/>
      <c r="AG104" s="86"/>
      <c r="AH104" s="77">
        <f t="shared" si="43"/>
        <v>17</v>
      </c>
      <c r="AI104" s="56">
        <v>10</v>
      </c>
      <c r="AJ104" s="56">
        <v>10</v>
      </c>
      <c r="AK104" s="56">
        <v>45</v>
      </c>
      <c r="AL104" s="57">
        <f t="shared" si="44"/>
        <v>82</v>
      </c>
      <c r="AM104" s="55">
        <f t="shared" si="45"/>
        <v>82</v>
      </c>
      <c r="AN104" s="78">
        <f t="shared" si="46"/>
        <v>1.02</v>
      </c>
      <c r="AO104" s="79"/>
      <c r="AP104" s="80">
        <f t="shared" si="49"/>
        <v>1</v>
      </c>
      <c r="AQ104" s="80">
        <f t="shared" si="49"/>
        <v>2</v>
      </c>
      <c r="AR104" s="61"/>
      <c r="AS104" s="62"/>
      <c r="AT104" s="81"/>
      <c r="AU104" s="81"/>
      <c r="AV104" s="81"/>
      <c r="AW104" s="81"/>
      <c r="AX104" s="82"/>
      <c r="AY104" s="83">
        <f t="shared" si="47"/>
        <v>0</v>
      </c>
      <c r="AZ104" s="83">
        <f t="shared" si="48"/>
        <v>0</v>
      </c>
    </row>
    <row r="105" spans="1:52" s="66" customFormat="1" ht="39.75" customHeight="1" thickBot="1" x14ac:dyDescent="0.2">
      <c r="A105" s="101"/>
      <c r="B105" s="101"/>
      <c r="C105" s="101"/>
      <c r="D105" s="101"/>
      <c r="E105" s="101"/>
      <c r="F105" s="40"/>
      <c r="G105" s="90"/>
      <c r="H105" s="158"/>
      <c r="I105" s="92">
        <v>0.51</v>
      </c>
      <c r="J105" s="41">
        <v>0.49</v>
      </c>
      <c r="K105" s="41"/>
      <c r="L105" s="88"/>
      <c r="M105" s="68"/>
      <c r="N105" s="94">
        <f t="shared" si="37"/>
        <v>1</v>
      </c>
      <c r="O105" s="44">
        <v>1</v>
      </c>
      <c r="P105" s="45">
        <v>15</v>
      </c>
      <c r="Q105" s="46">
        <v>15</v>
      </c>
      <c r="R105" s="46"/>
      <c r="S105" s="46"/>
      <c r="T105" s="70"/>
      <c r="U105" s="71">
        <f t="shared" si="38"/>
        <v>15</v>
      </c>
      <c r="V105" s="72">
        <f t="shared" si="39"/>
        <v>15</v>
      </c>
      <c r="W105" s="99"/>
      <c r="X105" s="100"/>
      <c r="Y105" s="85"/>
      <c r="Z105" s="73"/>
      <c r="AA105" s="74"/>
      <c r="AB105" s="75">
        <f t="shared" si="40"/>
        <v>0</v>
      </c>
      <c r="AC105" s="72">
        <f t="shared" si="41"/>
        <v>0</v>
      </c>
      <c r="AD105" s="52">
        <v>2</v>
      </c>
      <c r="AE105" s="71">
        <f t="shared" si="42"/>
        <v>2</v>
      </c>
      <c r="AF105" s="76"/>
      <c r="AG105" s="86"/>
      <c r="AH105" s="77">
        <f t="shared" si="43"/>
        <v>17</v>
      </c>
      <c r="AI105" s="56">
        <v>10</v>
      </c>
      <c r="AJ105" s="56">
        <v>10</v>
      </c>
      <c r="AK105" s="56">
        <v>45</v>
      </c>
      <c r="AL105" s="57">
        <f t="shared" si="44"/>
        <v>82</v>
      </c>
      <c r="AM105" s="55">
        <f t="shared" si="45"/>
        <v>82</v>
      </c>
      <c r="AN105" s="78">
        <f t="shared" si="46"/>
        <v>1.02</v>
      </c>
      <c r="AO105" s="79"/>
      <c r="AP105" s="80">
        <f t="shared" ref="AP105:AQ124" si="50">100%+AO105</f>
        <v>1</v>
      </c>
      <c r="AQ105" s="80">
        <f t="shared" si="50"/>
        <v>2</v>
      </c>
      <c r="AR105" s="61"/>
      <c r="AS105" s="62"/>
      <c r="AT105" s="81"/>
      <c r="AU105" s="81"/>
      <c r="AV105" s="81"/>
      <c r="AW105" s="81"/>
      <c r="AX105" s="82"/>
      <c r="AY105" s="83">
        <f t="shared" si="47"/>
        <v>0</v>
      </c>
      <c r="AZ105" s="83">
        <f t="shared" si="48"/>
        <v>0</v>
      </c>
    </row>
    <row r="106" spans="1:52" s="66" customFormat="1" ht="39.75" customHeight="1" thickBot="1" x14ac:dyDescent="0.2">
      <c r="A106" s="101"/>
      <c r="B106" s="101"/>
      <c r="C106" s="101"/>
      <c r="D106" s="101"/>
      <c r="E106" s="101"/>
      <c r="F106" s="40"/>
      <c r="G106" s="90"/>
      <c r="H106" s="158"/>
      <c r="I106" s="92">
        <v>0.51</v>
      </c>
      <c r="J106" s="41">
        <v>0.49</v>
      </c>
      <c r="K106" s="41"/>
      <c r="L106" s="88"/>
      <c r="M106" s="68"/>
      <c r="N106" s="94">
        <f t="shared" si="37"/>
        <v>1</v>
      </c>
      <c r="O106" s="44">
        <v>1</v>
      </c>
      <c r="P106" s="45">
        <v>15</v>
      </c>
      <c r="Q106" s="46">
        <v>15</v>
      </c>
      <c r="R106" s="46"/>
      <c r="S106" s="46"/>
      <c r="T106" s="70"/>
      <c r="U106" s="71">
        <f t="shared" si="38"/>
        <v>15</v>
      </c>
      <c r="V106" s="72">
        <f t="shared" si="39"/>
        <v>15</v>
      </c>
      <c r="W106" s="99"/>
      <c r="X106" s="100"/>
      <c r="Y106" s="85"/>
      <c r="Z106" s="73"/>
      <c r="AA106" s="74"/>
      <c r="AB106" s="75">
        <f t="shared" si="40"/>
        <v>0</v>
      </c>
      <c r="AC106" s="72">
        <f t="shared" si="41"/>
        <v>0</v>
      </c>
      <c r="AD106" s="52">
        <v>2</v>
      </c>
      <c r="AE106" s="71">
        <f t="shared" si="42"/>
        <v>2</v>
      </c>
      <c r="AF106" s="76"/>
      <c r="AG106" s="86"/>
      <c r="AH106" s="77">
        <f t="shared" si="43"/>
        <v>17</v>
      </c>
      <c r="AI106" s="56">
        <v>10</v>
      </c>
      <c r="AJ106" s="56">
        <v>10</v>
      </c>
      <c r="AK106" s="56">
        <v>45</v>
      </c>
      <c r="AL106" s="57">
        <f t="shared" si="44"/>
        <v>82</v>
      </c>
      <c r="AM106" s="55">
        <f t="shared" si="45"/>
        <v>82</v>
      </c>
      <c r="AN106" s="78">
        <f t="shared" si="46"/>
        <v>1.02</v>
      </c>
      <c r="AO106" s="79"/>
      <c r="AP106" s="80">
        <f t="shared" si="50"/>
        <v>1</v>
      </c>
      <c r="AQ106" s="80">
        <f t="shared" si="50"/>
        <v>2</v>
      </c>
      <c r="AR106" s="61"/>
      <c r="AS106" s="62"/>
      <c r="AT106" s="81"/>
      <c r="AU106" s="81"/>
      <c r="AV106" s="81"/>
      <c r="AW106" s="81"/>
      <c r="AX106" s="82"/>
      <c r="AY106" s="83">
        <f t="shared" si="47"/>
        <v>0</v>
      </c>
      <c r="AZ106" s="83">
        <f t="shared" si="48"/>
        <v>0</v>
      </c>
    </row>
    <row r="107" spans="1:52" s="66" customFormat="1" ht="39.75" customHeight="1" thickBot="1" x14ac:dyDescent="0.2">
      <c r="A107" s="101"/>
      <c r="B107" s="101"/>
      <c r="C107" s="101"/>
      <c r="D107" s="101"/>
      <c r="E107" s="101"/>
      <c r="F107" s="40"/>
      <c r="G107" s="90"/>
      <c r="H107" s="158"/>
      <c r="I107" s="92">
        <v>0.51</v>
      </c>
      <c r="J107" s="41">
        <v>0.49</v>
      </c>
      <c r="K107" s="41"/>
      <c r="L107" s="88"/>
      <c r="M107" s="68"/>
      <c r="N107" s="94">
        <f t="shared" si="37"/>
        <v>1</v>
      </c>
      <c r="O107" s="44">
        <v>1</v>
      </c>
      <c r="P107" s="45">
        <v>15</v>
      </c>
      <c r="Q107" s="46">
        <v>15</v>
      </c>
      <c r="R107" s="46"/>
      <c r="S107" s="46"/>
      <c r="T107" s="70"/>
      <c r="U107" s="71">
        <f t="shared" si="38"/>
        <v>15</v>
      </c>
      <c r="V107" s="72">
        <f t="shared" si="39"/>
        <v>15</v>
      </c>
      <c r="W107" s="99"/>
      <c r="X107" s="100"/>
      <c r="Y107" s="85"/>
      <c r="Z107" s="73"/>
      <c r="AA107" s="74"/>
      <c r="AB107" s="75">
        <f t="shared" si="40"/>
        <v>0</v>
      </c>
      <c r="AC107" s="72">
        <f t="shared" si="41"/>
        <v>0</v>
      </c>
      <c r="AD107" s="52">
        <v>2</v>
      </c>
      <c r="AE107" s="71">
        <f t="shared" si="42"/>
        <v>2</v>
      </c>
      <c r="AF107" s="76"/>
      <c r="AG107" s="86"/>
      <c r="AH107" s="77">
        <f t="shared" si="43"/>
        <v>17</v>
      </c>
      <c r="AI107" s="56">
        <v>10</v>
      </c>
      <c r="AJ107" s="56">
        <v>10</v>
      </c>
      <c r="AK107" s="56">
        <v>45</v>
      </c>
      <c r="AL107" s="57">
        <f t="shared" si="44"/>
        <v>82</v>
      </c>
      <c r="AM107" s="55">
        <f t="shared" si="45"/>
        <v>82</v>
      </c>
      <c r="AN107" s="78">
        <f t="shared" si="46"/>
        <v>1.02</v>
      </c>
      <c r="AO107" s="79"/>
      <c r="AP107" s="80">
        <f t="shared" si="50"/>
        <v>1</v>
      </c>
      <c r="AQ107" s="80">
        <f t="shared" si="50"/>
        <v>2</v>
      </c>
      <c r="AR107" s="61"/>
      <c r="AS107" s="62"/>
      <c r="AT107" s="81"/>
      <c r="AU107" s="81"/>
      <c r="AV107" s="81"/>
      <c r="AW107" s="81"/>
      <c r="AX107" s="82"/>
      <c r="AY107" s="83">
        <f t="shared" si="47"/>
        <v>0</v>
      </c>
      <c r="AZ107" s="83">
        <f t="shared" si="48"/>
        <v>0</v>
      </c>
    </row>
    <row r="108" spans="1:52" s="23" customFormat="1" ht="39.75" customHeight="1" thickBot="1" x14ac:dyDescent="0.2">
      <c r="A108" s="101"/>
      <c r="B108" s="101"/>
      <c r="C108" s="101"/>
      <c r="D108" s="101"/>
      <c r="E108" s="101"/>
      <c r="F108" s="40"/>
      <c r="G108" s="90"/>
      <c r="H108" s="158"/>
      <c r="I108" s="92">
        <v>0.51</v>
      </c>
      <c r="J108" s="41">
        <v>0.49</v>
      </c>
      <c r="K108" s="41"/>
      <c r="L108" s="88"/>
      <c r="M108" s="68"/>
      <c r="N108" s="94">
        <f t="shared" si="37"/>
        <v>1</v>
      </c>
      <c r="O108" s="44">
        <v>1</v>
      </c>
      <c r="P108" s="45">
        <v>15</v>
      </c>
      <c r="Q108" s="46">
        <v>15</v>
      </c>
      <c r="R108" s="46"/>
      <c r="S108" s="46"/>
      <c r="T108" s="70"/>
      <c r="U108" s="71">
        <f t="shared" si="38"/>
        <v>15</v>
      </c>
      <c r="V108" s="72">
        <f t="shared" si="39"/>
        <v>15</v>
      </c>
      <c r="W108" s="99"/>
      <c r="X108" s="100"/>
      <c r="Y108" s="85"/>
      <c r="Z108" s="73"/>
      <c r="AA108" s="74"/>
      <c r="AB108" s="75">
        <f t="shared" si="40"/>
        <v>0</v>
      </c>
      <c r="AC108" s="72">
        <f t="shared" si="41"/>
        <v>0</v>
      </c>
      <c r="AD108" s="52">
        <v>2</v>
      </c>
      <c r="AE108" s="71">
        <f t="shared" si="42"/>
        <v>2</v>
      </c>
      <c r="AF108" s="76"/>
      <c r="AG108" s="86"/>
      <c r="AH108" s="77">
        <f t="shared" si="43"/>
        <v>17</v>
      </c>
      <c r="AI108" s="56">
        <v>10</v>
      </c>
      <c r="AJ108" s="56">
        <v>10</v>
      </c>
      <c r="AK108" s="56">
        <v>45</v>
      </c>
      <c r="AL108" s="57">
        <f t="shared" si="44"/>
        <v>82</v>
      </c>
      <c r="AM108" s="55">
        <f t="shared" si="45"/>
        <v>82</v>
      </c>
      <c r="AN108" s="78">
        <f t="shared" si="46"/>
        <v>1.02</v>
      </c>
      <c r="AO108" s="79"/>
      <c r="AP108" s="80">
        <f t="shared" si="50"/>
        <v>1</v>
      </c>
      <c r="AQ108" s="80">
        <f t="shared" si="50"/>
        <v>2</v>
      </c>
      <c r="AR108" s="61"/>
      <c r="AS108" s="62"/>
      <c r="AT108" s="81"/>
      <c r="AU108" s="81"/>
      <c r="AV108" s="81"/>
      <c r="AW108" s="81"/>
      <c r="AX108" s="82"/>
      <c r="AY108" s="83">
        <f t="shared" si="47"/>
        <v>0</v>
      </c>
      <c r="AZ108" s="83">
        <f t="shared" si="48"/>
        <v>0</v>
      </c>
    </row>
    <row r="109" spans="1:52" s="66" customFormat="1" ht="39.75" customHeight="1" thickBot="1" x14ac:dyDescent="0.2">
      <c r="A109" s="101"/>
      <c r="B109" s="101"/>
      <c r="C109" s="101"/>
      <c r="D109" s="101"/>
      <c r="E109" s="101"/>
      <c r="F109" s="40"/>
      <c r="G109" s="90"/>
      <c r="H109" s="158"/>
      <c r="I109" s="92">
        <v>0.51</v>
      </c>
      <c r="J109" s="41">
        <v>0.49</v>
      </c>
      <c r="K109" s="41"/>
      <c r="L109" s="88"/>
      <c r="M109" s="68"/>
      <c r="N109" s="94">
        <f t="shared" si="37"/>
        <v>1</v>
      </c>
      <c r="O109" s="44">
        <v>1</v>
      </c>
      <c r="P109" s="45">
        <v>15</v>
      </c>
      <c r="Q109" s="46">
        <v>15</v>
      </c>
      <c r="R109" s="46"/>
      <c r="S109" s="46"/>
      <c r="T109" s="70"/>
      <c r="U109" s="71">
        <f t="shared" si="38"/>
        <v>15</v>
      </c>
      <c r="V109" s="72">
        <f t="shared" si="39"/>
        <v>15</v>
      </c>
      <c r="W109" s="99"/>
      <c r="X109" s="100"/>
      <c r="Y109" s="85"/>
      <c r="Z109" s="73"/>
      <c r="AA109" s="74"/>
      <c r="AB109" s="75">
        <f t="shared" si="40"/>
        <v>0</v>
      </c>
      <c r="AC109" s="72">
        <f t="shared" si="41"/>
        <v>0</v>
      </c>
      <c r="AD109" s="52">
        <v>2</v>
      </c>
      <c r="AE109" s="71">
        <f t="shared" si="42"/>
        <v>2</v>
      </c>
      <c r="AF109" s="76"/>
      <c r="AG109" s="86"/>
      <c r="AH109" s="77">
        <f t="shared" si="43"/>
        <v>17</v>
      </c>
      <c r="AI109" s="56">
        <v>10</v>
      </c>
      <c r="AJ109" s="56">
        <v>10</v>
      </c>
      <c r="AK109" s="56">
        <v>45</v>
      </c>
      <c r="AL109" s="57">
        <f t="shared" si="44"/>
        <v>82</v>
      </c>
      <c r="AM109" s="55">
        <f t="shared" si="45"/>
        <v>82</v>
      </c>
      <c r="AN109" s="78">
        <f t="shared" si="46"/>
        <v>1.02</v>
      </c>
      <c r="AO109" s="79"/>
      <c r="AP109" s="80">
        <f t="shared" si="50"/>
        <v>1</v>
      </c>
      <c r="AQ109" s="80">
        <f t="shared" si="50"/>
        <v>2</v>
      </c>
      <c r="AR109" s="61"/>
      <c r="AS109" s="62"/>
      <c r="AT109" s="81"/>
      <c r="AU109" s="81"/>
      <c r="AV109" s="81"/>
      <c r="AW109" s="81"/>
      <c r="AX109" s="82"/>
      <c r="AY109" s="83">
        <f t="shared" si="47"/>
        <v>0</v>
      </c>
      <c r="AZ109" s="83">
        <f t="shared" si="48"/>
        <v>0</v>
      </c>
    </row>
    <row r="110" spans="1:52" s="66" customFormat="1" ht="39.75" customHeight="1" thickBot="1" x14ac:dyDescent="0.2">
      <c r="A110" s="101"/>
      <c r="B110" s="101"/>
      <c r="C110" s="101"/>
      <c r="D110" s="101"/>
      <c r="E110" s="101"/>
      <c r="F110" s="40"/>
      <c r="G110" s="90"/>
      <c r="H110" s="158"/>
      <c r="I110" s="92">
        <v>0.51</v>
      </c>
      <c r="J110" s="41">
        <v>0.49</v>
      </c>
      <c r="K110" s="41"/>
      <c r="L110" s="88"/>
      <c r="M110" s="68"/>
      <c r="N110" s="94">
        <f t="shared" si="37"/>
        <v>1</v>
      </c>
      <c r="O110" s="44">
        <v>1</v>
      </c>
      <c r="P110" s="45">
        <v>15</v>
      </c>
      <c r="Q110" s="46">
        <v>15</v>
      </c>
      <c r="R110" s="46"/>
      <c r="S110" s="46"/>
      <c r="T110" s="70"/>
      <c r="U110" s="71">
        <f t="shared" si="38"/>
        <v>15</v>
      </c>
      <c r="V110" s="72">
        <f t="shared" si="39"/>
        <v>15</v>
      </c>
      <c r="W110" s="99"/>
      <c r="X110" s="100"/>
      <c r="Y110" s="85"/>
      <c r="Z110" s="73"/>
      <c r="AA110" s="74"/>
      <c r="AB110" s="75">
        <f t="shared" si="40"/>
        <v>0</v>
      </c>
      <c r="AC110" s="72">
        <f t="shared" si="41"/>
        <v>0</v>
      </c>
      <c r="AD110" s="52">
        <v>2</v>
      </c>
      <c r="AE110" s="71">
        <f t="shared" si="42"/>
        <v>2</v>
      </c>
      <c r="AF110" s="76"/>
      <c r="AG110" s="86"/>
      <c r="AH110" s="77">
        <f t="shared" si="43"/>
        <v>17</v>
      </c>
      <c r="AI110" s="56">
        <v>10</v>
      </c>
      <c r="AJ110" s="56">
        <v>10</v>
      </c>
      <c r="AK110" s="56">
        <v>45</v>
      </c>
      <c r="AL110" s="57">
        <f t="shared" si="44"/>
        <v>82</v>
      </c>
      <c r="AM110" s="55">
        <f t="shared" si="45"/>
        <v>82</v>
      </c>
      <c r="AN110" s="78">
        <f t="shared" si="46"/>
        <v>1.02</v>
      </c>
      <c r="AO110" s="79"/>
      <c r="AP110" s="80">
        <f t="shared" si="50"/>
        <v>1</v>
      </c>
      <c r="AQ110" s="80">
        <f t="shared" si="50"/>
        <v>2</v>
      </c>
      <c r="AR110" s="61"/>
      <c r="AS110" s="62"/>
      <c r="AT110" s="81"/>
      <c r="AU110" s="81"/>
      <c r="AV110" s="81"/>
      <c r="AW110" s="81"/>
      <c r="AX110" s="82"/>
      <c r="AY110" s="83">
        <f t="shared" si="47"/>
        <v>0</v>
      </c>
      <c r="AZ110" s="83">
        <f t="shared" si="48"/>
        <v>0</v>
      </c>
    </row>
    <row r="111" spans="1:52" s="66" customFormat="1" ht="39.75" customHeight="1" thickBot="1" x14ac:dyDescent="0.2">
      <c r="A111" s="101"/>
      <c r="B111" s="101"/>
      <c r="C111" s="101"/>
      <c r="D111" s="101"/>
      <c r="E111" s="101"/>
      <c r="F111" s="40"/>
      <c r="G111" s="90"/>
      <c r="H111" s="158"/>
      <c r="I111" s="92">
        <v>0.51</v>
      </c>
      <c r="J111" s="41">
        <v>0.49</v>
      </c>
      <c r="K111" s="41"/>
      <c r="L111" s="88"/>
      <c r="M111" s="68"/>
      <c r="N111" s="94">
        <f t="shared" si="37"/>
        <v>1</v>
      </c>
      <c r="O111" s="44">
        <v>1</v>
      </c>
      <c r="P111" s="45">
        <v>15</v>
      </c>
      <c r="Q111" s="46">
        <v>15</v>
      </c>
      <c r="R111" s="46"/>
      <c r="S111" s="46"/>
      <c r="T111" s="70"/>
      <c r="U111" s="71">
        <f t="shared" si="38"/>
        <v>15</v>
      </c>
      <c r="V111" s="72">
        <f t="shared" si="39"/>
        <v>15</v>
      </c>
      <c r="W111" s="99"/>
      <c r="X111" s="100"/>
      <c r="Y111" s="85"/>
      <c r="Z111" s="73"/>
      <c r="AA111" s="74"/>
      <c r="AB111" s="75">
        <f t="shared" si="40"/>
        <v>0</v>
      </c>
      <c r="AC111" s="72">
        <f t="shared" si="41"/>
        <v>0</v>
      </c>
      <c r="AD111" s="52">
        <v>2</v>
      </c>
      <c r="AE111" s="71">
        <f t="shared" si="42"/>
        <v>2</v>
      </c>
      <c r="AF111" s="76"/>
      <c r="AG111" s="86"/>
      <c r="AH111" s="77">
        <f t="shared" si="43"/>
        <v>17</v>
      </c>
      <c r="AI111" s="56">
        <v>10</v>
      </c>
      <c r="AJ111" s="56">
        <v>10</v>
      </c>
      <c r="AK111" s="56">
        <v>45</v>
      </c>
      <c r="AL111" s="57">
        <f t="shared" si="44"/>
        <v>82</v>
      </c>
      <c r="AM111" s="55">
        <f t="shared" si="45"/>
        <v>82</v>
      </c>
      <c r="AN111" s="78">
        <f t="shared" si="46"/>
        <v>1.02</v>
      </c>
      <c r="AO111" s="79"/>
      <c r="AP111" s="80">
        <f t="shared" si="50"/>
        <v>1</v>
      </c>
      <c r="AQ111" s="80">
        <f t="shared" si="50"/>
        <v>2</v>
      </c>
      <c r="AR111" s="61"/>
      <c r="AS111" s="62"/>
      <c r="AT111" s="81"/>
      <c r="AU111" s="81"/>
      <c r="AV111" s="81"/>
      <c r="AW111" s="81"/>
      <c r="AX111" s="82"/>
      <c r="AY111" s="83">
        <f t="shared" si="47"/>
        <v>0</v>
      </c>
      <c r="AZ111" s="83">
        <f t="shared" si="48"/>
        <v>0</v>
      </c>
    </row>
    <row r="112" spans="1:52" s="66" customFormat="1" ht="39.75" customHeight="1" thickBot="1" x14ac:dyDescent="0.2">
      <c r="A112" s="101"/>
      <c r="B112" s="101"/>
      <c r="C112" s="101"/>
      <c r="D112" s="101"/>
      <c r="E112" s="101"/>
      <c r="F112" s="40"/>
      <c r="G112" s="90"/>
      <c r="H112" s="158"/>
      <c r="I112" s="92">
        <v>0.51</v>
      </c>
      <c r="J112" s="41">
        <v>0.49</v>
      </c>
      <c r="K112" s="41"/>
      <c r="L112" s="88"/>
      <c r="M112" s="68"/>
      <c r="N112" s="94">
        <f t="shared" si="37"/>
        <v>1</v>
      </c>
      <c r="O112" s="44">
        <v>1</v>
      </c>
      <c r="P112" s="45">
        <v>15</v>
      </c>
      <c r="Q112" s="46">
        <v>15</v>
      </c>
      <c r="R112" s="46"/>
      <c r="S112" s="46"/>
      <c r="T112" s="70"/>
      <c r="U112" s="71">
        <f t="shared" si="38"/>
        <v>15</v>
      </c>
      <c r="V112" s="72">
        <f t="shared" si="39"/>
        <v>15</v>
      </c>
      <c r="W112" s="99"/>
      <c r="X112" s="100"/>
      <c r="Y112" s="85"/>
      <c r="Z112" s="73"/>
      <c r="AA112" s="74"/>
      <c r="AB112" s="75">
        <f t="shared" si="40"/>
        <v>0</v>
      </c>
      <c r="AC112" s="72">
        <f t="shared" si="41"/>
        <v>0</v>
      </c>
      <c r="AD112" s="52">
        <v>2</v>
      </c>
      <c r="AE112" s="71">
        <f t="shared" si="42"/>
        <v>2</v>
      </c>
      <c r="AF112" s="76"/>
      <c r="AG112" s="86"/>
      <c r="AH112" s="77">
        <f t="shared" si="43"/>
        <v>17</v>
      </c>
      <c r="AI112" s="56">
        <v>10</v>
      </c>
      <c r="AJ112" s="56">
        <v>10</v>
      </c>
      <c r="AK112" s="56">
        <v>45</v>
      </c>
      <c r="AL112" s="57">
        <f t="shared" si="44"/>
        <v>82</v>
      </c>
      <c r="AM112" s="55">
        <f t="shared" si="45"/>
        <v>82</v>
      </c>
      <c r="AN112" s="78">
        <f t="shared" si="46"/>
        <v>1.02</v>
      </c>
      <c r="AO112" s="79"/>
      <c r="AP112" s="80">
        <f t="shared" si="50"/>
        <v>1</v>
      </c>
      <c r="AQ112" s="80">
        <f t="shared" si="50"/>
        <v>2</v>
      </c>
      <c r="AR112" s="61"/>
      <c r="AS112" s="62"/>
      <c r="AT112" s="81"/>
      <c r="AU112" s="81"/>
      <c r="AV112" s="81"/>
      <c r="AW112" s="81"/>
      <c r="AX112" s="82"/>
      <c r="AY112" s="83">
        <f t="shared" si="47"/>
        <v>0</v>
      </c>
      <c r="AZ112" s="83">
        <f t="shared" si="48"/>
        <v>0</v>
      </c>
    </row>
    <row r="113" spans="1:52" s="66" customFormat="1" ht="39.75" customHeight="1" thickBot="1" x14ac:dyDescent="0.2">
      <c r="A113" s="101"/>
      <c r="B113" s="101"/>
      <c r="C113" s="101"/>
      <c r="D113" s="101"/>
      <c r="E113" s="101"/>
      <c r="F113" s="40"/>
      <c r="G113" s="90"/>
      <c r="H113" s="158"/>
      <c r="I113" s="92">
        <v>0.51</v>
      </c>
      <c r="J113" s="41">
        <v>0.49</v>
      </c>
      <c r="K113" s="41"/>
      <c r="L113" s="88"/>
      <c r="M113" s="68"/>
      <c r="N113" s="94">
        <f t="shared" si="37"/>
        <v>1</v>
      </c>
      <c r="O113" s="44">
        <v>1</v>
      </c>
      <c r="P113" s="45">
        <v>15</v>
      </c>
      <c r="Q113" s="46">
        <v>15</v>
      </c>
      <c r="R113" s="46"/>
      <c r="S113" s="46"/>
      <c r="T113" s="70"/>
      <c r="U113" s="71">
        <f t="shared" si="38"/>
        <v>15</v>
      </c>
      <c r="V113" s="72">
        <f t="shared" si="39"/>
        <v>15</v>
      </c>
      <c r="W113" s="99"/>
      <c r="X113" s="100"/>
      <c r="Y113" s="85"/>
      <c r="Z113" s="73"/>
      <c r="AA113" s="74"/>
      <c r="AB113" s="75">
        <f t="shared" si="40"/>
        <v>0</v>
      </c>
      <c r="AC113" s="72">
        <f t="shared" si="41"/>
        <v>0</v>
      </c>
      <c r="AD113" s="52">
        <v>2</v>
      </c>
      <c r="AE113" s="71">
        <f t="shared" si="42"/>
        <v>2</v>
      </c>
      <c r="AF113" s="76"/>
      <c r="AG113" s="86"/>
      <c r="AH113" s="77">
        <f t="shared" si="43"/>
        <v>17</v>
      </c>
      <c r="AI113" s="56">
        <v>10</v>
      </c>
      <c r="AJ113" s="56">
        <v>10</v>
      </c>
      <c r="AK113" s="56">
        <v>45</v>
      </c>
      <c r="AL113" s="57">
        <f t="shared" si="44"/>
        <v>82</v>
      </c>
      <c r="AM113" s="55">
        <f t="shared" si="45"/>
        <v>82</v>
      </c>
      <c r="AN113" s="78">
        <f t="shared" si="46"/>
        <v>1.02</v>
      </c>
      <c r="AO113" s="79"/>
      <c r="AP113" s="80">
        <f t="shared" si="50"/>
        <v>1</v>
      </c>
      <c r="AQ113" s="80">
        <f t="shared" si="50"/>
        <v>2</v>
      </c>
      <c r="AR113" s="61"/>
      <c r="AS113" s="62"/>
      <c r="AT113" s="81"/>
      <c r="AU113" s="81"/>
      <c r="AV113" s="81"/>
      <c r="AW113" s="81"/>
      <c r="AX113" s="82"/>
      <c r="AY113" s="83">
        <f t="shared" si="47"/>
        <v>0</v>
      </c>
      <c r="AZ113" s="83">
        <f t="shared" si="48"/>
        <v>0</v>
      </c>
    </row>
    <row r="114" spans="1:52" s="66" customFormat="1" ht="39.75" customHeight="1" thickBot="1" x14ac:dyDescent="0.2">
      <c r="A114" s="101"/>
      <c r="B114" s="101"/>
      <c r="C114" s="101"/>
      <c r="D114" s="101"/>
      <c r="E114" s="101"/>
      <c r="F114" s="40"/>
      <c r="G114" s="90"/>
      <c r="H114" s="158"/>
      <c r="I114" s="92">
        <v>0.51</v>
      </c>
      <c r="J114" s="41">
        <v>0.49</v>
      </c>
      <c r="K114" s="41"/>
      <c r="L114" s="88"/>
      <c r="M114" s="68"/>
      <c r="N114" s="94">
        <f t="shared" si="37"/>
        <v>1</v>
      </c>
      <c r="O114" s="44">
        <v>1</v>
      </c>
      <c r="P114" s="45">
        <v>15</v>
      </c>
      <c r="Q114" s="46">
        <v>15</v>
      </c>
      <c r="R114" s="46"/>
      <c r="S114" s="46"/>
      <c r="T114" s="70"/>
      <c r="U114" s="71">
        <f t="shared" si="38"/>
        <v>15</v>
      </c>
      <c r="V114" s="72">
        <f t="shared" si="39"/>
        <v>15</v>
      </c>
      <c r="W114" s="99"/>
      <c r="X114" s="100"/>
      <c r="Y114" s="85"/>
      <c r="Z114" s="73"/>
      <c r="AA114" s="74"/>
      <c r="AB114" s="75">
        <f t="shared" si="40"/>
        <v>0</v>
      </c>
      <c r="AC114" s="72">
        <f t="shared" si="41"/>
        <v>0</v>
      </c>
      <c r="AD114" s="52">
        <v>2</v>
      </c>
      <c r="AE114" s="71">
        <f t="shared" si="42"/>
        <v>2</v>
      </c>
      <c r="AF114" s="76"/>
      <c r="AG114" s="86"/>
      <c r="AH114" s="77">
        <f t="shared" si="43"/>
        <v>17</v>
      </c>
      <c r="AI114" s="56">
        <v>10</v>
      </c>
      <c r="AJ114" s="56">
        <v>10</v>
      </c>
      <c r="AK114" s="56">
        <v>45</v>
      </c>
      <c r="AL114" s="57">
        <f t="shared" si="44"/>
        <v>82</v>
      </c>
      <c r="AM114" s="55">
        <f t="shared" si="45"/>
        <v>82</v>
      </c>
      <c r="AN114" s="78">
        <f t="shared" si="46"/>
        <v>1.02</v>
      </c>
      <c r="AO114" s="79"/>
      <c r="AP114" s="80">
        <f t="shared" si="50"/>
        <v>1</v>
      </c>
      <c r="AQ114" s="80">
        <f t="shared" si="50"/>
        <v>2</v>
      </c>
      <c r="AR114" s="61"/>
      <c r="AS114" s="62"/>
      <c r="AT114" s="81"/>
      <c r="AU114" s="81"/>
      <c r="AV114" s="81"/>
      <c r="AW114" s="81"/>
      <c r="AX114" s="82"/>
      <c r="AY114" s="83">
        <f t="shared" si="47"/>
        <v>0</v>
      </c>
      <c r="AZ114" s="83">
        <f t="shared" si="48"/>
        <v>0</v>
      </c>
    </row>
    <row r="115" spans="1:52" s="66" customFormat="1" ht="39.75" customHeight="1" thickBot="1" x14ac:dyDescent="0.2">
      <c r="A115" s="101"/>
      <c r="B115" s="101"/>
      <c r="C115" s="101"/>
      <c r="D115" s="101"/>
      <c r="E115" s="101"/>
      <c r="F115" s="101"/>
      <c r="G115" s="90"/>
      <c r="H115" s="158"/>
      <c r="I115" s="92">
        <v>0.51</v>
      </c>
      <c r="J115" s="41">
        <v>0.49</v>
      </c>
      <c r="K115" s="41"/>
      <c r="L115" s="88"/>
      <c r="M115" s="68"/>
      <c r="N115" s="94">
        <f t="shared" si="37"/>
        <v>1</v>
      </c>
      <c r="O115" s="44">
        <v>1</v>
      </c>
      <c r="P115" s="45">
        <v>15</v>
      </c>
      <c r="Q115" s="46">
        <v>15</v>
      </c>
      <c r="R115" s="46"/>
      <c r="S115" s="46"/>
      <c r="T115" s="70"/>
      <c r="U115" s="71">
        <f t="shared" si="38"/>
        <v>15</v>
      </c>
      <c r="V115" s="72">
        <f t="shared" si="39"/>
        <v>15</v>
      </c>
      <c r="W115" s="99"/>
      <c r="X115" s="100"/>
      <c r="Y115" s="85"/>
      <c r="Z115" s="73"/>
      <c r="AA115" s="74"/>
      <c r="AB115" s="75">
        <f t="shared" si="40"/>
        <v>0</v>
      </c>
      <c r="AC115" s="72">
        <f t="shared" si="41"/>
        <v>0</v>
      </c>
      <c r="AD115" s="52">
        <v>2</v>
      </c>
      <c r="AE115" s="71">
        <f t="shared" si="42"/>
        <v>2</v>
      </c>
      <c r="AF115" s="76"/>
      <c r="AG115" s="86"/>
      <c r="AH115" s="77">
        <f t="shared" si="43"/>
        <v>17</v>
      </c>
      <c r="AI115" s="56">
        <v>10</v>
      </c>
      <c r="AJ115" s="56">
        <v>10</v>
      </c>
      <c r="AK115" s="56">
        <v>45</v>
      </c>
      <c r="AL115" s="57">
        <f t="shared" si="44"/>
        <v>82</v>
      </c>
      <c r="AM115" s="55">
        <f t="shared" si="45"/>
        <v>82</v>
      </c>
      <c r="AN115" s="78">
        <f t="shared" si="46"/>
        <v>1.02</v>
      </c>
      <c r="AO115" s="79"/>
      <c r="AP115" s="80">
        <f t="shared" si="50"/>
        <v>1</v>
      </c>
      <c r="AQ115" s="80">
        <f t="shared" si="50"/>
        <v>2</v>
      </c>
      <c r="AR115" s="61"/>
      <c r="AS115" s="62"/>
      <c r="AT115" s="81"/>
      <c r="AU115" s="81"/>
      <c r="AV115" s="81"/>
      <c r="AW115" s="81"/>
      <c r="AX115" s="82"/>
      <c r="AY115" s="83">
        <f t="shared" si="47"/>
        <v>0</v>
      </c>
      <c r="AZ115" s="83">
        <f t="shared" si="48"/>
        <v>0</v>
      </c>
    </row>
    <row r="116" spans="1:52" s="66" customFormat="1" ht="39.75" customHeight="1" thickBot="1" x14ac:dyDescent="0.2">
      <c r="A116" s="101"/>
      <c r="B116" s="101"/>
      <c r="C116" s="101"/>
      <c r="D116" s="101"/>
      <c r="E116" s="101"/>
      <c r="F116" s="101"/>
      <c r="G116" s="90"/>
      <c r="H116" s="158"/>
      <c r="I116" s="92">
        <v>0.51</v>
      </c>
      <c r="J116" s="41">
        <v>0.49</v>
      </c>
      <c r="K116" s="41"/>
      <c r="L116" s="88"/>
      <c r="M116" s="68"/>
      <c r="N116" s="94">
        <f t="shared" si="37"/>
        <v>1</v>
      </c>
      <c r="O116" s="44">
        <v>1</v>
      </c>
      <c r="P116" s="45">
        <v>15</v>
      </c>
      <c r="Q116" s="46">
        <v>15</v>
      </c>
      <c r="R116" s="46"/>
      <c r="S116" s="46"/>
      <c r="T116" s="70"/>
      <c r="U116" s="71">
        <f t="shared" si="38"/>
        <v>15</v>
      </c>
      <c r="V116" s="72">
        <f t="shared" si="39"/>
        <v>15</v>
      </c>
      <c r="W116" s="99"/>
      <c r="X116" s="100"/>
      <c r="Y116" s="85"/>
      <c r="Z116" s="73"/>
      <c r="AA116" s="74"/>
      <c r="AB116" s="75">
        <f t="shared" si="40"/>
        <v>0</v>
      </c>
      <c r="AC116" s="72">
        <f t="shared" si="41"/>
        <v>0</v>
      </c>
      <c r="AD116" s="52">
        <v>2</v>
      </c>
      <c r="AE116" s="71">
        <f t="shared" si="42"/>
        <v>2</v>
      </c>
      <c r="AF116" s="76"/>
      <c r="AG116" s="86"/>
      <c r="AH116" s="77">
        <f t="shared" si="43"/>
        <v>17</v>
      </c>
      <c r="AI116" s="56">
        <v>10</v>
      </c>
      <c r="AJ116" s="56">
        <v>10</v>
      </c>
      <c r="AK116" s="56">
        <v>45</v>
      </c>
      <c r="AL116" s="57">
        <f t="shared" si="44"/>
        <v>82</v>
      </c>
      <c r="AM116" s="55">
        <f t="shared" si="45"/>
        <v>82</v>
      </c>
      <c r="AN116" s="78">
        <f t="shared" si="46"/>
        <v>1.02</v>
      </c>
      <c r="AO116" s="79"/>
      <c r="AP116" s="80">
        <f t="shared" si="50"/>
        <v>1</v>
      </c>
      <c r="AQ116" s="80">
        <f t="shared" si="50"/>
        <v>2</v>
      </c>
      <c r="AR116" s="61"/>
      <c r="AS116" s="62"/>
      <c r="AT116" s="81"/>
      <c r="AU116" s="81"/>
      <c r="AV116" s="81"/>
      <c r="AW116" s="81"/>
      <c r="AX116" s="82"/>
      <c r="AY116" s="83">
        <f t="shared" si="47"/>
        <v>0</v>
      </c>
      <c r="AZ116" s="83">
        <f t="shared" si="48"/>
        <v>0</v>
      </c>
    </row>
    <row r="117" spans="1:52" s="23" customFormat="1" ht="39.75" customHeight="1" thickBot="1" x14ac:dyDescent="0.2">
      <c r="A117" s="101"/>
      <c r="B117" s="101"/>
      <c r="C117" s="101"/>
      <c r="D117" s="101"/>
      <c r="E117" s="101"/>
      <c r="F117" s="101"/>
      <c r="G117" s="90"/>
      <c r="H117" s="158"/>
      <c r="I117" s="92">
        <v>0.51</v>
      </c>
      <c r="J117" s="41">
        <v>0.49</v>
      </c>
      <c r="K117" s="41"/>
      <c r="L117" s="88"/>
      <c r="M117" s="68"/>
      <c r="N117" s="94">
        <f t="shared" si="37"/>
        <v>1</v>
      </c>
      <c r="O117" s="44">
        <v>1</v>
      </c>
      <c r="P117" s="45">
        <v>15</v>
      </c>
      <c r="Q117" s="46">
        <v>15</v>
      </c>
      <c r="R117" s="46"/>
      <c r="S117" s="46"/>
      <c r="T117" s="70"/>
      <c r="U117" s="71">
        <f t="shared" si="38"/>
        <v>15</v>
      </c>
      <c r="V117" s="72">
        <f t="shared" si="39"/>
        <v>15</v>
      </c>
      <c r="W117" s="99"/>
      <c r="X117" s="100"/>
      <c r="Y117" s="85"/>
      <c r="Z117" s="73"/>
      <c r="AA117" s="74"/>
      <c r="AB117" s="75">
        <f t="shared" si="40"/>
        <v>0</v>
      </c>
      <c r="AC117" s="72">
        <f t="shared" si="41"/>
        <v>0</v>
      </c>
      <c r="AD117" s="52">
        <v>2</v>
      </c>
      <c r="AE117" s="71">
        <f t="shared" si="42"/>
        <v>2</v>
      </c>
      <c r="AF117" s="76"/>
      <c r="AG117" s="86"/>
      <c r="AH117" s="77">
        <f t="shared" si="43"/>
        <v>17</v>
      </c>
      <c r="AI117" s="56">
        <v>10</v>
      </c>
      <c r="AJ117" s="56">
        <v>10</v>
      </c>
      <c r="AK117" s="56">
        <v>45</v>
      </c>
      <c r="AL117" s="57">
        <f t="shared" si="44"/>
        <v>82</v>
      </c>
      <c r="AM117" s="55">
        <f t="shared" si="45"/>
        <v>82</v>
      </c>
      <c r="AN117" s="78">
        <f t="shared" si="46"/>
        <v>1.02</v>
      </c>
      <c r="AO117" s="79"/>
      <c r="AP117" s="80">
        <f t="shared" si="50"/>
        <v>1</v>
      </c>
      <c r="AQ117" s="80">
        <f t="shared" si="50"/>
        <v>2</v>
      </c>
      <c r="AR117" s="61"/>
      <c r="AS117" s="62"/>
      <c r="AT117" s="81"/>
      <c r="AU117" s="81"/>
      <c r="AV117" s="81"/>
      <c r="AW117" s="81"/>
      <c r="AX117" s="82"/>
      <c r="AY117" s="83">
        <f t="shared" si="47"/>
        <v>0</v>
      </c>
      <c r="AZ117" s="83">
        <f t="shared" si="48"/>
        <v>0</v>
      </c>
    </row>
    <row r="118" spans="1:52" s="66" customFormat="1" ht="39.75" customHeight="1" thickBot="1" x14ac:dyDescent="0.2">
      <c r="A118" s="101"/>
      <c r="B118" s="101"/>
      <c r="C118" s="101"/>
      <c r="D118" s="101"/>
      <c r="E118" s="101"/>
      <c r="F118" s="101"/>
      <c r="G118" s="90"/>
      <c r="H118" s="158"/>
      <c r="I118" s="92">
        <v>0.51</v>
      </c>
      <c r="J118" s="41">
        <v>0.49</v>
      </c>
      <c r="K118" s="41"/>
      <c r="L118" s="88"/>
      <c r="M118" s="68"/>
      <c r="N118" s="94">
        <f t="shared" si="37"/>
        <v>1</v>
      </c>
      <c r="O118" s="44">
        <v>1</v>
      </c>
      <c r="P118" s="45">
        <v>15</v>
      </c>
      <c r="Q118" s="46">
        <v>15</v>
      </c>
      <c r="R118" s="46"/>
      <c r="S118" s="46"/>
      <c r="T118" s="70"/>
      <c r="U118" s="71">
        <f t="shared" si="38"/>
        <v>15</v>
      </c>
      <c r="V118" s="72">
        <f t="shared" si="39"/>
        <v>15</v>
      </c>
      <c r="W118" s="99"/>
      <c r="X118" s="100"/>
      <c r="Y118" s="85"/>
      <c r="Z118" s="73"/>
      <c r="AA118" s="74"/>
      <c r="AB118" s="75">
        <f t="shared" si="40"/>
        <v>0</v>
      </c>
      <c r="AC118" s="72">
        <f t="shared" si="41"/>
        <v>0</v>
      </c>
      <c r="AD118" s="52">
        <v>2</v>
      </c>
      <c r="AE118" s="71">
        <f t="shared" si="42"/>
        <v>2</v>
      </c>
      <c r="AF118" s="76"/>
      <c r="AG118" s="86"/>
      <c r="AH118" s="77">
        <f t="shared" si="43"/>
        <v>17</v>
      </c>
      <c r="AI118" s="56">
        <v>10</v>
      </c>
      <c r="AJ118" s="56">
        <v>10</v>
      </c>
      <c r="AK118" s="56">
        <v>45</v>
      </c>
      <c r="AL118" s="57">
        <f t="shared" si="44"/>
        <v>82</v>
      </c>
      <c r="AM118" s="55">
        <f t="shared" si="45"/>
        <v>82</v>
      </c>
      <c r="AN118" s="78">
        <f t="shared" si="46"/>
        <v>1.02</v>
      </c>
      <c r="AO118" s="79"/>
      <c r="AP118" s="80">
        <f t="shared" si="50"/>
        <v>1</v>
      </c>
      <c r="AQ118" s="80">
        <f t="shared" si="50"/>
        <v>2</v>
      </c>
      <c r="AR118" s="61"/>
      <c r="AS118" s="62"/>
      <c r="AT118" s="81"/>
      <c r="AU118" s="81"/>
      <c r="AV118" s="81"/>
      <c r="AW118" s="81"/>
      <c r="AX118" s="82"/>
      <c r="AY118" s="83">
        <f t="shared" si="47"/>
        <v>0</v>
      </c>
      <c r="AZ118" s="83">
        <f t="shared" si="48"/>
        <v>0</v>
      </c>
    </row>
    <row r="119" spans="1:52" s="66" customFormat="1" ht="39.75" customHeight="1" thickBot="1" x14ac:dyDescent="0.2">
      <c r="A119" s="101"/>
      <c r="B119" s="101"/>
      <c r="C119" s="101"/>
      <c r="D119" s="101"/>
      <c r="E119" s="101"/>
      <c r="F119" s="101"/>
      <c r="G119" s="90"/>
      <c r="H119" s="158"/>
      <c r="I119" s="92">
        <v>0.51</v>
      </c>
      <c r="J119" s="41">
        <v>0.49</v>
      </c>
      <c r="K119" s="41"/>
      <c r="L119" s="88"/>
      <c r="M119" s="68"/>
      <c r="N119" s="94">
        <f t="shared" si="37"/>
        <v>1</v>
      </c>
      <c r="O119" s="44">
        <v>1</v>
      </c>
      <c r="P119" s="45">
        <v>15</v>
      </c>
      <c r="Q119" s="46">
        <v>15</v>
      </c>
      <c r="R119" s="46"/>
      <c r="S119" s="46"/>
      <c r="T119" s="70"/>
      <c r="U119" s="71">
        <f t="shared" si="38"/>
        <v>15</v>
      </c>
      <c r="V119" s="72">
        <f t="shared" si="39"/>
        <v>15</v>
      </c>
      <c r="W119" s="99"/>
      <c r="X119" s="100"/>
      <c r="Y119" s="85"/>
      <c r="Z119" s="73"/>
      <c r="AA119" s="74"/>
      <c r="AB119" s="75">
        <f t="shared" si="40"/>
        <v>0</v>
      </c>
      <c r="AC119" s="72">
        <f t="shared" si="41"/>
        <v>0</v>
      </c>
      <c r="AD119" s="52">
        <v>2</v>
      </c>
      <c r="AE119" s="71">
        <f t="shared" si="42"/>
        <v>2</v>
      </c>
      <c r="AF119" s="76"/>
      <c r="AG119" s="86"/>
      <c r="AH119" s="77">
        <f t="shared" si="43"/>
        <v>17</v>
      </c>
      <c r="AI119" s="56">
        <v>10</v>
      </c>
      <c r="AJ119" s="56">
        <v>10</v>
      </c>
      <c r="AK119" s="56">
        <v>45</v>
      </c>
      <c r="AL119" s="57">
        <f t="shared" si="44"/>
        <v>82</v>
      </c>
      <c r="AM119" s="55">
        <f t="shared" si="45"/>
        <v>82</v>
      </c>
      <c r="AN119" s="78">
        <f t="shared" si="46"/>
        <v>1.02</v>
      </c>
      <c r="AO119" s="79"/>
      <c r="AP119" s="80">
        <f t="shared" si="50"/>
        <v>1</v>
      </c>
      <c r="AQ119" s="80">
        <f t="shared" si="50"/>
        <v>2</v>
      </c>
      <c r="AR119" s="61"/>
      <c r="AS119" s="62"/>
      <c r="AT119" s="81"/>
      <c r="AU119" s="81"/>
      <c r="AV119" s="81"/>
      <c r="AW119" s="81"/>
      <c r="AX119" s="82"/>
      <c r="AY119" s="83">
        <f t="shared" si="47"/>
        <v>0</v>
      </c>
      <c r="AZ119" s="83">
        <f t="shared" si="48"/>
        <v>0</v>
      </c>
    </row>
    <row r="120" spans="1:52" s="23" customFormat="1" ht="39.75" customHeight="1" thickBot="1" x14ac:dyDescent="0.2">
      <c r="A120" s="101"/>
      <c r="B120" s="101"/>
      <c r="C120" s="101"/>
      <c r="D120" s="101"/>
      <c r="E120" s="101"/>
      <c r="F120" s="101"/>
      <c r="G120" s="90"/>
      <c r="H120" s="158"/>
      <c r="I120" s="92">
        <v>0.51</v>
      </c>
      <c r="J120" s="41">
        <v>0.49</v>
      </c>
      <c r="K120" s="41"/>
      <c r="L120" s="88"/>
      <c r="M120" s="68"/>
      <c r="N120" s="94">
        <f t="shared" si="37"/>
        <v>1</v>
      </c>
      <c r="O120" s="44">
        <v>1</v>
      </c>
      <c r="P120" s="45">
        <v>15</v>
      </c>
      <c r="Q120" s="46">
        <v>15</v>
      </c>
      <c r="R120" s="46"/>
      <c r="S120" s="46"/>
      <c r="T120" s="70"/>
      <c r="U120" s="71">
        <f t="shared" si="38"/>
        <v>15</v>
      </c>
      <c r="V120" s="72">
        <f t="shared" si="39"/>
        <v>15</v>
      </c>
      <c r="W120" s="99"/>
      <c r="X120" s="100"/>
      <c r="Y120" s="85"/>
      <c r="Z120" s="73"/>
      <c r="AA120" s="74"/>
      <c r="AB120" s="75">
        <f t="shared" si="40"/>
        <v>0</v>
      </c>
      <c r="AC120" s="72">
        <f t="shared" si="41"/>
        <v>0</v>
      </c>
      <c r="AD120" s="52">
        <v>2</v>
      </c>
      <c r="AE120" s="71">
        <f t="shared" si="42"/>
        <v>2</v>
      </c>
      <c r="AF120" s="76"/>
      <c r="AG120" s="86"/>
      <c r="AH120" s="77">
        <f t="shared" si="43"/>
        <v>17</v>
      </c>
      <c r="AI120" s="56">
        <v>10</v>
      </c>
      <c r="AJ120" s="56">
        <v>10</v>
      </c>
      <c r="AK120" s="56">
        <v>45</v>
      </c>
      <c r="AL120" s="57">
        <f t="shared" si="44"/>
        <v>82</v>
      </c>
      <c r="AM120" s="55">
        <f t="shared" si="45"/>
        <v>82</v>
      </c>
      <c r="AN120" s="78">
        <f t="shared" si="46"/>
        <v>1.02</v>
      </c>
      <c r="AO120" s="79"/>
      <c r="AP120" s="80">
        <f t="shared" si="50"/>
        <v>1</v>
      </c>
      <c r="AQ120" s="80">
        <f t="shared" si="50"/>
        <v>2</v>
      </c>
      <c r="AR120" s="61"/>
      <c r="AS120" s="62"/>
      <c r="AT120" s="81"/>
      <c r="AU120" s="81"/>
      <c r="AV120" s="81"/>
      <c r="AW120" s="81"/>
      <c r="AX120" s="82"/>
      <c r="AY120" s="83">
        <f t="shared" si="47"/>
        <v>0</v>
      </c>
      <c r="AZ120" s="83">
        <f t="shared" si="48"/>
        <v>0</v>
      </c>
    </row>
    <row r="121" spans="1:52" s="66" customFormat="1" ht="39.75" customHeight="1" thickBot="1" x14ac:dyDescent="0.2">
      <c r="A121" s="101"/>
      <c r="B121" s="101"/>
      <c r="C121" s="101"/>
      <c r="D121" s="101"/>
      <c r="E121" s="101"/>
      <c r="F121" s="101"/>
      <c r="G121" s="90"/>
      <c r="H121" s="158"/>
      <c r="I121" s="92">
        <v>0.51</v>
      </c>
      <c r="J121" s="41">
        <v>0.49</v>
      </c>
      <c r="K121" s="41"/>
      <c r="L121" s="88"/>
      <c r="M121" s="68"/>
      <c r="N121" s="94">
        <f t="shared" si="37"/>
        <v>1</v>
      </c>
      <c r="O121" s="44">
        <v>1</v>
      </c>
      <c r="P121" s="45">
        <v>15</v>
      </c>
      <c r="Q121" s="46">
        <v>15</v>
      </c>
      <c r="R121" s="46"/>
      <c r="S121" s="46"/>
      <c r="T121" s="70"/>
      <c r="U121" s="71">
        <f t="shared" si="38"/>
        <v>15</v>
      </c>
      <c r="V121" s="72">
        <f t="shared" si="39"/>
        <v>15</v>
      </c>
      <c r="W121" s="99"/>
      <c r="X121" s="100"/>
      <c r="Y121" s="85"/>
      <c r="Z121" s="73"/>
      <c r="AA121" s="74"/>
      <c r="AB121" s="75">
        <f t="shared" si="40"/>
        <v>0</v>
      </c>
      <c r="AC121" s="72">
        <f t="shared" si="41"/>
        <v>0</v>
      </c>
      <c r="AD121" s="52">
        <v>2</v>
      </c>
      <c r="AE121" s="71">
        <f t="shared" si="42"/>
        <v>2</v>
      </c>
      <c r="AF121" s="76"/>
      <c r="AG121" s="86"/>
      <c r="AH121" s="77">
        <f t="shared" si="43"/>
        <v>17</v>
      </c>
      <c r="AI121" s="56">
        <v>10</v>
      </c>
      <c r="AJ121" s="56">
        <v>10</v>
      </c>
      <c r="AK121" s="56">
        <v>45</v>
      </c>
      <c r="AL121" s="57">
        <f t="shared" si="44"/>
        <v>82</v>
      </c>
      <c r="AM121" s="55">
        <f t="shared" si="45"/>
        <v>82</v>
      </c>
      <c r="AN121" s="78">
        <f t="shared" si="46"/>
        <v>1.02</v>
      </c>
      <c r="AO121" s="79"/>
      <c r="AP121" s="80">
        <f t="shared" si="50"/>
        <v>1</v>
      </c>
      <c r="AQ121" s="80">
        <f t="shared" si="50"/>
        <v>2</v>
      </c>
      <c r="AR121" s="61"/>
      <c r="AS121" s="62"/>
      <c r="AT121" s="81"/>
      <c r="AU121" s="81"/>
      <c r="AV121" s="81"/>
      <c r="AW121" s="81"/>
      <c r="AX121" s="82"/>
      <c r="AY121" s="83">
        <f t="shared" si="47"/>
        <v>0</v>
      </c>
      <c r="AZ121" s="83">
        <f t="shared" si="48"/>
        <v>0</v>
      </c>
    </row>
    <row r="122" spans="1:52" s="66" customFormat="1" ht="39.75" customHeight="1" thickBot="1" x14ac:dyDescent="0.2">
      <c r="A122" s="101"/>
      <c r="B122" s="101"/>
      <c r="C122" s="101"/>
      <c r="D122" s="101"/>
      <c r="E122" s="101"/>
      <c r="F122" s="101"/>
      <c r="G122" s="90"/>
      <c r="H122" s="158"/>
      <c r="I122" s="92">
        <v>0.51</v>
      </c>
      <c r="J122" s="41">
        <v>0.49</v>
      </c>
      <c r="K122" s="41"/>
      <c r="L122" s="88"/>
      <c r="M122" s="68"/>
      <c r="N122" s="94">
        <f t="shared" si="37"/>
        <v>1</v>
      </c>
      <c r="O122" s="44">
        <v>1</v>
      </c>
      <c r="P122" s="45">
        <v>15</v>
      </c>
      <c r="Q122" s="46">
        <v>15</v>
      </c>
      <c r="R122" s="46"/>
      <c r="S122" s="46"/>
      <c r="T122" s="70"/>
      <c r="U122" s="71">
        <f t="shared" si="38"/>
        <v>15</v>
      </c>
      <c r="V122" s="72">
        <f t="shared" si="39"/>
        <v>15</v>
      </c>
      <c r="W122" s="99"/>
      <c r="X122" s="100"/>
      <c r="Y122" s="85"/>
      <c r="Z122" s="73"/>
      <c r="AA122" s="74"/>
      <c r="AB122" s="75">
        <f t="shared" si="40"/>
        <v>0</v>
      </c>
      <c r="AC122" s="72">
        <f t="shared" si="41"/>
        <v>0</v>
      </c>
      <c r="AD122" s="52">
        <v>2</v>
      </c>
      <c r="AE122" s="71">
        <f t="shared" si="42"/>
        <v>2</v>
      </c>
      <c r="AF122" s="76"/>
      <c r="AG122" s="86"/>
      <c r="AH122" s="77">
        <f t="shared" si="43"/>
        <v>17</v>
      </c>
      <c r="AI122" s="56">
        <v>10</v>
      </c>
      <c r="AJ122" s="56">
        <v>10</v>
      </c>
      <c r="AK122" s="56">
        <v>45</v>
      </c>
      <c r="AL122" s="57">
        <f t="shared" si="44"/>
        <v>82</v>
      </c>
      <c r="AM122" s="55">
        <f t="shared" si="45"/>
        <v>82</v>
      </c>
      <c r="AN122" s="78">
        <f t="shared" si="46"/>
        <v>1.02</v>
      </c>
      <c r="AO122" s="79"/>
      <c r="AP122" s="80">
        <f t="shared" si="50"/>
        <v>1</v>
      </c>
      <c r="AQ122" s="80">
        <f t="shared" si="50"/>
        <v>2</v>
      </c>
      <c r="AR122" s="61"/>
      <c r="AS122" s="62"/>
      <c r="AT122" s="81"/>
      <c r="AU122" s="81"/>
      <c r="AV122" s="81"/>
      <c r="AW122" s="81"/>
      <c r="AX122" s="82"/>
      <c r="AY122" s="83">
        <f t="shared" si="47"/>
        <v>0</v>
      </c>
      <c r="AZ122" s="83">
        <f t="shared" si="48"/>
        <v>0</v>
      </c>
    </row>
    <row r="123" spans="1:52" s="66" customFormat="1" ht="39.75" customHeight="1" thickBot="1" x14ac:dyDescent="0.2">
      <c r="A123" s="101"/>
      <c r="B123" s="101"/>
      <c r="C123" s="101"/>
      <c r="D123" s="101"/>
      <c r="E123" s="101"/>
      <c r="F123" s="101"/>
      <c r="G123" s="90"/>
      <c r="H123" s="158"/>
      <c r="I123" s="92">
        <v>0.51</v>
      </c>
      <c r="J123" s="41">
        <v>0.49</v>
      </c>
      <c r="K123" s="41"/>
      <c r="L123" s="88"/>
      <c r="M123" s="68"/>
      <c r="N123" s="94">
        <f t="shared" si="37"/>
        <v>1</v>
      </c>
      <c r="O123" s="44">
        <v>1</v>
      </c>
      <c r="P123" s="45">
        <v>15</v>
      </c>
      <c r="Q123" s="46">
        <v>15</v>
      </c>
      <c r="R123" s="46"/>
      <c r="S123" s="46"/>
      <c r="T123" s="70"/>
      <c r="U123" s="71">
        <f t="shared" si="38"/>
        <v>15</v>
      </c>
      <c r="V123" s="72">
        <f t="shared" si="39"/>
        <v>15</v>
      </c>
      <c r="W123" s="99"/>
      <c r="X123" s="100"/>
      <c r="Y123" s="85"/>
      <c r="Z123" s="73"/>
      <c r="AA123" s="74"/>
      <c r="AB123" s="75">
        <f t="shared" si="40"/>
        <v>0</v>
      </c>
      <c r="AC123" s="72">
        <f t="shared" si="41"/>
        <v>0</v>
      </c>
      <c r="AD123" s="52">
        <v>2</v>
      </c>
      <c r="AE123" s="71">
        <f t="shared" si="42"/>
        <v>2</v>
      </c>
      <c r="AF123" s="76"/>
      <c r="AG123" s="86"/>
      <c r="AH123" s="77">
        <f t="shared" si="43"/>
        <v>17</v>
      </c>
      <c r="AI123" s="56">
        <v>10</v>
      </c>
      <c r="AJ123" s="56">
        <v>10</v>
      </c>
      <c r="AK123" s="56">
        <v>45</v>
      </c>
      <c r="AL123" s="57">
        <f t="shared" si="44"/>
        <v>82</v>
      </c>
      <c r="AM123" s="55">
        <f t="shared" si="45"/>
        <v>82</v>
      </c>
      <c r="AN123" s="78">
        <f t="shared" si="46"/>
        <v>1.02</v>
      </c>
      <c r="AO123" s="79"/>
      <c r="AP123" s="80">
        <f t="shared" si="50"/>
        <v>1</v>
      </c>
      <c r="AQ123" s="80">
        <f t="shared" si="50"/>
        <v>2</v>
      </c>
      <c r="AR123" s="61"/>
      <c r="AS123" s="62"/>
      <c r="AT123" s="81"/>
      <c r="AU123" s="81"/>
      <c r="AV123" s="81"/>
      <c r="AW123" s="81"/>
      <c r="AX123" s="82"/>
      <c r="AY123" s="83">
        <f t="shared" si="47"/>
        <v>0</v>
      </c>
      <c r="AZ123" s="83">
        <f t="shared" si="48"/>
        <v>0</v>
      </c>
    </row>
    <row r="124" spans="1:52" s="66" customFormat="1" ht="39.75" customHeight="1" thickBot="1" x14ac:dyDescent="0.2">
      <c r="A124" s="101"/>
      <c r="B124" s="101"/>
      <c r="C124" s="101"/>
      <c r="D124" s="101"/>
      <c r="E124" s="101"/>
      <c r="F124" s="101"/>
      <c r="G124" s="90"/>
      <c r="H124" s="158"/>
      <c r="I124" s="92">
        <v>0.51</v>
      </c>
      <c r="J124" s="41">
        <v>0.49</v>
      </c>
      <c r="K124" s="41"/>
      <c r="L124" s="88"/>
      <c r="M124" s="68"/>
      <c r="N124" s="94">
        <f t="shared" si="37"/>
        <v>1</v>
      </c>
      <c r="O124" s="44">
        <v>1</v>
      </c>
      <c r="P124" s="45">
        <v>15</v>
      </c>
      <c r="Q124" s="46">
        <v>15</v>
      </c>
      <c r="R124" s="46"/>
      <c r="S124" s="46"/>
      <c r="T124" s="70"/>
      <c r="U124" s="71">
        <f t="shared" si="38"/>
        <v>15</v>
      </c>
      <c r="V124" s="72">
        <f t="shared" si="39"/>
        <v>15</v>
      </c>
      <c r="W124" s="99"/>
      <c r="X124" s="100"/>
      <c r="Y124" s="85"/>
      <c r="Z124" s="73"/>
      <c r="AA124" s="74"/>
      <c r="AB124" s="75">
        <f t="shared" si="40"/>
        <v>0</v>
      </c>
      <c r="AC124" s="72">
        <f t="shared" si="41"/>
        <v>0</v>
      </c>
      <c r="AD124" s="52">
        <v>2</v>
      </c>
      <c r="AE124" s="71">
        <f t="shared" si="42"/>
        <v>2</v>
      </c>
      <c r="AF124" s="76"/>
      <c r="AG124" s="86"/>
      <c r="AH124" s="77">
        <f t="shared" si="43"/>
        <v>17</v>
      </c>
      <c r="AI124" s="56">
        <v>10</v>
      </c>
      <c r="AJ124" s="56">
        <v>10</v>
      </c>
      <c r="AK124" s="56">
        <v>45</v>
      </c>
      <c r="AL124" s="57">
        <f t="shared" si="44"/>
        <v>82</v>
      </c>
      <c r="AM124" s="55">
        <f t="shared" si="45"/>
        <v>82</v>
      </c>
      <c r="AN124" s="78">
        <f t="shared" si="46"/>
        <v>1.02</v>
      </c>
      <c r="AO124" s="79"/>
      <c r="AP124" s="80">
        <f t="shared" si="50"/>
        <v>1</v>
      </c>
      <c r="AQ124" s="80">
        <f t="shared" si="50"/>
        <v>2</v>
      </c>
      <c r="AR124" s="61"/>
      <c r="AS124" s="62"/>
      <c r="AT124" s="81"/>
      <c r="AU124" s="81"/>
      <c r="AV124" s="81"/>
      <c r="AW124" s="81"/>
      <c r="AX124" s="82"/>
      <c r="AY124" s="83">
        <f t="shared" si="47"/>
        <v>0</v>
      </c>
      <c r="AZ124" s="83">
        <f t="shared" si="48"/>
        <v>0</v>
      </c>
    </row>
    <row r="125" spans="1:52" s="66" customFormat="1" ht="39.75" customHeight="1" thickBot="1" x14ac:dyDescent="0.2">
      <c r="A125" s="101"/>
      <c r="B125" s="101"/>
      <c r="C125" s="101"/>
      <c r="D125" s="101"/>
      <c r="E125" s="101"/>
      <c r="F125" s="101"/>
      <c r="G125" s="90"/>
      <c r="H125" s="158"/>
      <c r="I125" s="92">
        <v>0.51</v>
      </c>
      <c r="J125" s="41">
        <v>0.49</v>
      </c>
      <c r="K125" s="41"/>
      <c r="L125" s="88"/>
      <c r="M125" s="68"/>
      <c r="N125" s="94">
        <f t="shared" si="37"/>
        <v>1</v>
      </c>
      <c r="O125" s="44">
        <v>1</v>
      </c>
      <c r="P125" s="45">
        <v>15</v>
      </c>
      <c r="Q125" s="46">
        <v>15</v>
      </c>
      <c r="R125" s="46"/>
      <c r="S125" s="46"/>
      <c r="T125" s="70"/>
      <c r="U125" s="71">
        <f t="shared" si="38"/>
        <v>15</v>
      </c>
      <c r="V125" s="72">
        <f t="shared" si="39"/>
        <v>15</v>
      </c>
      <c r="W125" s="99"/>
      <c r="X125" s="100"/>
      <c r="Y125" s="85"/>
      <c r="Z125" s="73"/>
      <c r="AA125" s="74"/>
      <c r="AB125" s="75">
        <f t="shared" si="40"/>
        <v>0</v>
      </c>
      <c r="AC125" s="72">
        <f t="shared" si="41"/>
        <v>0</v>
      </c>
      <c r="AD125" s="52">
        <v>2</v>
      </c>
      <c r="AE125" s="71">
        <f t="shared" si="42"/>
        <v>2</v>
      </c>
      <c r="AF125" s="76"/>
      <c r="AG125" s="86"/>
      <c r="AH125" s="77">
        <f t="shared" si="43"/>
        <v>17</v>
      </c>
      <c r="AI125" s="56">
        <v>10</v>
      </c>
      <c r="AJ125" s="56">
        <v>10</v>
      </c>
      <c r="AK125" s="56">
        <v>45</v>
      </c>
      <c r="AL125" s="57">
        <f t="shared" si="44"/>
        <v>82</v>
      </c>
      <c r="AM125" s="55">
        <f t="shared" si="45"/>
        <v>82</v>
      </c>
      <c r="AN125" s="78">
        <f t="shared" si="46"/>
        <v>1.02</v>
      </c>
      <c r="AO125" s="79"/>
      <c r="AP125" s="80">
        <f t="shared" ref="AP125:AQ144" si="51">100%+AO125</f>
        <v>1</v>
      </c>
      <c r="AQ125" s="80">
        <f t="shared" si="51"/>
        <v>2</v>
      </c>
      <c r="AR125" s="61"/>
      <c r="AS125" s="62"/>
      <c r="AT125" s="81"/>
      <c r="AU125" s="81"/>
      <c r="AV125" s="81"/>
      <c r="AW125" s="81"/>
      <c r="AX125" s="82"/>
      <c r="AY125" s="83">
        <f t="shared" si="47"/>
        <v>0</v>
      </c>
      <c r="AZ125" s="83">
        <f t="shared" si="48"/>
        <v>0</v>
      </c>
    </row>
    <row r="126" spans="1:52" s="66" customFormat="1" ht="39.75" customHeight="1" thickBot="1" x14ac:dyDescent="0.2">
      <c r="A126" s="101"/>
      <c r="B126" s="101"/>
      <c r="C126" s="101"/>
      <c r="D126" s="101"/>
      <c r="E126" s="101"/>
      <c r="F126" s="101"/>
      <c r="G126" s="90"/>
      <c r="H126" s="158"/>
      <c r="I126" s="92">
        <v>0.51</v>
      </c>
      <c r="J126" s="41">
        <v>0.49</v>
      </c>
      <c r="K126" s="41"/>
      <c r="L126" s="41"/>
      <c r="M126" s="93"/>
      <c r="N126" s="94">
        <f t="shared" si="37"/>
        <v>1</v>
      </c>
      <c r="O126" s="44">
        <v>1</v>
      </c>
      <c r="P126" s="45">
        <v>15</v>
      </c>
      <c r="Q126" s="46">
        <v>15</v>
      </c>
      <c r="R126" s="46"/>
      <c r="S126" s="46"/>
      <c r="T126" s="70"/>
      <c r="U126" s="71">
        <f t="shared" si="38"/>
        <v>15</v>
      </c>
      <c r="V126" s="72">
        <f t="shared" si="39"/>
        <v>15</v>
      </c>
      <c r="W126" s="99"/>
      <c r="X126" s="100"/>
      <c r="Y126" s="85"/>
      <c r="Z126" s="73"/>
      <c r="AA126" s="74"/>
      <c r="AB126" s="75">
        <f t="shared" si="40"/>
        <v>0</v>
      </c>
      <c r="AC126" s="72">
        <f t="shared" si="41"/>
        <v>0</v>
      </c>
      <c r="AD126" s="52">
        <v>2</v>
      </c>
      <c r="AE126" s="71">
        <f t="shared" si="42"/>
        <v>2</v>
      </c>
      <c r="AF126" s="76"/>
      <c r="AG126" s="86"/>
      <c r="AH126" s="77">
        <f t="shared" si="43"/>
        <v>17</v>
      </c>
      <c r="AI126" s="56">
        <v>10</v>
      </c>
      <c r="AJ126" s="56">
        <v>10</v>
      </c>
      <c r="AK126" s="56">
        <v>45</v>
      </c>
      <c r="AL126" s="57">
        <f t="shared" si="44"/>
        <v>82</v>
      </c>
      <c r="AM126" s="55">
        <f t="shared" si="45"/>
        <v>82</v>
      </c>
      <c r="AN126" s="78">
        <f t="shared" si="46"/>
        <v>1.02</v>
      </c>
      <c r="AO126" s="79"/>
      <c r="AP126" s="80">
        <f t="shared" si="51"/>
        <v>1</v>
      </c>
      <c r="AQ126" s="80">
        <f t="shared" si="51"/>
        <v>2</v>
      </c>
      <c r="AR126" s="61"/>
      <c r="AS126" s="62"/>
      <c r="AT126" s="81"/>
      <c r="AU126" s="81"/>
      <c r="AV126" s="81"/>
      <c r="AW126" s="81"/>
      <c r="AX126" s="82"/>
      <c r="AY126" s="83">
        <f t="shared" si="47"/>
        <v>0</v>
      </c>
      <c r="AZ126" s="83">
        <f t="shared" si="48"/>
        <v>0</v>
      </c>
    </row>
    <row r="127" spans="1:52" s="66" customFormat="1" ht="39.75" customHeight="1" thickBot="1" x14ac:dyDescent="0.2">
      <c r="A127" s="101"/>
      <c r="B127" s="101"/>
      <c r="C127" s="101"/>
      <c r="D127" s="101"/>
      <c r="E127" s="101"/>
      <c r="F127" s="101"/>
      <c r="G127" s="90"/>
      <c r="H127" s="158"/>
      <c r="I127" s="92">
        <v>0.51</v>
      </c>
      <c r="J127" s="41">
        <v>0.49</v>
      </c>
      <c r="K127" s="41"/>
      <c r="L127" s="41"/>
      <c r="M127" s="93"/>
      <c r="N127" s="94">
        <f t="shared" si="37"/>
        <v>1</v>
      </c>
      <c r="O127" s="44">
        <v>1</v>
      </c>
      <c r="P127" s="45">
        <v>15</v>
      </c>
      <c r="Q127" s="46">
        <v>15</v>
      </c>
      <c r="R127" s="46"/>
      <c r="S127" s="46"/>
      <c r="T127" s="70"/>
      <c r="U127" s="71">
        <f t="shared" si="38"/>
        <v>15</v>
      </c>
      <c r="V127" s="72">
        <f t="shared" si="39"/>
        <v>15</v>
      </c>
      <c r="W127" s="99"/>
      <c r="X127" s="100"/>
      <c r="Y127" s="85"/>
      <c r="Z127" s="73"/>
      <c r="AA127" s="74"/>
      <c r="AB127" s="75">
        <f t="shared" si="40"/>
        <v>0</v>
      </c>
      <c r="AC127" s="72">
        <f t="shared" si="41"/>
        <v>0</v>
      </c>
      <c r="AD127" s="52">
        <v>2</v>
      </c>
      <c r="AE127" s="71">
        <f t="shared" si="42"/>
        <v>2</v>
      </c>
      <c r="AF127" s="76"/>
      <c r="AG127" s="86"/>
      <c r="AH127" s="77">
        <f t="shared" si="43"/>
        <v>17</v>
      </c>
      <c r="AI127" s="56">
        <v>10</v>
      </c>
      <c r="AJ127" s="56">
        <v>10</v>
      </c>
      <c r="AK127" s="56">
        <v>45</v>
      </c>
      <c r="AL127" s="57">
        <f t="shared" si="44"/>
        <v>82</v>
      </c>
      <c r="AM127" s="55">
        <f t="shared" si="45"/>
        <v>82</v>
      </c>
      <c r="AN127" s="78">
        <f t="shared" si="46"/>
        <v>1.02</v>
      </c>
      <c r="AO127" s="79"/>
      <c r="AP127" s="80">
        <f t="shared" si="51"/>
        <v>1</v>
      </c>
      <c r="AQ127" s="80">
        <f t="shared" si="51"/>
        <v>2</v>
      </c>
      <c r="AR127" s="61"/>
      <c r="AS127" s="62"/>
      <c r="AT127" s="81"/>
      <c r="AU127" s="81"/>
      <c r="AV127" s="81"/>
      <c r="AW127" s="81"/>
      <c r="AX127" s="82"/>
      <c r="AY127" s="83">
        <f t="shared" si="47"/>
        <v>0</v>
      </c>
      <c r="AZ127" s="83">
        <f t="shared" si="48"/>
        <v>0</v>
      </c>
    </row>
    <row r="128" spans="1:52" s="23" customFormat="1" ht="39.75" customHeight="1" thickBot="1" x14ac:dyDescent="0.2">
      <c r="A128" s="101"/>
      <c r="B128" s="101"/>
      <c r="C128" s="101"/>
      <c r="D128" s="101"/>
      <c r="E128" s="101"/>
      <c r="F128" s="101"/>
      <c r="G128" s="90"/>
      <c r="H128" s="158"/>
      <c r="I128" s="92">
        <v>0.51</v>
      </c>
      <c r="J128" s="41">
        <v>0.49</v>
      </c>
      <c r="K128" s="41"/>
      <c r="L128" s="41"/>
      <c r="M128" s="93"/>
      <c r="N128" s="94">
        <f t="shared" si="37"/>
        <v>1</v>
      </c>
      <c r="O128" s="44">
        <v>1</v>
      </c>
      <c r="P128" s="45">
        <v>15</v>
      </c>
      <c r="Q128" s="46">
        <v>15</v>
      </c>
      <c r="R128" s="46"/>
      <c r="S128" s="46"/>
      <c r="T128" s="70"/>
      <c r="U128" s="71">
        <f t="shared" si="38"/>
        <v>15</v>
      </c>
      <c r="V128" s="72">
        <f t="shared" si="39"/>
        <v>15</v>
      </c>
      <c r="W128" s="99"/>
      <c r="X128" s="100"/>
      <c r="Y128" s="85"/>
      <c r="Z128" s="73"/>
      <c r="AA128" s="74"/>
      <c r="AB128" s="75">
        <f t="shared" si="40"/>
        <v>0</v>
      </c>
      <c r="AC128" s="72">
        <f t="shared" si="41"/>
        <v>0</v>
      </c>
      <c r="AD128" s="52">
        <v>2</v>
      </c>
      <c r="AE128" s="71">
        <f t="shared" si="42"/>
        <v>2</v>
      </c>
      <c r="AF128" s="76"/>
      <c r="AG128" s="86"/>
      <c r="AH128" s="77">
        <f t="shared" si="43"/>
        <v>17</v>
      </c>
      <c r="AI128" s="56">
        <v>10</v>
      </c>
      <c r="AJ128" s="56">
        <v>10</v>
      </c>
      <c r="AK128" s="56">
        <v>45</v>
      </c>
      <c r="AL128" s="57">
        <f t="shared" si="44"/>
        <v>82</v>
      </c>
      <c r="AM128" s="55">
        <f t="shared" si="45"/>
        <v>82</v>
      </c>
      <c r="AN128" s="78">
        <f t="shared" si="46"/>
        <v>1.02</v>
      </c>
      <c r="AO128" s="79"/>
      <c r="AP128" s="80">
        <f t="shared" si="51"/>
        <v>1</v>
      </c>
      <c r="AQ128" s="80">
        <f t="shared" si="51"/>
        <v>2</v>
      </c>
      <c r="AR128" s="61"/>
      <c r="AS128" s="62"/>
      <c r="AT128" s="81"/>
      <c r="AU128" s="81"/>
      <c r="AV128" s="81"/>
      <c r="AW128" s="81"/>
      <c r="AX128" s="82"/>
      <c r="AY128" s="83">
        <f t="shared" si="47"/>
        <v>0</v>
      </c>
      <c r="AZ128" s="83">
        <f t="shared" si="48"/>
        <v>0</v>
      </c>
    </row>
    <row r="129" spans="1:52" s="23" customFormat="1" ht="39.75" customHeight="1" thickBot="1" x14ac:dyDescent="0.2">
      <c r="A129" s="101"/>
      <c r="B129" s="101"/>
      <c r="C129" s="101"/>
      <c r="D129" s="101"/>
      <c r="E129" s="101"/>
      <c r="F129" s="101"/>
      <c r="G129" s="90"/>
      <c r="H129" s="158"/>
      <c r="I129" s="92">
        <v>0.51</v>
      </c>
      <c r="J129" s="41">
        <v>0.49</v>
      </c>
      <c r="K129" s="41"/>
      <c r="L129" s="41"/>
      <c r="M129" s="93"/>
      <c r="N129" s="94">
        <f t="shared" si="37"/>
        <v>1</v>
      </c>
      <c r="O129" s="44">
        <v>1</v>
      </c>
      <c r="P129" s="45">
        <v>15</v>
      </c>
      <c r="Q129" s="46">
        <v>15</v>
      </c>
      <c r="R129" s="46"/>
      <c r="S129" s="46"/>
      <c r="T129" s="70"/>
      <c r="U129" s="71">
        <f t="shared" si="38"/>
        <v>15</v>
      </c>
      <c r="V129" s="72">
        <f t="shared" si="39"/>
        <v>15</v>
      </c>
      <c r="W129" s="99"/>
      <c r="X129" s="100"/>
      <c r="Y129" s="85"/>
      <c r="Z129" s="73"/>
      <c r="AA129" s="74"/>
      <c r="AB129" s="75">
        <f t="shared" si="40"/>
        <v>0</v>
      </c>
      <c r="AC129" s="72">
        <f t="shared" si="41"/>
        <v>0</v>
      </c>
      <c r="AD129" s="52">
        <v>2</v>
      </c>
      <c r="AE129" s="71">
        <f t="shared" si="42"/>
        <v>2</v>
      </c>
      <c r="AF129" s="76"/>
      <c r="AG129" s="86"/>
      <c r="AH129" s="77">
        <f t="shared" si="43"/>
        <v>17</v>
      </c>
      <c r="AI129" s="56">
        <v>10</v>
      </c>
      <c r="AJ129" s="56">
        <v>10</v>
      </c>
      <c r="AK129" s="56">
        <v>45</v>
      </c>
      <c r="AL129" s="57">
        <f t="shared" si="44"/>
        <v>82</v>
      </c>
      <c r="AM129" s="55">
        <f t="shared" si="45"/>
        <v>82</v>
      </c>
      <c r="AN129" s="78">
        <f t="shared" si="46"/>
        <v>1.02</v>
      </c>
      <c r="AO129" s="79"/>
      <c r="AP129" s="80">
        <f t="shared" si="51"/>
        <v>1</v>
      </c>
      <c r="AQ129" s="80">
        <f t="shared" si="51"/>
        <v>2</v>
      </c>
      <c r="AR129" s="61"/>
      <c r="AS129" s="62"/>
      <c r="AT129" s="81"/>
      <c r="AU129" s="81"/>
      <c r="AV129" s="81"/>
      <c r="AW129" s="81"/>
      <c r="AX129" s="82"/>
      <c r="AY129" s="83">
        <f t="shared" si="47"/>
        <v>0</v>
      </c>
      <c r="AZ129" s="83">
        <f t="shared" si="48"/>
        <v>0</v>
      </c>
    </row>
    <row r="130" spans="1:52" s="66" customFormat="1" ht="39.75" customHeight="1" thickBot="1" x14ac:dyDescent="0.2">
      <c r="A130" s="101"/>
      <c r="B130" s="101"/>
      <c r="C130" s="101"/>
      <c r="D130" s="101"/>
      <c r="E130" s="101"/>
      <c r="F130" s="101"/>
      <c r="G130" s="90"/>
      <c r="H130" s="158"/>
      <c r="I130" s="92">
        <v>0.51</v>
      </c>
      <c r="J130" s="41">
        <v>0.49</v>
      </c>
      <c r="K130" s="41"/>
      <c r="L130" s="41"/>
      <c r="M130" s="93"/>
      <c r="N130" s="94">
        <f t="shared" si="37"/>
        <v>1</v>
      </c>
      <c r="O130" s="44">
        <v>1</v>
      </c>
      <c r="P130" s="45">
        <v>15</v>
      </c>
      <c r="Q130" s="46">
        <v>15</v>
      </c>
      <c r="R130" s="46"/>
      <c r="S130" s="46"/>
      <c r="T130" s="70"/>
      <c r="U130" s="71">
        <f t="shared" si="38"/>
        <v>15</v>
      </c>
      <c r="V130" s="72">
        <f t="shared" si="39"/>
        <v>15</v>
      </c>
      <c r="W130" s="99"/>
      <c r="X130" s="100"/>
      <c r="Y130" s="85"/>
      <c r="Z130" s="73"/>
      <c r="AA130" s="74"/>
      <c r="AB130" s="75">
        <f t="shared" si="40"/>
        <v>0</v>
      </c>
      <c r="AC130" s="72">
        <f t="shared" si="41"/>
        <v>0</v>
      </c>
      <c r="AD130" s="52">
        <v>2</v>
      </c>
      <c r="AE130" s="71">
        <f t="shared" si="42"/>
        <v>2</v>
      </c>
      <c r="AF130" s="76"/>
      <c r="AG130" s="86"/>
      <c r="AH130" s="77">
        <f t="shared" si="43"/>
        <v>17</v>
      </c>
      <c r="AI130" s="56">
        <v>10</v>
      </c>
      <c r="AJ130" s="56">
        <v>10</v>
      </c>
      <c r="AK130" s="56">
        <v>45</v>
      </c>
      <c r="AL130" s="57">
        <f t="shared" si="44"/>
        <v>82</v>
      </c>
      <c r="AM130" s="55">
        <f t="shared" si="45"/>
        <v>82</v>
      </c>
      <c r="AN130" s="78">
        <f t="shared" si="46"/>
        <v>1.02</v>
      </c>
      <c r="AO130" s="79"/>
      <c r="AP130" s="80">
        <f t="shared" si="51"/>
        <v>1</v>
      </c>
      <c r="AQ130" s="80">
        <f t="shared" si="51"/>
        <v>2</v>
      </c>
      <c r="AR130" s="61"/>
      <c r="AS130" s="62"/>
      <c r="AT130" s="81"/>
      <c r="AU130" s="81"/>
      <c r="AV130" s="81"/>
      <c r="AW130" s="81"/>
      <c r="AX130" s="82"/>
      <c r="AY130" s="83">
        <f t="shared" si="47"/>
        <v>0</v>
      </c>
      <c r="AZ130" s="83">
        <f t="shared" si="48"/>
        <v>0</v>
      </c>
    </row>
    <row r="131" spans="1:52" s="23" customFormat="1" ht="39.75" customHeight="1" thickBot="1" x14ac:dyDescent="0.2">
      <c r="A131" s="101"/>
      <c r="B131" s="101"/>
      <c r="C131" s="101"/>
      <c r="D131" s="101"/>
      <c r="E131" s="101"/>
      <c r="F131" s="101"/>
      <c r="G131" s="90"/>
      <c r="H131" s="158"/>
      <c r="I131" s="92">
        <v>0.51</v>
      </c>
      <c r="J131" s="41">
        <v>0.49</v>
      </c>
      <c r="K131" s="41"/>
      <c r="L131" s="41"/>
      <c r="M131" s="93"/>
      <c r="N131" s="94">
        <f t="shared" si="37"/>
        <v>1</v>
      </c>
      <c r="O131" s="44">
        <v>1</v>
      </c>
      <c r="P131" s="45">
        <v>15</v>
      </c>
      <c r="Q131" s="46">
        <v>15</v>
      </c>
      <c r="R131" s="46"/>
      <c r="S131" s="46"/>
      <c r="T131" s="70"/>
      <c r="U131" s="71">
        <f t="shared" si="38"/>
        <v>15</v>
      </c>
      <c r="V131" s="72">
        <f t="shared" si="39"/>
        <v>15</v>
      </c>
      <c r="W131" s="99"/>
      <c r="X131" s="100"/>
      <c r="Y131" s="85"/>
      <c r="Z131" s="73"/>
      <c r="AA131" s="74"/>
      <c r="AB131" s="75">
        <f t="shared" si="40"/>
        <v>0</v>
      </c>
      <c r="AC131" s="72">
        <f t="shared" si="41"/>
        <v>0</v>
      </c>
      <c r="AD131" s="52">
        <v>2</v>
      </c>
      <c r="AE131" s="71">
        <f t="shared" si="42"/>
        <v>2</v>
      </c>
      <c r="AF131" s="76"/>
      <c r="AG131" s="86"/>
      <c r="AH131" s="77">
        <f t="shared" si="43"/>
        <v>17</v>
      </c>
      <c r="AI131" s="56">
        <v>10</v>
      </c>
      <c r="AJ131" s="56">
        <v>10</v>
      </c>
      <c r="AK131" s="56">
        <v>45</v>
      </c>
      <c r="AL131" s="57">
        <f t="shared" si="44"/>
        <v>82</v>
      </c>
      <c r="AM131" s="55">
        <f t="shared" si="45"/>
        <v>82</v>
      </c>
      <c r="AN131" s="78">
        <f t="shared" si="46"/>
        <v>1.02</v>
      </c>
      <c r="AO131" s="79"/>
      <c r="AP131" s="80">
        <f t="shared" si="51"/>
        <v>1</v>
      </c>
      <c r="AQ131" s="80">
        <f t="shared" si="51"/>
        <v>2</v>
      </c>
      <c r="AR131" s="61"/>
      <c r="AS131" s="62"/>
      <c r="AT131" s="81"/>
      <c r="AU131" s="81"/>
      <c r="AV131" s="81"/>
      <c r="AW131" s="81"/>
      <c r="AX131" s="82"/>
      <c r="AY131" s="83">
        <f t="shared" si="47"/>
        <v>0</v>
      </c>
      <c r="AZ131" s="83">
        <f t="shared" si="48"/>
        <v>0</v>
      </c>
    </row>
    <row r="132" spans="1:52" s="66" customFormat="1" ht="39.75" customHeight="1" thickBot="1" x14ac:dyDescent="0.2">
      <c r="A132" s="101"/>
      <c r="B132" s="101"/>
      <c r="C132" s="101"/>
      <c r="D132" s="101"/>
      <c r="E132" s="101"/>
      <c r="F132" s="101"/>
      <c r="G132" s="90"/>
      <c r="H132" s="158"/>
      <c r="I132" s="92">
        <v>0.51</v>
      </c>
      <c r="J132" s="41">
        <v>0.49</v>
      </c>
      <c r="K132" s="41"/>
      <c r="L132" s="41"/>
      <c r="M132" s="93"/>
      <c r="N132" s="94">
        <f t="shared" si="37"/>
        <v>1</v>
      </c>
      <c r="O132" s="44">
        <v>1</v>
      </c>
      <c r="P132" s="45">
        <v>15</v>
      </c>
      <c r="Q132" s="46">
        <v>15</v>
      </c>
      <c r="R132" s="46"/>
      <c r="S132" s="46"/>
      <c r="T132" s="70"/>
      <c r="U132" s="71">
        <f t="shared" si="38"/>
        <v>15</v>
      </c>
      <c r="V132" s="72">
        <f t="shared" si="39"/>
        <v>15</v>
      </c>
      <c r="W132" s="99"/>
      <c r="X132" s="100"/>
      <c r="Y132" s="85"/>
      <c r="Z132" s="73"/>
      <c r="AA132" s="74"/>
      <c r="AB132" s="75">
        <f t="shared" si="40"/>
        <v>0</v>
      </c>
      <c r="AC132" s="72">
        <f t="shared" si="41"/>
        <v>0</v>
      </c>
      <c r="AD132" s="52">
        <v>2</v>
      </c>
      <c r="AE132" s="71">
        <f t="shared" si="42"/>
        <v>2</v>
      </c>
      <c r="AF132" s="76"/>
      <c r="AG132" s="86"/>
      <c r="AH132" s="77">
        <f t="shared" si="43"/>
        <v>17</v>
      </c>
      <c r="AI132" s="56">
        <v>10</v>
      </c>
      <c r="AJ132" s="56">
        <v>10</v>
      </c>
      <c r="AK132" s="56">
        <v>45</v>
      </c>
      <c r="AL132" s="57">
        <f t="shared" si="44"/>
        <v>82</v>
      </c>
      <c r="AM132" s="55">
        <f t="shared" si="45"/>
        <v>82</v>
      </c>
      <c r="AN132" s="78">
        <f t="shared" si="46"/>
        <v>1.02</v>
      </c>
      <c r="AO132" s="79"/>
      <c r="AP132" s="80">
        <f t="shared" si="51"/>
        <v>1</v>
      </c>
      <c r="AQ132" s="80">
        <f t="shared" si="51"/>
        <v>2</v>
      </c>
      <c r="AR132" s="61"/>
      <c r="AS132" s="62"/>
      <c r="AT132" s="81"/>
      <c r="AU132" s="81"/>
      <c r="AV132" s="81"/>
      <c r="AW132" s="81"/>
      <c r="AX132" s="82"/>
      <c r="AY132" s="83">
        <f t="shared" si="47"/>
        <v>0</v>
      </c>
      <c r="AZ132" s="83">
        <f t="shared" si="48"/>
        <v>0</v>
      </c>
    </row>
    <row r="133" spans="1:52" s="66" customFormat="1" ht="39.75" customHeight="1" thickBot="1" x14ac:dyDescent="0.2">
      <c r="A133" s="101"/>
      <c r="B133" s="101"/>
      <c r="C133" s="101"/>
      <c r="D133" s="101"/>
      <c r="E133" s="101"/>
      <c r="F133" s="101"/>
      <c r="G133" s="90"/>
      <c r="H133" s="158"/>
      <c r="I133" s="92">
        <v>0.51</v>
      </c>
      <c r="J133" s="41">
        <v>0.49</v>
      </c>
      <c r="K133" s="41"/>
      <c r="L133" s="41"/>
      <c r="M133" s="93"/>
      <c r="N133" s="94">
        <f t="shared" si="37"/>
        <v>1</v>
      </c>
      <c r="O133" s="44">
        <v>1</v>
      </c>
      <c r="P133" s="45">
        <v>15</v>
      </c>
      <c r="Q133" s="46">
        <v>15</v>
      </c>
      <c r="R133" s="46"/>
      <c r="S133" s="46"/>
      <c r="T133" s="70"/>
      <c r="U133" s="71">
        <f t="shared" si="38"/>
        <v>15</v>
      </c>
      <c r="V133" s="72">
        <f t="shared" si="39"/>
        <v>15</v>
      </c>
      <c r="W133" s="99"/>
      <c r="X133" s="100"/>
      <c r="Y133" s="85"/>
      <c r="Z133" s="73"/>
      <c r="AA133" s="74"/>
      <c r="AB133" s="75">
        <f t="shared" si="40"/>
        <v>0</v>
      </c>
      <c r="AC133" s="72">
        <f t="shared" si="41"/>
        <v>0</v>
      </c>
      <c r="AD133" s="52">
        <v>2</v>
      </c>
      <c r="AE133" s="71">
        <f t="shared" si="42"/>
        <v>2</v>
      </c>
      <c r="AF133" s="76"/>
      <c r="AG133" s="86"/>
      <c r="AH133" s="77">
        <f t="shared" si="43"/>
        <v>17</v>
      </c>
      <c r="AI133" s="56">
        <v>10</v>
      </c>
      <c r="AJ133" s="56">
        <v>10</v>
      </c>
      <c r="AK133" s="56">
        <v>45</v>
      </c>
      <c r="AL133" s="57">
        <f t="shared" si="44"/>
        <v>82</v>
      </c>
      <c r="AM133" s="55">
        <f t="shared" si="45"/>
        <v>82</v>
      </c>
      <c r="AN133" s="78">
        <f t="shared" si="46"/>
        <v>1.02</v>
      </c>
      <c r="AO133" s="79"/>
      <c r="AP133" s="80">
        <f t="shared" si="51"/>
        <v>1</v>
      </c>
      <c r="AQ133" s="80">
        <f t="shared" si="51"/>
        <v>2</v>
      </c>
      <c r="AR133" s="61"/>
      <c r="AS133" s="62"/>
      <c r="AT133" s="81"/>
      <c r="AU133" s="81"/>
      <c r="AV133" s="81"/>
      <c r="AW133" s="81"/>
      <c r="AX133" s="82"/>
      <c r="AY133" s="83">
        <f t="shared" si="47"/>
        <v>0</v>
      </c>
      <c r="AZ133" s="83">
        <f t="shared" si="48"/>
        <v>0</v>
      </c>
    </row>
    <row r="134" spans="1:52" s="66" customFormat="1" ht="39.75" customHeight="1" thickBot="1" x14ac:dyDescent="0.2">
      <c r="A134" s="101"/>
      <c r="B134" s="101"/>
      <c r="C134" s="101"/>
      <c r="D134" s="101"/>
      <c r="E134" s="101"/>
      <c r="F134" s="101"/>
      <c r="G134" s="90"/>
      <c r="H134" s="158"/>
      <c r="I134" s="92">
        <v>0.51</v>
      </c>
      <c r="J134" s="41">
        <v>0.49</v>
      </c>
      <c r="K134" s="41"/>
      <c r="L134" s="41"/>
      <c r="M134" s="93"/>
      <c r="N134" s="94">
        <f t="shared" si="37"/>
        <v>1</v>
      </c>
      <c r="O134" s="44">
        <v>1</v>
      </c>
      <c r="P134" s="45">
        <v>15</v>
      </c>
      <c r="Q134" s="46">
        <v>15</v>
      </c>
      <c r="R134" s="46"/>
      <c r="S134" s="46"/>
      <c r="T134" s="47"/>
      <c r="U134" s="71">
        <f t="shared" si="38"/>
        <v>15</v>
      </c>
      <c r="V134" s="72">
        <f t="shared" si="39"/>
        <v>15</v>
      </c>
      <c r="W134" s="99"/>
      <c r="X134" s="100"/>
      <c r="Y134" s="85"/>
      <c r="Z134" s="73"/>
      <c r="AA134" s="74"/>
      <c r="AB134" s="75">
        <f t="shared" si="40"/>
        <v>0</v>
      </c>
      <c r="AC134" s="72">
        <f t="shared" si="41"/>
        <v>0</v>
      </c>
      <c r="AD134" s="52">
        <v>2</v>
      </c>
      <c r="AE134" s="71">
        <f t="shared" si="42"/>
        <v>2</v>
      </c>
      <c r="AF134" s="76"/>
      <c r="AG134" s="86"/>
      <c r="AH134" s="77">
        <f t="shared" si="43"/>
        <v>17</v>
      </c>
      <c r="AI134" s="56">
        <v>10</v>
      </c>
      <c r="AJ134" s="56">
        <v>10</v>
      </c>
      <c r="AK134" s="56">
        <v>45</v>
      </c>
      <c r="AL134" s="57">
        <f t="shared" si="44"/>
        <v>82</v>
      </c>
      <c r="AM134" s="55">
        <f t="shared" si="45"/>
        <v>82</v>
      </c>
      <c r="AN134" s="78">
        <f t="shared" si="46"/>
        <v>1.02</v>
      </c>
      <c r="AO134" s="79"/>
      <c r="AP134" s="80">
        <f t="shared" si="51"/>
        <v>1</v>
      </c>
      <c r="AQ134" s="80">
        <f t="shared" si="51"/>
        <v>2</v>
      </c>
      <c r="AR134" s="61"/>
      <c r="AS134" s="62"/>
      <c r="AT134" s="81"/>
      <c r="AU134" s="81"/>
      <c r="AV134" s="81"/>
      <c r="AW134" s="81"/>
      <c r="AX134" s="82"/>
      <c r="AY134" s="83">
        <f t="shared" si="47"/>
        <v>0</v>
      </c>
      <c r="AZ134" s="83">
        <f t="shared" si="48"/>
        <v>0</v>
      </c>
    </row>
    <row r="135" spans="1:52" s="66" customFormat="1" ht="39.75" customHeight="1" thickBot="1" x14ac:dyDescent="0.2">
      <c r="A135" s="101"/>
      <c r="B135" s="101"/>
      <c r="C135" s="101"/>
      <c r="D135" s="101"/>
      <c r="E135" s="101"/>
      <c r="F135" s="101"/>
      <c r="G135" s="90"/>
      <c r="H135" s="158"/>
      <c r="I135" s="92">
        <v>0.51</v>
      </c>
      <c r="J135" s="41">
        <v>0.49</v>
      </c>
      <c r="K135" s="41"/>
      <c r="L135" s="41"/>
      <c r="M135" s="93"/>
      <c r="N135" s="94">
        <f t="shared" si="37"/>
        <v>1</v>
      </c>
      <c r="O135" s="44">
        <v>1</v>
      </c>
      <c r="P135" s="45">
        <v>15</v>
      </c>
      <c r="Q135" s="46">
        <v>15</v>
      </c>
      <c r="R135" s="46"/>
      <c r="S135" s="46"/>
      <c r="T135" s="47"/>
      <c r="U135" s="71">
        <f t="shared" si="38"/>
        <v>15</v>
      </c>
      <c r="V135" s="72">
        <f t="shared" si="39"/>
        <v>15</v>
      </c>
      <c r="W135" s="99"/>
      <c r="X135" s="100"/>
      <c r="Y135" s="85"/>
      <c r="Z135" s="73"/>
      <c r="AA135" s="74"/>
      <c r="AB135" s="75">
        <f t="shared" si="40"/>
        <v>0</v>
      </c>
      <c r="AC135" s="72">
        <f t="shared" si="41"/>
        <v>0</v>
      </c>
      <c r="AD135" s="52">
        <v>2</v>
      </c>
      <c r="AE135" s="71">
        <f t="shared" si="42"/>
        <v>2</v>
      </c>
      <c r="AF135" s="76"/>
      <c r="AG135" s="86"/>
      <c r="AH135" s="77">
        <f t="shared" si="43"/>
        <v>17</v>
      </c>
      <c r="AI135" s="56">
        <v>10</v>
      </c>
      <c r="AJ135" s="56">
        <v>10</v>
      </c>
      <c r="AK135" s="56">
        <v>45</v>
      </c>
      <c r="AL135" s="57">
        <f t="shared" si="44"/>
        <v>82</v>
      </c>
      <c r="AM135" s="55">
        <f t="shared" si="45"/>
        <v>82</v>
      </c>
      <c r="AN135" s="78">
        <f t="shared" si="46"/>
        <v>1.02</v>
      </c>
      <c r="AO135" s="79"/>
      <c r="AP135" s="80">
        <f t="shared" si="51"/>
        <v>1</v>
      </c>
      <c r="AQ135" s="80">
        <f t="shared" si="51"/>
        <v>2</v>
      </c>
      <c r="AR135" s="61"/>
      <c r="AS135" s="62"/>
      <c r="AT135" s="81"/>
      <c r="AU135" s="81"/>
      <c r="AV135" s="81"/>
      <c r="AW135" s="81"/>
      <c r="AX135" s="82"/>
      <c r="AY135" s="83">
        <f t="shared" si="47"/>
        <v>0</v>
      </c>
      <c r="AZ135" s="83">
        <f t="shared" si="48"/>
        <v>0</v>
      </c>
    </row>
    <row r="136" spans="1:52" s="23" customFormat="1" ht="39.75" customHeight="1" thickBot="1" x14ac:dyDescent="0.2">
      <c r="A136" s="101"/>
      <c r="B136" s="101"/>
      <c r="C136" s="101"/>
      <c r="D136" s="101"/>
      <c r="E136" s="101"/>
      <c r="F136" s="101"/>
      <c r="G136" s="90"/>
      <c r="H136" s="158"/>
      <c r="I136" s="92">
        <v>0.51</v>
      </c>
      <c r="J136" s="41">
        <v>0.49</v>
      </c>
      <c r="K136" s="41"/>
      <c r="L136" s="41"/>
      <c r="M136" s="93"/>
      <c r="N136" s="94">
        <f t="shared" si="37"/>
        <v>1</v>
      </c>
      <c r="O136" s="44">
        <v>1</v>
      </c>
      <c r="P136" s="45">
        <v>15</v>
      </c>
      <c r="Q136" s="46">
        <v>15</v>
      </c>
      <c r="R136" s="46"/>
      <c r="S136" s="46"/>
      <c r="T136" s="47"/>
      <c r="U136" s="71">
        <f t="shared" si="38"/>
        <v>15</v>
      </c>
      <c r="V136" s="72">
        <f t="shared" si="39"/>
        <v>15</v>
      </c>
      <c r="W136" s="99"/>
      <c r="X136" s="100"/>
      <c r="Y136" s="85"/>
      <c r="Z136" s="73"/>
      <c r="AA136" s="74"/>
      <c r="AB136" s="75">
        <f t="shared" si="40"/>
        <v>0</v>
      </c>
      <c r="AC136" s="72">
        <f t="shared" si="41"/>
        <v>0</v>
      </c>
      <c r="AD136" s="52">
        <v>2</v>
      </c>
      <c r="AE136" s="71">
        <f t="shared" si="42"/>
        <v>2</v>
      </c>
      <c r="AF136" s="76"/>
      <c r="AG136" s="86"/>
      <c r="AH136" s="77">
        <f t="shared" si="43"/>
        <v>17</v>
      </c>
      <c r="AI136" s="56">
        <v>10</v>
      </c>
      <c r="AJ136" s="56">
        <v>10</v>
      </c>
      <c r="AK136" s="56">
        <v>45</v>
      </c>
      <c r="AL136" s="57">
        <f t="shared" si="44"/>
        <v>82</v>
      </c>
      <c r="AM136" s="55">
        <f t="shared" si="45"/>
        <v>82</v>
      </c>
      <c r="AN136" s="78">
        <f t="shared" si="46"/>
        <v>1.02</v>
      </c>
      <c r="AO136" s="79"/>
      <c r="AP136" s="80">
        <f t="shared" si="51"/>
        <v>1</v>
      </c>
      <c r="AQ136" s="80">
        <f t="shared" si="51"/>
        <v>2</v>
      </c>
      <c r="AR136" s="61"/>
      <c r="AS136" s="62"/>
      <c r="AT136" s="81"/>
      <c r="AU136" s="81"/>
      <c r="AV136" s="81"/>
      <c r="AW136" s="81"/>
      <c r="AX136" s="82"/>
      <c r="AY136" s="83">
        <f t="shared" si="47"/>
        <v>0</v>
      </c>
      <c r="AZ136" s="83">
        <f t="shared" si="48"/>
        <v>0</v>
      </c>
    </row>
    <row r="137" spans="1:52" s="66" customFormat="1" ht="39.75" customHeight="1" thickBot="1" x14ac:dyDescent="0.2">
      <c r="A137" s="101"/>
      <c r="B137" s="101"/>
      <c r="C137" s="101"/>
      <c r="D137" s="101"/>
      <c r="E137" s="101"/>
      <c r="F137" s="101"/>
      <c r="G137" s="90"/>
      <c r="H137" s="158"/>
      <c r="I137" s="92">
        <v>0.51</v>
      </c>
      <c r="J137" s="41">
        <v>0.49</v>
      </c>
      <c r="K137" s="41"/>
      <c r="L137" s="41"/>
      <c r="M137" s="93"/>
      <c r="N137" s="94">
        <f t="shared" si="37"/>
        <v>1</v>
      </c>
      <c r="O137" s="44">
        <v>1</v>
      </c>
      <c r="P137" s="45">
        <v>15</v>
      </c>
      <c r="Q137" s="46">
        <v>15</v>
      </c>
      <c r="R137" s="46"/>
      <c r="S137" s="46"/>
      <c r="T137" s="47"/>
      <c r="U137" s="71">
        <f t="shared" si="38"/>
        <v>15</v>
      </c>
      <c r="V137" s="72">
        <f t="shared" si="39"/>
        <v>15</v>
      </c>
      <c r="W137" s="99"/>
      <c r="X137" s="100"/>
      <c r="Y137" s="85"/>
      <c r="Z137" s="73"/>
      <c r="AA137" s="74"/>
      <c r="AB137" s="75">
        <f t="shared" si="40"/>
        <v>0</v>
      </c>
      <c r="AC137" s="72">
        <f t="shared" si="41"/>
        <v>0</v>
      </c>
      <c r="AD137" s="52">
        <v>2</v>
      </c>
      <c r="AE137" s="71">
        <f t="shared" si="42"/>
        <v>2</v>
      </c>
      <c r="AF137" s="76"/>
      <c r="AG137" s="86"/>
      <c r="AH137" s="77">
        <f t="shared" si="43"/>
        <v>17</v>
      </c>
      <c r="AI137" s="56">
        <v>10</v>
      </c>
      <c r="AJ137" s="56">
        <v>10</v>
      </c>
      <c r="AK137" s="56">
        <v>45</v>
      </c>
      <c r="AL137" s="57">
        <f t="shared" si="44"/>
        <v>82</v>
      </c>
      <c r="AM137" s="55">
        <f t="shared" si="45"/>
        <v>82</v>
      </c>
      <c r="AN137" s="78">
        <f t="shared" si="46"/>
        <v>1.02</v>
      </c>
      <c r="AO137" s="79"/>
      <c r="AP137" s="80">
        <f t="shared" si="51"/>
        <v>1</v>
      </c>
      <c r="AQ137" s="80">
        <f t="shared" si="51"/>
        <v>2</v>
      </c>
      <c r="AR137" s="61"/>
      <c r="AS137" s="62"/>
      <c r="AT137" s="81"/>
      <c r="AU137" s="81"/>
      <c r="AV137" s="81"/>
      <c r="AW137" s="81"/>
      <c r="AX137" s="82"/>
      <c r="AY137" s="83">
        <f t="shared" si="47"/>
        <v>0</v>
      </c>
      <c r="AZ137" s="83">
        <f t="shared" si="48"/>
        <v>0</v>
      </c>
    </row>
    <row r="138" spans="1:52" s="23" customFormat="1" ht="39.75" customHeight="1" thickBot="1" x14ac:dyDescent="0.2">
      <c r="A138" s="101"/>
      <c r="B138" s="101"/>
      <c r="C138" s="101"/>
      <c r="D138" s="101"/>
      <c r="E138" s="101"/>
      <c r="F138" s="101"/>
      <c r="G138" s="90"/>
      <c r="H138" s="158"/>
      <c r="I138" s="92">
        <v>0.51</v>
      </c>
      <c r="J138" s="41">
        <v>0.49</v>
      </c>
      <c r="K138" s="41"/>
      <c r="L138" s="41"/>
      <c r="M138" s="93"/>
      <c r="N138" s="94">
        <f t="shared" si="37"/>
        <v>1</v>
      </c>
      <c r="O138" s="44">
        <v>1</v>
      </c>
      <c r="P138" s="45">
        <v>15</v>
      </c>
      <c r="Q138" s="46">
        <v>15</v>
      </c>
      <c r="R138" s="46"/>
      <c r="S138" s="46"/>
      <c r="T138" s="47"/>
      <c r="U138" s="71">
        <f t="shared" si="38"/>
        <v>15</v>
      </c>
      <c r="V138" s="72">
        <f t="shared" si="39"/>
        <v>15</v>
      </c>
      <c r="W138" s="99"/>
      <c r="X138" s="100"/>
      <c r="Y138" s="85"/>
      <c r="Z138" s="73"/>
      <c r="AA138" s="74"/>
      <c r="AB138" s="75">
        <f t="shared" si="40"/>
        <v>0</v>
      </c>
      <c r="AC138" s="72">
        <f t="shared" si="41"/>
        <v>0</v>
      </c>
      <c r="AD138" s="52">
        <v>2</v>
      </c>
      <c r="AE138" s="71">
        <f t="shared" si="42"/>
        <v>2</v>
      </c>
      <c r="AF138" s="76"/>
      <c r="AG138" s="86"/>
      <c r="AH138" s="77">
        <f t="shared" si="43"/>
        <v>17</v>
      </c>
      <c r="AI138" s="56">
        <v>10</v>
      </c>
      <c r="AJ138" s="56">
        <v>10</v>
      </c>
      <c r="AK138" s="56">
        <v>45</v>
      </c>
      <c r="AL138" s="57">
        <f t="shared" si="44"/>
        <v>82</v>
      </c>
      <c r="AM138" s="55">
        <f t="shared" si="45"/>
        <v>82</v>
      </c>
      <c r="AN138" s="78">
        <f t="shared" si="46"/>
        <v>1.02</v>
      </c>
      <c r="AO138" s="79"/>
      <c r="AP138" s="80">
        <f t="shared" si="51"/>
        <v>1</v>
      </c>
      <c r="AQ138" s="80">
        <f t="shared" si="51"/>
        <v>2</v>
      </c>
      <c r="AR138" s="61"/>
      <c r="AS138" s="62"/>
      <c r="AT138" s="81"/>
      <c r="AU138" s="81"/>
      <c r="AV138" s="81"/>
      <c r="AW138" s="81"/>
      <c r="AX138" s="82"/>
      <c r="AY138" s="83">
        <f t="shared" si="47"/>
        <v>0</v>
      </c>
      <c r="AZ138" s="83">
        <f t="shared" si="48"/>
        <v>0</v>
      </c>
    </row>
    <row r="139" spans="1:52" s="66" customFormat="1" ht="39.75" customHeight="1" thickBot="1" x14ac:dyDescent="0.2">
      <c r="A139" s="101"/>
      <c r="B139" s="101"/>
      <c r="C139" s="101"/>
      <c r="D139" s="101"/>
      <c r="E139" s="101"/>
      <c r="F139" s="101"/>
      <c r="G139" s="90"/>
      <c r="H139" s="158"/>
      <c r="I139" s="92">
        <v>0.51</v>
      </c>
      <c r="J139" s="41">
        <v>0.49</v>
      </c>
      <c r="K139" s="41"/>
      <c r="L139" s="41"/>
      <c r="M139" s="93"/>
      <c r="N139" s="94">
        <f t="shared" si="37"/>
        <v>1</v>
      </c>
      <c r="O139" s="44">
        <v>1</v>
      </c>
      <c r="P139" s="45">
        <v>15</v>
      </c>
      <c r="Q139" s="46">
        <v>15</v>
      </c>
      <c r="R139" s="46"/>
      <c r="S139" s="46"/>
      <c r="T139" s="47"/>
      <c r="U139" s="71">
        <f t="shared" si="38"/>
        <v>15</v>
      </c>
      <c r="V139" s="72">
        <f t="shared" si="39"/>
        <v>15</v>
      </c>
      <c r="W139" s="99"/>
      <c r="X139" s="100"/>
      <c r="Y139" s="85"/>
      <c r="Z139" s="73"/>
      <c r="AA139" s="74"/>
      <c r="AB139" s="75">
        <f t="shared" si="40"/>
        <v>0</v>
      </c>
      <c r="AC139" s="72">
        <f t="shared" si="41"/>
        <v>0</v>
      </c>
      <c r="AD139" s="52">
        <v>2</v>
      </c>
      <c r="AE139" s="71">
        <f t="shared" si="42"/>
        <v>2</v>
      </c>
      <c r="AF139" s="76"/>
      <c r="AG139" s="86"/>
      <c r="AH139" s="77">
        <f t="shared" si="43"/>
        <v>17</v>
      </c>
      <c r="AI139" s="56">
        <v>10</v>
      </c>
      <c r="AJ139" s="56">
        <v>10</v>
      </c>
      <c r="AK139" s="56">
        <v>45</v>
      </c>
      <c r="AL139" s="57">
        <f t="shared" si="44"/>
        <v>82</v>
      </c>
      <c r="AM139" s="55">
        <f t="shared" si="45"/>
        <v>82</v>
      </c>
      <c r="AN139" s="78">
        <f t="shared" si="46"/>
        <v>1.02</v>
      </c>
      <c r="AO139" s="79"/>
      <c r="AP139" s="80">
        <f t="shared" si="51"/>
        <v>1</v>
      </c>
      <c r="AQ139" s="80">
        <f t="shared" si="51"/>
        <v>2</v>
      </c>
      <c r="AR139" s="61"/>
      <c r="AS139" s="62"/>
      <c r="AT139" s="81"/>
      <c r="AU139" s="81"/>
      <c r="AV139" s="81"/>
      <c r="AW139" s="81"/>
      <c r="AX139" s="82"/>
      <c r="AY139" s="83">
        <f t="shared" si="47"/>
        <v>0</v>
      </c>
      <c r="AZ139" s="83">
        <f t="shared" si="48"/>
        <v>0</v>
      </c>
    </row>
    <row r="140" spans="1:52" s="66" customFormat="1" ht="39.75" customHeight="1" thickBot="1" x14ac:dyDescent="0.2">
      <c r="A140" s="101"/>
      <c r="B140" s="101"/>
      <c r="C140" s="101"/>
      <c r="D140" s="101"/>
      <c r="E140" s="101"/>
      <c r="F140" s="101"/>
      <c r="G140" s="90"/>
      <c r="H140" s="158"/>
      <c r="I140" s="92">
        <v>0.51</v>
      </c>
      <c r="J140" s="41">
        <v>0.49</v>
      </c>
      <c r="K140" s="41"/>
      <c r="L140" s="41"/>
      <c r="M140" s="93"/>
      <c r="N140" s="94">
        <f t="shared" si="37"/>
        <v>1</v>
      </c>
      <c r="O140" s="44">
        <v>1</v>
      </c>
      <c r="P140" s="45">
        <v>15</v>
      </c>
      <c r="Q140" s="46">
        <v>15</v>
      </c>
      <c r="R140" s="46"/>
      <c r="S140" s="46"/>
      <c r="T140" s="47"/>
      <c r="U140" s="71">
        <f t="shared" si="38"/>
        <v>15</v>
      </c>
      <c r="V140" s="72">
        <f t="shared" si="39"/>
        <v>15</v>
      </c>
      <c r="W140" s="99"/>
      <c r="X140" s="100"/>
      <c r="Y140" s="85"/>
      <c r="Z140" s="73"/>
      <c r="AA140" s="74"/>
      <c r="AB140" s="75">
        <f t="shared" si="40"/>
        <v>0</v>
      </c>
      <c r="AC140" s="72">
        <f t="shared" si="41"/>
        <v>0</v>
      </c>
      <c r="AD140" s="52">
        <v>2</v>
      </c>
      <c r="AE140" s="71">
        <f t="shared" si="42"/>
        <v>2</v>
      </c>
      <c r="AF140" s="76"/>
      <c r="AG140" s="86"/>
      <c r="AH140" s="77">
        <f t="shared" si="43"/>
        <v>17</v>
      </c>
      <c r="AI140" s="56">
        <v>10</v>
      </c>
      <c r="AJ140" s="56">
        <v>10</v>
      </c>
      <c r="AK140" s="56">
        <v>45</v>
      </c>
      <c r="AL140" s="57">
        <f t="shared" si="44"/>
        <v>82</v>
      </c>
      <c r="AM140" s="55">
        <f t="shared" si="45"/>
        <v>82</v>
      </c>
      <c r="AN140" s="78">
        <f t="shared" si="46"/>
        <v>1.02</v>
      </c>
      <c r="AO140" s="79"/>
      <c r="AP140" s="80">
        <f t="shared" si="51"/>
        <v>1</v>
      </c>
      <c r="AQ140" s="80">
        <f t="shared" si="51"/>
        <v>2</v>
      </c>
      <c r="AR140" s="61"/>
      <c r="AS140" s="62"/>
      <c r="AT140" s="81"/>
      <c r="AU140" s="81"/>
      <c r="AV140" s="81"/>
      <c r="AW140" s="81"/>
      <c r="AX140" s="82"/>
      <c r="AY140" s="83">
        <f t="shared" si="47"/>
        <v>0</v>
      </c>
      <c r="AZ140" s="83">
        <f t="shared" si="48"/>
        <v>0</v>
      </c>
    </row>
    <row r="141" spans="1:52" s="66" customFormat="1" ht="39.75" customHeight="1" thickBot="1" x14ac:dyDescent="0.2">
      <c r="A141" s="101"/>
      <c r="B141" s="101"/>
      <c r="C141" s="101"/>
      <c r="D141" s="101"/>
      <c r="E141" s="101"/>
      <c r="F141" s="101"/>
      <c r="G141" s="90"/>
      <c r="H141" s="158"/>
      <c r="I141" s="92">
        <v>0.51</v>
      </c>
      <c r="J141" s="41">
        <v>0.49</v>
      </c>
      <c r="K141" s="41"/>
      <c r="L141" s="41"/>
      <c r="M141" s="93"/>
      <c r="N141" s="94">
        <f t="shared" si="37"/>
        <v>1</v>
      </c>
      <c r="O141" s="44">
        <v>1</v>
      </c>
      <c r="P141" s="45">
        <v>15</v>
      </c>
      <c r="Q141" s="46">
        <v>15</v>
      </c>
      <c r="R141" s="46"/>
      <c r="S141" s="46"/>
      <c r="T141" s="47"/>
      <c r="U141" s="71">
        <f t="shared" si="38"/>
        <v>15</v>
      </c>
      <c r="V141" s="72">
        <f t="shared" si="39"/>
        <v>15</v>
      </c>
      <c r="W141" s="99"/>
      <c r="X141" s="100"/>
      <c r="Y141" s="85"/>
      <c r="Z141" s="73"/>
      <c r="AA141" s="74"/>
      <c r="AB141" s="75">
        <f t="shared" si="40"/>
        <v>0</v>
      </c>
      <c r="AC141" s="72">
        <f t="shared" si="41"/>
        <v>0</v>
      </c>
      <c r="AD141" s="52">
        <v>2</v>
      </c>
      <c r="AE141" s="71">
        <f t="shared" si="42"/>
        <v>2</v>
      </c>
      <c r="AF141" s="76"/>
      <c r="AG141" s="86"/>
      <c r="AH141" s="77">
        <f t="shared" si="43"/>
        <v>17</v>
      </c>
      <c r="AI141" s="56">
        <v>10</v>
      </c>
      <c r="AJ141" s="56">
        <v>10</v>
      </c>
      <c r="AK141" s="56">
        <v>45</v>
      </c>
      <c r="AL141" s="57">
        <f t="shared" si="44"/>
        <v>82</v>
      </c>
      <c r="AM141" s="55">
        <f t="shared" si="45"/>
        <v>82</v>
      </c>
      <c r="AN141" s="78">
        <f t="shared" si="46"/>
        <v>1.02</v>
      </c>
      <c r="AO141" s="79"/>
      <c r="AP141" s="80">
        <f t="shared" si="51"/>
        <v>1</v>
      </c>
      <c r="AQ141" s="80">
        <f t="shared" si="51"/>
        <v>2</v>
      </c>
      <c r="AR141" s="61"/>
      <c r="AS141" s="62"/>
      <c r="AT141" s="81"/>
      <c r="AU141" s="81"/>
      <c r="AV141" s="81"/>
      <c r="AW141" s="81"/>
      <c r="AX141" s="82"/>
      <c r="AY141" s="83">
        <f t="shared" si="47"/>
        <v>0</v>
      </c>
      <c r="AZ141" s="83">
        <f t="shared" si="48"/>
        <v>0</v>
      </c>
    </row>
    <row r="142" spans="1:52" s="23" customFormat="1" ht="39.75" customHeight="1" thickBot="1" x14ac:dyDescent="0.2">
      <c r="A142" s="101"/>
      <c r="B142" s="101"/>
      <c r="C142" s="101"/>
      <c r="D142" s="101"/>
      <c r="E142" s="101"/>
      <c r="F142" s="101"/>
      <c r="G142" s="90"/>
      <c r="H142" s="158"/>
      <c r="I142" s="92">
        <v>0.51</v>
      </c>
      <c r="J142" s="41">
        <v>0.49</v>
      </c>
      <c r="K142" s="41"/>
      <c r="L142" s="41"/>
      <c r="M142" s="93"/>
      <c r="N142" s="94">
        <f t="shared" si="37"/>
        <v>1</v>
      </c>
      <c r="O142" s="44">
        <v>1</v>
      </c>
      <c r="P142" s="45">
        <v>15</v>
      </c>
      <c r="Q142" s="46">
        <v>15</v>
      </c>
      <c r="R142" s="46"/>
      <c r="S142" s="46"/>
      <c r="T142" s="47"/>
      <c r="U142" s="71">
        <f t="shared" si="38"/>
        <v>15</v>
      </c>
      <c r="V142" s="72">
        <f t="shared" si="39"/>
        <v>15</v>
      </c>
      <c r="W142" s="99"/>
      <c r="X142" s="100"/>
      <c r="Y142" s="85"/>
      <c r="Z142" s="73"/>
      <c r="AA142" s="74"/>
      <c r="AB142" s="75">
        <f t="shared" si="40"/>
        <v>0</v>
      </c>
      <c r="AC142" s="72">
        <f t="shared" si="41"/>
        <v>0</v>
      </c>
      <c r="AD142" s="52">
        <v>2</v>
      </c>
      <c r="AE142" s="71">
        <f t="shared" si="42"/>
        <v>2</v>
      </c>
      <c r="AF142" s="76"/>
      <c r="AG142" s="86"/>
      <c r="AH142" s="77">
        <f t="shared" si="43"/>
        <v>17</v>
      </c>
      <c r="AI142" s="56">
        <v>10</v>
      </c>
      <c r="AJ142" s="56">
        <v>10</v>
      </c>
      <c r="AK142" s="56">
        <v>45</v>
      </c>
      <c r="AL142" s="57">
        <f t="shared" si="44"/>
        <v>82</v>
      </c>
      <c r="AM142" s="55">
        <f t="shared" si="45"/>
        <v>82</v>
      </c>
      <c r="AN142" s="78">
        <f t="shared" si="46"/>
        <v>1.02</v>
      </c>
      <c r="AO142" s="79"/>
      <c r="AP142" s="80">
        <f t="shared" si="51"/>
        <v>1</v>
      </c>
      <c r="AQ142" s="80">
        <f t="shared" si="51"/>
        <v>2</v>
      </c>
      <c r="AR142" s="61"/>
      <c r="AS142" s="62"/>
      <c r="AT142" s="81"/>
      <c r="AU142" s="81"/>
      <c r="AV142" s="81"/>
      <c r="AW142" s="81"/>
      <c r="AX142" s="82"/>
      <c r="AY142" s="83">
        <f t="shared" si="47"/>
        <v>0</v>
      </c>
      <c r="AZ142" s="83">
        <f t="shared" si="48"/>
        <v>0</v>
      </c>
    </row>
    <row r="143" spans="1:52" s="66" customFormat="1" ht="39.75" customHeight="1" thickBot="1" x14ac:dyDescent="0.2">
      <c r="A143" s="101"/>
      <c r="B143" s="101"/>
      <c r="C143" s="101"/>
      <c r="D143" s="101"/>
      <c r="E143" s="101"/>
      <c r="F143" s="101"/>
      <c r="G143" s="90"/>
      <c r="H143" s="158"/>
      <c r="I143" s="92">
        <v>0.51</v>
      </c>
      <c r="J143" s="41">
        <v>0.49</v>
      </c>
      <c r="K143" s="41"/>
      <c r="L143" s="41"/>
      <c r="M143" s="93"/>
      <c r="N143" s="94">
        <f t="shared" si="37"/>
        <v>1</v>
      </c>
      <c r="O143" s="44">
        <v>1</v>
      </c>
      <c r="P143" s="45">
        <v>15</v>
      </c>
      <c r="Q143" s="46">
        <v>15</v>
      </c>
      <c r="R143" s="46"/>
      <c r="S143" s="46"/>
      <c r="T143" s="47"/>
      <c r="U143" s="71">
        <f t="shared" si="38"/>
        <v>15</v>
      </c>
      <c r="V143" s="72">
        <f t="shared" si="39"/>
        <v>15</v>
      </c>
      <c r="W143" s="99"/>
      <c r="X143" s="100"/>
      <c r="Y143" s="85"/>
      <c r="Z143" s="73"/>
      <c r="AA143" s="74"/>
      <c r="AB143" s="75">
        <f t="shared" si="40"/>
        <v>0</v>
      </c>
      <c r="AC143" s="72">
        <f t="shared" si="41"/>
        <v>0</v>
      </c>
      <c r="AD143" s="52">
        <v>2</v>
      </c>
      <c r="AE143" s="71">
        <f t="shared" si="42"/>
        <v>2</v>
      </c>
      <c r="AF143" s="76"/>
      <c r="AG143" s="86"/>
      <c r="AH143" s="77">
        <f t="shared" si="43"/>
        <v>17</v>
      </c>
      <c r="AI143" s="56">
        <v>10</v>
      </c>
      <c r="AJ143" s="56">
        <v>10</v>
      </c>
      <c r="AK143" s="56">
        <v>45</v>
      </c>
      <c r="AL143" s="57">
        <f t="shared" si="44"/>
        <v>82</v>
      </c>
      <c r="AM143" s="55">
        <f t="shared" si="45"/>
        <v>82</v>
      </c>
      <c r="AN143" s="78">
        <f t="shared" si="46"/>
        <v>1.02</v>
      </c>
      <c r="AO143" s="79"/>
      <c r="AP143" s="80">
        <f t="shared" si="51"/>
        <v>1</v>
      </c>
      <c r="AQ143" s="80">
        <f t="shared" si="51"/>
        <v>2</v>
      </c>
      <c r="AR143" s="61"/>
      <c r="AS143" s="62"/>
      <c r="AT143" s="81"/>
      <c r="AU143" s="81"/>
      <c r="AV143" s="81"/>
      <c r="AW143" s="81"/>
      <c r="AX143" s="82"/>
      <c r="AY143" s="83">
        <f t="shared" si="47"/>
        <v>0</v>
      </c>
      <c r="AZ143" s="83">
        <f t="shared" si="48"/>
        <v>0</v>
      </c>
    </row>
    <row r="144" spans="1:52" s="23" customFormat="1" ht="39.75" customHeight="1" thickBot="1" x14ac:dyDescent="0.2">
      <c r="A144" s="101"/>
      <c r="B144" s="101"/>
      <c r="C144" s="101"/>
      <c r="D144" s="101"/>
      <c r="E144" s="101"/>
      <c r="F144" s="101"/>
      <c r="G144" s="90"/>
      <c r="H144" s="158"/>
      <c r="I144" s="92">
        <v>0.51</v>
      </c>
      <c r="J144" s="41">
        <v>0.49</v>
      </c>
      <c r="K144" s="41"/>
      <c r="L144" s="41"/>
      <c r="M144" s="93"/>
      <c r="N144" s="94">
        <f t="shared" si="37"/>
        <v>1</v>
      </c>
      <c r="O144" s="44">
        <v>1</v>
      </c>
      <c r="P144" s="45">
        <v>15</v>
      </c>
      <c r="Q144" s="46">
        <v>15</v>
      </c>
      <c r="R144" s="46"/>
      <c r="S144" s="46"/>
      <c r="T144" s="47"/>
      <c r="U144" s="71">
        <f t="shared" si="38"/>
        <v>15</v>
      </c>
      <c r="V144" s="72">
        <f t="shared" si="39"/>
        <v>15</v>
      </c>
      <c r="W144" s="99"/>
      <c r="X144" s="100"/>
      <c r="Y144" s="85"/>
      <c r="Z144" s="73"/>
      <c r="AA144" s="74"/>
      <c r="AB144" s="75">
        <f t="shared" si="40"/>
        <v>0</v>
      </c>
      <c r="AC144" s="72">
        <f t="shared" si="41"/>
        <v>0</v>
      </c>
      <c r="AD144" s="52">
        <v>2</v>
      </c>
      <c r="AE144" s="71">
        <f t="shared" si="42"/>
        <v>2</v>
      </c>
      <c r="AF144" s="76"/>
      <c r="AG144" s="86"/>
      <c r="AH144" s="77">
        <f t="shared" si="43"/>
        <v>17</v>
      </c>
      <c r="AI144" s="56">
        <v>10</v>
      </c>
      <c r="AJ144" s="56">
        <v>10</v>
      </c>
      <c r="AK144" s="56">
        <v>45</v>
      </c>
      <c r="AL144" s="57">
        <f t="shared" si="44"/>
        <v>82</v>
      </c>
      <c r="AM144" s="55">
        <f t="shared" si="45"/>
        <v>82</v>
      </c>
      <c r="AN144" s="78">
        <f t="shared" si="46"/>
        <v>1.02</v>
      </c>
      <c r="AO144" s="79"/>
      <c r="AP144" s="80">
        <f t="shared" si="51"/>
        <v>1</v>
      </c>
      <c r="AQ144" s="80">
        <f t="shared" si="51"/>
        <v>2</v>
      </c>
      <c r="AR144" s="61"/>
      <c r="AS144" s="62"/>
      <c r="AT144" s="81"/>
      <c r="AU144" s="81"/>
      <c r="AV144" s="81"/>
      <c r="AW144" s="81"/>
      <c r="AX144" s="82"/>
      <c r="AY144" s="83">
        <f t="shared" si="47"/>
        <v>0</v>
      </c>
      <c r="AZ144" s="83">
        <f t="shared" si="48"/>
        <v>0</v>
      </c>
    </row>
    <row r="145" spans="1:52" s="66" customFormat="1" ht="39.75" customHeight="1" thickBot="1" x14ac:dyDescent="0.2">
      <c r="A145" s="101"/>
      <c r="B145" s="101"/>
      <c r="C145" s="101"/>
      <c r="D145" s="101"/>
      <c r="E145" s="101"/>
      <c r="F145" s="101"/>
      <c r="G145" s="90"/>
      <c r="H145" s="158"/>
      <c r="I145" s="92">
        <v>0.51</v>
      </c>
      <c r="J145" s="41">
        <v>0.49</v>
      </c>
      <c r="K145" s="41"/>
      <c r="L145" s="41"/>
      <c r="M145" s="93"/>
      <c r="N145" s="94">
        <f t="shared" si="37"/>
        <v>1</v>
      </c>
      <c r="O145" s="44">
        <v>1</v>
      </c>
      <c r="P145" s="45">
        <v>15</v>
      </c>
      <c r="Q145" s="46">
        <v>15</v>
      </c>
      <c r="R145" s="46"/>
      <c r="S145" s="46"/>
      <c r="T145" s="47"/>
      <c r="U145" s="71">
        <f t="shared" si="38"/>
        <v>15</v>
      </c>
      <c r="V145" s="72">
        <f t="shared" si="39"/>
        <v>15</v>
      </c>
      <c r="W145" s="99"/>
      <c r="X145" s="100"/>
      <c r="Y145" s="85"/>
      <c r="Z145" s="73"/>
      <c r="AA145" s="74"/>
      <c r="AB145" s="75">
        <f t="shared" si="40"/>
        <v>0</v>
      </c>
      <c r="AC145" s="72">
        <f t="shared" si="41"/>
        <v>0</v>
      </c>
      <c r="AD145" s="52">
        <v>2</v>
      </c>
      <c r="AE145" s="71">
        <f t="shared" si="42"/>
        <v>2</v>
      </c>
      <c r="AF145" s="76"/>
      <c r="AG145" s="86"/>
      <c r="AH145" s="77">
        <f t="shared" si="43"/>
        <v>17</v>
      </c>
      <c r="AI145" s="56">
        <v>10</v>
      </c>
      <c r="AJ145" s="56">
        <v>10</v>
      </c>
      <c r="AK145" s="56">
        <v>45</v>
      </c>
      <c r="AL145" s="57">
        <f t="shared" si="44"/>
        <v>82</v>
      </c>
      <c r="AM145" s="55">
        <f t="shared" si="45"/>
        <v>82</v>
      </c>
      <c r="AN145" s="78">
        <f t="shared" si="46"/>
        <v>1.02</v>
      </c>
      <c r="AO145" s="79"/>
      <c r="AP145" s="80">
        <f t="shared" ref="AP145:AQ146" si="52">100%+AO145</f>
        <v>1</v>
      </c>
      <c r="AQ145" s="80">
        <f t="shared" si="52"/>
        <v>2</v>
      </c>
      <c r="AR145" s="61"/>
      <c r="AS145" s="62"/>
      <c r="AT145" s="81"/>
      <c r="AU145" s="81"/>
      <c r="AV145" s="81"/>
      <c r="AW145" s="81"/>
      <c r="AX145" s="82"/>
      <c r="AY145" s="83">
        <f t="shared" si="47"/>
        <v>0</v>
      </c>
      <c r="AZ145" s="83">
        <f t="shared" si="48"/>
        <v>0</v>
      </c>
    </row>
    <row r="146" spans="1:52" s="66" customFormat="1" ht="39.75" customHeight="1" thickBot="1" x14ac:dyDescent="0.2">
      <c r="A146" s="101"/>
      <c r="B146" s="101"/>
      <c r="C146" s="101"/>
      <c r="D146" s="101"/>
      <c r="E146" s="101"/>
      <c r="F146" s="101"/>
      <c r="G146" s="90"/>
      <c r="H146" s="158"/>
      <c r="I146" s="92">
        <v>0.51</v>
      </c>
      <c r="J146" s="41">
        <v>0.49</v>
      </c>
      <c r="K146" s="41"/>
      <c r="L146" s="41"/>
      <c r="M146" s="93"/>
      <c r="N146" s="94">
        <f>SUM(I146:M146)</f>
        <v>1</v>
      </c>
      <c r="O146" s="44">
        <v>1</v>
      </c>
      <c r="P146" s="45">
        <v>15</v>
      </c>
      <c r="Q146" s="46">
        <v>15</v>
      </c>
      <c r="R146" s="46"/>
      <c r="S146" s="46"/>
      <c r="T146" s="47"/>
      <c r="U146" s="71">
        <f>ROUND(((P146*I146)+(Q146*J146)+(R146*K146)+(S146*L146)+(T146*M146))*O146,2)</f>
        <v>15</v>
      </c>
      <c r="V146" s="72">
        <f>IF(U146&gt;=15,15,U146)</f>
        <v>15</v>
      </c>
      <c r="W146" s="99"/>
      <c r="X146" s="100"/>
      <c r="Y146" s="85"/>
      <c r="Z146" s="73"/>
      <c r="AA146" s="74"/>
      <c r="AB146" s="75">
        <f>ROUND((((W146*I146)+(X146*J146)+(Y146*K146)+(Z146*L146)+(AA146*M146))/$I$2),2)*13</f>
        <v>0</v>
      </c>
      <c r="AC146" s="72">
        <f>IF(AB146&gt;=13,13,AB146)</f>
        <v>0</v>
      </c>
      <c r="AD146" s="52">
        <v>2</v>
      </c>
      <c r="AE146" s="71">
        <f>IF((AC146+AD146)&gt;=15,15,(AC146+AD146))</f>
        <v>2</v>
      </c>
      <c r="AF146" s="86"/>
      <c r="AG146" s="86"/>
      <c r="AH146" s="77">
        <f>IF((V146+AE146+AF146)&gt;=30,30,(V146+AE146+AF146))</f>
        <v>17</v>
      </c>
      <c r="AI146" s="56">
        <v>10</v>
      </c>
      <c r="AJ146" s="56">
        <v>10</v>
      </c>
      <c r="AK146" s="56">
        <v>45</v>
      </c>
      <c r="AL146" s="57">
        <f>V146+AE146+AF146+AI146+AJ146+AK146+AG146</f>
        <v>82</v>
      </c>
      <c r="AM146" s="55">
        <f>IF(AH146+AI146+AJ146+AK146+AG146&gt;=95,95,AH146+AI146+AJ146+AK146+AG146)</f>
        <v>82</v>
      </c>
      <c r="AN146" s="78">
        <f>-((50-((176+(45+(50-AH146)))))/200)</f>
        <v>1.02</v>
      </c>
      <c r="AO146" s="79"/>
      <c r="AP146" s="80">
        <f t="shared" si="52"/>
        <v>1</v>
      </c>
      <c r="AQ146" s="80">
        <f t="shared" si="52"/>
        <v>2</v>
      </c>
      <c r="AR146" s="61"/>
      <c r="AS146" s="62"/>
      <c r="AT146" s="81"/>
      <c r="AU146" s="81"/>
      <c r="AV146" s="81"/>
      <c r="AW146" s="81"/>
      <c r="AX146" s="82"/>
      <c r="AY146" s="83">
        <f>AT146+AU146+AV146+AW146+AX146</f>
        <v>0</v>
      </c>
      <c r="AZ146" s="83">
        <f>(AT146*I146)+(AU146*J146)+(AV146*K146)+(AW146*L146)+(AX146*M146)</f>
        <v>0</v>
      </c>
    </row>
  </sheetData>
  <mergeCells count="50">
    <mergeCell ref="AG1:AJ1"/>
    <mergeCell ref="D2:E2"/>
    <mergeCell ref="I2:J2"/>
    <mergeCell ref="M2:P2"/>
    <mergeCell ref="W2:X2"/>
    <mergeCell ref="Y2:Z2"/>
    <mergeCell ref="AA2:AB2"/>
    <mergeCell ref="AE2:AL2"/>
    <mergeCell ref="D1:E1"/>
    <mergeCell ref="I1:J1"/>
    <mergeCell ref="W1:X1"/>
    <mergeCell ref="Y1:Z1"/>
    <mergeCell ref="AA1:AB1"/>
    <mergeCell ref="AE1:AF1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C21:G21"/>
    <mergeCell ref="AT3:AT4"/>
    <mergeCell ref="AU3:AU4"/>
    <mergeCell ref="AV3:AV4"/>
    <mergeCell ref="AW3:AW4"/>
    <mergeCell ref="AN3:AN4"/>
    <mergeCell ref="AO3:AO4"/>
    <mergeCell ref="AP3:AP4"/>
    <mergeCell ref="AQ3:AQ4"/>
    <mergeCell ref="AR3:AR4"/>
    <mergeCell ref="AS3:AS4"/>
    <mergeCell ref="AZ3:AZ4"/>
    <mergeCell ref="C11:G11"/>
    <mergeCell ref="C13:G13"/>
    <mergeCell ref="C15:G15"/>
    <mergeCell ref="C19:G19"/>
    <mergeCell ref="AX3:AX4"/>
    <mergeCell ref="AY3:AY4"/>
    <mergeCell ref="C54:G54"/>
    <mergeCell ref="C24:G24"/>
    <mergeCell ref="C27:G27"/>
    <mergeCell ref="C29:G29"/>
    <mergeCell ref="C31:G31"/>
    <mergeCell ref="C38:G38"/>
    <mergeCell ref="C35:G35"/>
    <mergeCell ref="C46:G46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66" max="51" man="1"/>
  </rowBreaks>
  <colBreaks count="2" manualBreakCount="2">
    <brk id="14" max="132" man="1"/>
    <brk id="40" max="13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45"/>
  <sheetViews>
    <sheetView tabSelected="1" topLeftCell="J1" zoomScale="85" zoomScaleNormal="85" workbookViewId="0">
      <pane ySplit="2" topLeftCell="A3" activePane="bottomLeft" state="frozen"/>
      <selection pane="bottomLeft" activeCell="AM4" sqref="AM4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9" style="102" customWidth="1"/>
    <col min="4" max="7" width="9" style="1" customWidth="1"/>
    <col min="8" max="8" width="8.109375" style="1" customWidth="1"/>
    <col min="9" max="10" width="8.77734375" style="1" customWidth="1"/>
    <col min="11" max="13" width="8.109375" style="1" customWidth="1"/>
    <col min="14" max="14" width="5.88671875" style="1" customWidth="1"/>
    <col min="15" max="15" width="6.88671875" style="1" customWidth="1"/>
    <col min="16" max="21" width="7.88671875" style="1" customWidth="1"/>
    <col min="22" max="22" width="7.6640625" style="103" hidden="1" customWidth="1"/>
    <col min="23" max="27" width="8.33203125" style="1" customWidth="1"/>
    <col min="28" max="28" width="8.21875" style="1" customWidth="1"/>
    <col min="29" max="29" width="7.6640625" style="103" hidden="1" customWidth="1"/>
    <col min="30" max="31" width="7.6640625" style="103" customWidth="1"/>
    <col min="32" max="33" width="6.109375" style="1" customWidth="1"/>
    <col min="34" max="34" width="7.88671875" style="1" customWidth="1"/>
    <col min="35" max="37" width="4.5546875" style="1" customWidth="1"/>
    <col min="38" max="38" width="8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58</v>
      </c>
      <c r="D1" s="366"/>
      <c r="E1" s="366"/>
      <c r="F1" s="4"/>
      <c r="G1" s="5"/>
      <c r="H1" s="6" t="s">
        <v>57</v>
      </c>
      <c r="I1" s="367"/>
      <c r="J1" s="368"/>
      <c r="K1" s="7" t="s">
        <v>425</v>
      </c>
      <c r="L1" s="178"/>
      <c r="M1" s="178"/>
      <c r="N1" s="8"/>
      <c r="O1" s="8"/>
      <c r="P1" s="8"/>
      <c r="Q1" s="8"/>
      <c r="R1" s="8"/>
      <c r="S1" s="8"/>
      <c r="T1" s="8"/>
      <c r="U1" s="8"/>
      <c r="V1" s="8"/>
      <c r="W1" s="369" t="s">
        <v>423</v>
      </c>
      <c r="X1" s="369"/>
      <c r="Y1" s="370" t="s">
        <v>55</v>
      </c>
      <c r="Z1" s="371"/>
      <c r="AA1" s="372" t="s">
        <v>0</v>
      </c>
      <c r="AB1" s="373"/>
      <c r="AC1" s="11"/>
      <c r="AD1" s="11"/>
      <c r="AE1" s="374" t="s">
        <v>186</v>
      </c>
      <c r="AF1" s="375"/>
      <c r="AG1" s="355">
        <f>D1</f>
        <v>0</v>
      </c>
      <c r="AH1" s="355"/>
      <c r="AI1" s="355"/>
      <c r="AJ1" s="355"/>
      <c r="AK1" s="9" t="s">
        <v>53</v>
      </c>
      <c r="AL1" s="10"/>
      <c r="AM1" s="10"/>
      <c r="AN1" s="8"/>
      <c r="AQ1" s="104"/>
    </row>
    <row r="2" spans="1:52" s="19" customFormat="1" ht="29.25" customHeight="1" thickBot="1" x14ac:dyDescent="0.2">
      <c r="A2" s="11"/>
      <c r="B2" s="12"/>
      <c r="C2" s="13" t="s">
        <v>52</v>
      </c>
      <c r="D2" s="356"/>
      <c r="E2" s="356"/>
      <c r="F2" s="14"/>
      <c r="G2" s="15"/>
      <c r="H2" s="3" t="s">
        <v>51</v>
      </c>
      <c r="I2" s="357">
        <f>D2*2</f>
        <v>0</v>
      </c>
      <c r="J2" s="358"/>
      <c r="K2" s="16" t="s">
        <v>50</v>
      </c>
      <c r="L2" s="177" t="s">
        <v>49</v>
      </c>
      <c r="M2" s="404"/>
      <c r="N2" s="359"/>
      <c r="O2" s="359"/>
      <c r="P2" s="359"/>
      <c r="Q2" s="176" t="s">
        <v>169</v>
      </c>
      <c r="R2" s="176"/>
      <c r="S2" s="176"/>
      <c r="T2" s="17"/>
      <c r="U2" s="175"/>
      <c r="V2" s="175"/>
      <c r="W2" s="360"/>
      <c r="X2" s="360"/>
      <c r="Y2" s="361">
        <f>I1</f>
        <v>0</v>
      </c>
      <c r="Z2" s="362"/>
      <c r="AA2" s="363" t="e">
        <f>TRUNC(W2/Y2,4)</f>
        <v>#DIV/0!</v>
      </c>
      <c r="AB2" s="364"/>
      <c r="AC2" s="18"/>
      <c r="AD2" s="405"/>
      <c r="AE2" s="405"/>
      <c r="AF2" s="405"/>
      <c r="AG2" s="405"/>
      <c r="AH2" s="405"/>
      <c r="AI2" s="405"/>
      <c r="AJ2" s="405"/>
      <c r="AK2" s="405"/>
      <c r="AL2" s="405"/>
      <c r="AM2" s="145"/>
      <c r="AN2" s="104" t="s">
        <v>190</v>
      </c>
      <c r="AO2" s="20"/>
      <c r="AP2" s="104"/>
      <c r="AQ2" s="104"/>
      <c r="AR2" s="104"/>
      <c r="AS2" s="1"/>
      <c r="AT2" s="21" t="s">
        <v>48</v>
      </c>
      <c r="AU2" s="377">
        <f>AG1</f>
        <v>0</v>
      </c>
      <c r="AV2" s="378"/>
      <c r="AY2" s="22"/>
    </row>
    <row r="3" spans="1:52" s="23" customFormat="1" ht="24.95" customHeight="1" thickBot="1" x14ac:dyDescent="0.2">
      <c r="A3" s="379" t="s">
        <v>47</v>
      </c>
      <c r="B3" s="381" t="s">
        <v>46</v>
      </c>
      <c r="C3" s="383" t="s">
        <v>45</v>
      </c>
      <c r="D3" s="384"/>
      <c r="E3" s="384"/>
      <c r="F3" s="384"/>
      <c r="G3" s="384"/>
      <c r="H3" s="385"/>
      <c r="I3" s="383" t="s">
        <v>19</v>
      </c>
      <c r="J3" s="384"/>
      <c r="K3" s="384"/>
      <c r="L3" s="384"/>
      <c r="M3" s="385"/>
      <c r="N3" s="386" t="s">
        <v>18</v>
      </c>
      <c r="O3" s="388" t="s">
        <v>17</v>
      </c>
      <c r="P3" s="383" t="s">
        <v>44</v>
      </c>
      <c r="Q3" s="384"/>
      <c r="R3" s="390"/>
      <c r="S3" s="390"/>
      <c r="T3" s="384"/>
      <c r="U3" s="385"/>
      <c r="V3" s="338"/>
      <c r="W3" s="383" t="s">
        <v>4</v>
      </c>
      <c r="X3" s="384"/>
      <c r="Y3" s="384"/>
      <c r="Z3" s="384"/>
      <c r="AA3" s="384"/>
      <c r="AB3" s="384"/>
      <c r="AC3" s="384"/>
      <c r="AD3" s="384"/>
      <c r="AE3" s="385"/>
      <c r="AF3" s="383"/>
      <c r="AG3" s="384"/>
      <c r="AH3" s="384"/>
      <c r="AI3" s="384"/>
      <c r="AJ3" s="384"/>
      <c r="AK3" s="384"/>
      <c r="AL3" s="384"/>
      <c r="AM3" s="385"/>
      <c r="AN3" s="391" t="s">
        <v>43</v>
      </c>
      <c r="AO3" s="393" t="s">
        <v>42</v>
      </c>
      <c r="AP3" s="395" t="s">
        <v>41</v>
      </c>
      <c r="AQ3" s="397" t="s">
        <v>16</v>
      </c>
      <c r="AR3" s="399" t="s">
        <v>40</v>
      </c>
      <c r="AS3" s="376" t="s">
        <v>39</v>
      </c>
      <c r="AT3" s="393" t="s">
        <v>38</v>
      </c>
      <c r="AU3" s="376" t="s">
        <v>15</v>
      </c>
      <c r="AV3" s="376" t="s">
        <v>37</v>
      </c>
      <c r="AW3" s="376" t="s">
        <v>36</v>
      </c>
      <c r="AX3" s="400" t="s">
        <v>14</v>
      </c>
      <c r="AY3" s="376" t="s">
        <v>13</v>
      </c>
      <c r="AZ3" s="376" t="s">
        <v>12</v>
      </c>
    </row>
    <row r="4" spans="1:52" s="23" customFormat="1" ht="39.75" customHeight="1" thickBot="1" x14ac:dyDescent="0.2">
      <c r="A4" s="380"/>
      <c r="B4" s="382"/>
      <c r="C4" s="24" t="s">
        <v>32</v>
      </c>
      <c r="D4" s="25" t="s">
        <v>31</v>
      </c>
      <c r="E4" s="26" t="s">
        <v>9</v>
      </c>
      <c r="F4" s="26" t="s">
        <v>8</v>
      </c>
      <c r="G4" s="27" t="s">
        <v>7</v>
      </c>
      <c r="H4" s="338" t="s">
        <v>35</v>
      </c>
      <c r="I4" s="28" t="s">
        <v>32</v>
      </c>
      <c r="J4" s="29" t="s">
        <v>31</v>
      </c>
      <c r="K4" s="25" t="s">
        <v>9</v>
      </c>
      <c r="L4" s="25" t="s">
        <v>8</v>
      </c>
      <c r="M4" s="30" t="s">
        <v>7</v>
      </c>
      <c r="N4" s="387"/>
      <c r="O4" s="389"/>
      <c r="P4" s="28" t="s">
        <v>32</v>
      </c>
      <c r="Q4" s="29" t="s">
        <v>31</v>
      </c>
      <c r="R4" s="25" t="s">
        <v>9</v>
      </c>
      <c r="S4" s="25" t="s">
        <v>8</v>
      </c>
      <c r="T4" s="30" t="s">
        <v>7</v>
      </c>
      <c r="U4" s="31" t="s">
        <v>34</v>
      </c>
      <c r="V4" s="32" t="s">
        <v>33</v>
      </c>
      <c r="W4" s="33" t="s">
        <v>32</v>
      </c>
      <c r="X4" s="29" t="s">
        <v>31</v>
      </c>
      <c r="Y4" s="29" t="s">
        <v>9</v>
      </c>
      <c r="Z4" s="29" t="s">
        <v>8</v>
      </c>
      <c r="AA4" s="30" t="s">
        <v>7</v>
      </c>
      <c r="AB4" s="34" t="s">
        <v>29</v>
      </c>
      <c r="AC4" s="35" t="s">
        <v>28</v>
      </c>
      <c r="AD4" s="36" t="s">
        <v>27</v>
      </c>
      <c r="AE4" s="36" t="s">
        <v>26</v>
      </c>
      <c r="AF4" s="37" t="s">
        <v>25</v>
      </c>
      <c r="AG4" s="37" t="s">
        <v>24</v>
      </c>
      <c r="AH4" s="38" t="s">
        <v>23</v>
      </c>
      <c r="AI4" s="38" t="s">
        <v>22</v>
      </c>
      <c r="AJ4" s="38" t="s">
        <v>21</v>
      </c>
      <c r="AK4" s="39" t="s">
        <v>6</v>
      </c>
      <c r="AL4" s="39"/>
      <c r="AM4" s="39" t="s">
        <v>5</v>
      </c>
      <c r="AN4" s="392"/>
      <c r="AO4" s="394"/>
      <c r="AP4" s="396"/>
      <c r="AQ4" s="398"/>
      <c r="AR4" s="399"/>
      <c r="AS4" s="376"/>
      <c r="AT4" s="394"/>
      <c r="AU4" s="376"/>
      <c r="AV4" s="376"/>
      <c r="AW4" s="376"/>
      <c r="AX4" s="401"/>
      <c r="AY4" s="376"/>
      <c r="AZ4" s="376"/>
    </row>
    <row r="5" spans="1:52" s="66" customFormat="1" ht="39.75" customHeight="1" thickBot="1" x14ac:dyDescent="0.2">
      <c r="A5" s="96"/>
      <c r="B5" s="108"/>
      <c r="C5" s="342"/>
      <c r="D5" s="188"/>
      <c r="E5" s="343"/>
      <c r="F5" s="211"/>
      <c r="G5" s="212"/>
      <c r="H5" s="254"/>
      <c r="I5" s="213"/>
      <c r="J5" s="174"/>
      <c r="K5" s="174"/>
      <c r="L5" s="214"/>
      <c r="M5" s="215"/>
      <c r="N5" s="216">
        <f t="shared" ref="N5:N43" si="0">SUM(I5:M5)</f>
        <v>0</v>
      </c>
      <c r="O5" s="217">
        <v>1</v>
      </c>
      <c r="P5" s="173"/>
      <c r="Q5" s="218"/>
      <c r="R5" s="219"/>
      <c r="S5" s="220"/>
      <c r="T5" s="221"/>
      <c r="U5" s="222">
        <f>ROUND(((P5*I5)+(Q5*J5)+(R5*K5)+(S5*L5)+(T5*M5))*O5,2)</f>
        <v>0</v>
      </c>
      <c r="V5" s="223">
        <f>IF(U5&gt;=15,15,U5)</f>
        <v>0</v>
      </c>
      <c r="W5" s="224"/>
      <c r="X5" s="225"/>
      <c r="Y5" s="225"/>
      <c r="Z5" s="226"/>
      <c r="AA5" s="227"/>
      <c r="AB5" s="228" t="e">
        <f>ROUND((((W5*I5)+(X5*J5)+(Y5*K5)+(Z5*L5)+(AA5*M5))/$I$2),2)*13</f>
        <v>#DIV/0!</v>
      </c>
      <c r="AC5" s="72" t="e">
        <f>IF(AB5&gt;=13,13,AB5)</f>
        <v>#DIV/0!</v>
      </c>
      <c r="AD5" s="124"/>
      <c r="AE5" s="71" t="e">
        <f>IF((AC5+AD5)&gt;=15,15,(AC5+AD5))</f>
        <v>#DIV/0!</v>
      </c>
      <c r="AF5" s="76"/>
      <c r="AG5" s="54"/>
      <c r="AH5" s="77" t="e">
        <f>IF((V5+AE5+AF5)&gt;=30,30,(V5+AE5+AF5))</f>
        <v>#DIV/0!</v>
      </c>
      <c r="AI5" s="56">
        <v>10</v>
      </c>
      <c r="AJ5" s="56">
        <v>10</v>
      </c>
      <c r="AK5" s="56">
        <v>45</v>
      </c>
      <c r="AL5" s="57" t="e">
        <f>V5+AE5+AF5+AI5+AJ5+AK5+AG5</f>
        <v>#DIV/0!</v>
      </c>
      <c r="AM5" s="55" t="e">
        <f>IF(AH5+AI5+AJ5+AK5+AG5&gt;=95,95,AH5+AI5+AJ5+AK5+AG5)</f>
        <v>#DIV/0!</v>
      </c>
      <c r="AN5" s="78" t="e">
        <f>-((50-((176+(45+(50-AH5)))))/200)</f>
        <v>#DIV/0!</v>
      </c>
      <c r="AO5" s="79"/>
      <c r="AP5" s="80">
        <f>100%+AO5</f>
        <v>1</v>
      </c>
      <c r="AQ5" s="80">
        <f>100%+AP5</f>
        <v>2</v>
      </c>
      <c r="AR5" s="61"/>
      <c r="AS5" s="62"/>
      <c r="AT5" s="81"/>
      <c r="AU5" s="81"/>
      <c r="AV5" s="81"/>
      <c r="AW5" s="81"/>
      <c r="AX5" s="82"/>
      <c r="AY5" s="83">
        <f>AT5+AU5+AV5+AW5+AX5</f>
        <v>0</v>
      </c>
      <c r="AZ5" s="83">
        <f>(AT5*I5)+(AU5*J5)+(AV5*K5)+(AW5*L5)+(AX5*M5)</f>
        <v>0</v>
      </c>
    </row>
    <row r="6" spans="1:52" s="66" customFormat="1" ht="21.95" customHeight="1" thickBot="1" x14ac:dyDescent="0.2">
      <c r="A6" s="96"/>
      <c r="B6" s="91"/>
      <c r="C6" s="352" t="s">
        <v>3</v>
      </c>
      <c r="D6" s="353"/>
      <c r="E6" s="353"/>
      <c r="F6" s="353"/>
      <c r="G6" s="354"/>
      <c r="H6" s="195"/>
      <c r="I6" s="84"/>
      <c r="J6" s="276"/>
      <c r="K6" s="84"/>
      <c r="L6" s="84"/>
      <c r="M6" s="84"/>
      <c r="N6" s="168">
        <f>I6*I5+J6*J5+K6*K5+L6*L5+M6*M5</f>
        <v>0</v>
      </c>
      <c r="O6" s="44"/>
      <c r="P6" s="45"/>
      <c r="Q6" s="46"/>
      <c r="R6" s="46"/>
      <c r="S6" s="47"/>
      <c r="T6" s="70"/>
      <c r="U6" s="71"/>
      <c r="V6" s="72"/>
      <c r="W6" s="150"/>
      <c r="X6" s="85"/>
      <c r="Y6" s="151"/>
      <c r="Z6" s="85"/>
      <c r="AA6" s="74"/>
      <c r="AB6" s="75"/>
      <c r="AC6" s="72"/>
      <c r="AD6" s="71"/>
      <c r="AE6" s="71"/>
      <c r="AF6" s="152"/>
      <c r="AG6" s="86"/>
      <c r="AH6" s="77"/>
      <c r="AI6" s="87"/>
      <c r="AJ6" s="46"/>
      <c r="AK6" s="77"/>
      <c r="AL6" s="78"/>
      <c r="AM6" s="79"/>
      <c r="AN6" s="80"/>
      <c r="AO6" s="80"/>
      <c r="AP6" s="61"/>
      <c r="AQ6" s="62"/>
      <c r="AR6" s="81"/>
      <c r="AS6" s="81"/>
      <c r="AT6" s="81"/>
      <c r="AU6" s="81"/>
      <c r="AV6" s="82"/>
      <c r="AW6" s="83"/>
      <c r="AX6" s="83"/>
      <c r="AZ6" s="66">
        <f t="shared" ref="AZ6" si="1">(AT6*I6)+(AU6*J6)+(AV6*K6)+(AW6*L6)+(AX6*M6)</f>
        <v>0</v>
      </c>
    </row>
    <row r="7" spans="1:52" s="66" customFormat="1" ht="39.75" customHeight="1" thickBot="1" x14ac:dyDescent="0.2">
      <c r="A7" s="96"/>
      <c r="B7" s="108"/>
      <c r="C7" s="343"/>
      <c r="D7" s="346"/>
      <c r="E7" s="347"/>
      <c r="F7" s="347"/>
      <c r="G7" s="97"/>
      <c r="H7" s="207"/>
      <c r="I7" s="92"/>
      <c r="J7" s="41"/>
      <c r="K7" s="295"/>
      <c r="L7" s="324"/>
      <c r="M7" s="68"/>
      <c r="N7" s="69">
        <f t="shared" si="0"/>
        <v>0</v>
      </c>
      <c r="O7" s="125">
        <v>1</v>
      </c>
      <c r="P7" s="112"/>
      <c r="Q7" s="113"/>
      <c r="R7" s="287"/>
      <c r="S7" s="321"/>
      <c r="T7" s="70"/>
      <c r="U7" s="71">
        <f>ROUND(((P7*I7)+(Q7*J7)+(R7*K7)+(S7*L7)+(T7*M7))*O7,2)</f>
        <v>0</v>
      </c>
      <c r="V7" s="72">
        <f t="shared" ref="V7:V79" si="2">IF(U7&gt;=15,15,U7)</f>
        <v>0</v>
      </c>
      <c r="W7" s="205"/>
      <c r="X7" s="205"/>
      <c r="Y7" s="294"/>
      <c r="Z7" s="306"/>
      <c r="AA7" s="74"/>
      <c r="AB7" s="75" t="e">
        <f t="shared" ref="AB7:AB79" si="3">ROUND((((W7*I7)+(X7*J7)+(Y7*K7)+(Z7*L7)+(AA7*M7))/$I$2),2)*13</f>
        <v>#DIV/0!</v>
      </c>
      <c r="AC7" s="72" t="e">
        <f t="shared" ref="AC7:AC79" si="4">IF(AB7&gt;=13,13,AB7)</f>
        <v>#DIV/0!</v>
      </c>
      <c r="AD7" s="124"/>
      <c r="AE7" s="71" t="e">
        <f t="shared" ref="AE7:AE79" si="5">IF((AC7+AD7)&gt;=15,15,(AC7+AD7))</f>
        <v>#DIV/0!</v>
      </c>
      <c r="AF7" s="53"/>
      <c r="AG7" s="54"/>
      <c r="AH7" s="77" t="e">
        <f t="shared" ref="AH7:AH79" si="6">IF((V7+AE7+AF7)&gt;=30,30,(V7+AE7+AF7))</f>
        <v>#DIV/0!</v>
      </c>
      <c r="AI7" s="56">
        <v>10</v>
      </c>
      <c r="AJ7" s="56">
        <v>10</v>
      </c>
      <c r="AK7" s="56">
        <v>45</v>
      </c>
      <c r="AL7" s="57" t="e">
        <f t="shared" ref="AL7:AL79" si="7">V7+AE7+AF7+AI7+AJ7+AK7+AG7</f>
        <v>#DIV/0!</v>
      </c>
      <c r="AM7" s="55" t="e">
        <f t="shared" ref="AM7:AM79" si="8">IF(AH7+AI7+AJ7+AK7+AG7&gt;=95,95,AH7+AI7+AJ7+AK7+AG7)</f>
        <v>#DIV/0!</v>
      </c>
      <c r="AN7" s="78" t="e">
        <f t="shared" ref="AN7:AN79" si="9">-((50-((176+(45+(50-AH7)))))/200)</f>
        <v>#DIV/0!</v>
      </c>
      <c r="AO7" s="79"/>
      <c r="AP7" s="80">
        <f t="shared" ref="AP7:AQ61" si="10">100%+AO7</f>
        <v>1</v>
      </c>
      <c r="AQ7" s="318"/>
      <c r="AR7" s="277"/>
      <c r="AS7" s="62"/>
      <c r="AT7" s="81"/>
      <c r="AU7" s="81"/>
      <c r="AV7" s="81"/>
      <c r="AW7" s="81"/>
      <c r="AX7" s="82"/>
      <c r="AY7" s="83">
        <f t="shared" ref="AY7:AY79" si="11">AT7+AU7+AV7+AW7+AX7</f>
        <v>0</v>
      </c>
      <c r="AZ7" s="83">
        <f t="shared" ref="AZ7:AZ80" si="12">(AT7*I7)+(AU7*J7)+(AV7*K7)+(AW7*L7)+(AX7*M7)</f>
        <v>0</v>
      </c>
    </row>
    <row r="8" spans="1:52" s="66" customFormat="1" ht="21.95" customHeight="1" thickBot="1" x14ac:dyDescent="0.2">
      <c r="A8" s="96"/>
      <c r="B8" s="91"/>
      <c r="C8" s="352" t="s">
        <v>3</v>
      </c>
      <c r="D8" s="353"/>
      <c r="E8" s="353"/>
      <c r="F8" s="353"/>
      <c r="G8" s="354"/>
      <c r="H8" s="195"/>
      <c r="I8" s="84"/>
      <c r="J8" s="276"/>
      <c r="K8" s="84"/>
      <c r="L8" s="84"/>
      <c r="M8" s="84"/>
      <c r="N8" s="168">
        <f>I8*I7+J8*J7+K8*K7+L8*L7+M8*M7</f>
        <v>0</v>
      </c>
      <c r="O8" s="44"/>
      <c r="P8" s="45"/>
      <c r="Q8" s="46"/>
      <c r="R8" s="46"/>
      <c r="S8" s="47"/>
      <c r="T8" s="70"/>
      <c r="U8" s="71"/>
      <c r="V8" s="72"/>
      <c r="W8" s="150"/>
      <c r="X8" s="85"/>
      <c r="Y8" s="151"/>
      <c r="Z8" s="85"/>
      <c r="AA8" s="74"/>
      <c r="AB8" s="75"/>
      <c r="AC8" s="72"/>
      <c r="AD8" s="71"/>
      <c r="AE8" s="71"/>
      <c r="AF8" s="152"/>
      <c r="AG8" s="86"/>
      <c r="AH8" s="77"/>
      <c r="AI8" s="87"/>
      <c r="AJ8" s="46"/>
      <c r="AK8" s="77"/>
      <c r="AL8" s="78"/>
      <c r="AM8" s="79"/>
      <c r="AN8" s="80"/>
      <c r="AO8" s="80"/>
      <c r="AP8" s="61"/>
      <c r="AQ8" s="62"/>
      <c r="AR8" s="81"/>
      <c r="AS8" s="81"/>
      <c r="AT8" s="81"/>
      <c r="AU8" s="81"/>
      <c r="AV8" s="82"/>
      <c r="AW8" s="83"/>
      <c r="AX8" s="83"/>
      <c r="AZ8" s="66">
        <f t="shared" ref="AZ8" si="13">(AT8*I8)+(AU8*J8)+(AV8*K8)+(AW8*L8)+(AX8*M8)</f>
        <v>0</v>
      </c>
    </row>
    <row r="9" spans="1:52" s="66" customFormat="1" ht="39.75" customHeight="1" thickBot="1" x14ac:dyDescent="0.2">
      <c r="A9" s="96"/>
      <c r="B9" s="108"/>
      <c r="C9" s="343"/>
      <c r="D9" s="345"/>
      <c r="E9" s="188"/>
      <c r="F9" s="348"/>
      <c r="G9" s="334"/>
      <c r="H9" s="334"/>
      <c r="I9" s="251"/>
      <c r="J9" s="286"/>
      <c r="K9" s="233"/>
      <c r="L9" s="327"/>
      <c r="M9" s="128"/>
      <c r="N9" s="43">
        <f t="shared" si="0"/>
        <v>0</v>
      </c>
      <c r="O9" s="235">
        <v>1</v>
      </c>
      <c r="P9" s="236"/>
      <c r="Q9" s="332"/>
      <c r="R9" s="237"/>
      <c r="S9" s="328"/>
      <c r="T9" s="156"/>
      <c r="U9" s="48">
        <f t="shared" ref="U9:U79" si="14">ROUND(((P9*I9)+(Q9*J9)+(R9*K9)+(S9*L9)+(T9*M9))*O9,2)</f>
        <v>0</v>
      </c>
      <c r="V9" s="49">
        <f t="shared" si="2"/>
        <v>0</v>
      </c>
      <c r="W9" s="239"/>
      <c r="X9" s="308"/>
      <c r="Y9" s="239"/>
      <c r="Z9" s="329"/>
      <c r="AA9" s="240"/>
      <c r="AB9" s="50" t="e">
        <f t="shared" si="3"/>
        <v>#DIV/0!</v>
      </c>
      <c r="AC9" s="51" t="e">
        <f t="shared" si="4"/>
        <v>#DIV/0!</v>
      </c>
      <c r="AD9" s="124"/>
      <c r="AE9" s="48" t="e">
        <f t="shared" si="5"/>
        <v>#DIV/0!</v>
      </c>
      <c r="AF9" s="53"/>
      <c r="AG9" s="54"/>
      <c r="AH9" s="55" t="e">
        <f t="shared" si="6"/>
        <v>#DIV/0!</v>
      </c>
      <c r="AI9" s="56">
        <v>10</v>
      </c>
      <c r="AJ9" s="56">
        <v>10</v>
      </c>
      <c r="AK9" s="56">
        <v>45</v>
      </c>
      <c r="AL9" s="57" t="e">
        <f t="shared" si="7"/>
        <v>#DIV/0!</v>
      </c>
      <c r="AM9" s="55" t="e">
        <f t="shared" si="8"/>
        <v>#DIV/0!</v>
      </c>
      <c r="AN9" s="58" t="e">
        <f t="shared" si="9"/>
        <v>#DIV/0!</v>
      </c>
      <c r="AO9" s="59"/>
      <c r="AP9" s="333">
        <v>2</v>
      </c>
      <c r="AQ9" s="241">
        <f t="shared" si="10"/>
        <v>3</v>
      </c>
      <c r="AR9" s="277"/>
      <c r="AS9" s="62"/>
      <c r="AT9" s="63"/>
      <c r="AU9" s="331"/>
      <c r="AV9" s="63"/>
      <c r="AW9" s="242"/>
      <c r="AX9" s="243"/>
      <c r="AY9" s="65">
        <f t="shared" si="11"/>
        <v>0</v>
      </c>
      <c r="AZ9" s="65">
        <f t="shared" si="12"/>
        <v>0</v>
      </c>
    </row>
    <row r="10" spans="1:52" s="66" customFormat="1" ht="21.95" customHeight="1" thickBot="1" x14ac:dyDescent="0.2">
      <c r="A10" s="96"/>
      <c r="B10" s="91"/>
      <c r="C10" s="352" t="s">
        <v>3</v>
      </c>
      <c r="D10" s="353"/>
      <c r="E10" s="353"/>
      <c r="F10" s="353"/>
      <c r="G10" s="354"/>
      <c r="H10" s="195"/>
      <c r="I10" s="84"/>
      <c r="J10" s="276"/>
      <c r="K10" s="84"/>
      <c r="L10" s="84"/>
      <c r="M10" s="84"/>
      <c r="N10" s="168">
        <f>I10*I9+J10*J9+K10*K9+L10*L9+M10*M9</f>
        <v>0</v>
      </c>
      <c r="O10" s="44"/>
      <c r="P10" s="45"/>
      <c r="Q10" s="46"/>
      <c r="R10" s="46"/>
      <c r="S10" s="47"/>
      <c r="T10" s="70"/>
      <c r="U10" s="71"/>
      <c r="V10" s="72"/>
      <c r="W10" s="150"/>
      <c r="X10" s="85"/>
      <c r="Y10" s="151"/>
      <c r="Z10" s="85"/>
      <c r="AA10" s="74"/>
      <c r="AB10" s="75"/>
      <c r="AC10" s="72"/>
      <c r="AD10" s="71"/>
      <c r="AE10" s="71"/>
      <c r="AF10" s="152"/>
      <c r="AG10" s="86"/>
      <c r="AH10" s="77"/>
      <c r="AI10" s="87"/>
      <c r="AJ10" s="46"/>
      <c r="AK10" s="77"/>
      <c r="AL10" s="78"/>
      <c r="AM10" s="79"/>
      <c r="AN10" s="80"/>
      <c r="AO10" s="80"/>
      <c r="AP10" s="61"/>
      <c r="AQ10" s="62"/>
      <c r="AR10" s="81"/>
      <c r="AS10" s="81"/>
      <c r="AT10" s="81"/>
      <c r="AU10" s="81"/>
      <c r="AV10" s="82"/>
      <c r="AW10" s="83"/>
      <c r="AX10" s="83"/>
      <c r="AZ10" s="66">
        <f t="shared" si="12"/>
        <v>0</v>
      </c>
    </row>
    <row r="11" spans="1:52" s="66" customFormat="1" ht="39.75" customHeight="1" thickBot="1" x14ac:dyDescent="0.2">
      <c r="A11" s="96"/>
      <c r="B11" s="108"/>
      <c r="C11" s="345"/>
      <c r="D11" s="347"/>
      <c r="E11" s="347"/>
      <c r="F11" s="346"/>
      <c r="G11" s="97"/>
      <c r="H11" s="207"/>
      <c r="I11" s="291"/>
      <c r="J11" s="295"/>
      <c r="K11" s="295"/>
      <c r="L11" s="41"/>
      <c r="M11" s="68"/>
      <c r="N11" s="94">
        <f t="shared" si="0"/>
        <v>0</v>
      </c>
      <c r="O11" s="235">
        <v>1</v>
      </c>
      <c r="P11" s="293"/>
      <c r="Q11" s="319"/>
      <c r="R11" s="319"/>
      <c r="S11" s="114"/>
      <c r="T11" s="70"/>
      <c r="U11" s="71">
        <f t="shared" si="14"/>
        <v>0</v>
      </c>
      <c r="V11" s="72">
        <f t="shared" si="2"/>
        <v>0</v>
      </c>
      <c r="W11" s="294"/>
      <c r="X11" s="294"/>
      <c r="Y11" s="294"/>
      <c r="Z11" s="117"/>
      <c r="AA11" s="74"/>
      <c r="AB11" s="75" t="e">
        <f t="shared" si="3"/>
        <v>#DIV/0!</v>
      </c>
      <c r="AC11" s="72" t="e">
        <f t="shared" si="4"/>
        <v>#DIV/0!</v>
      </c>
      <c r="AD11" s="124"/>
      <c r="AE11" s="71" t="e">
        <f t="shared" si="5"/>
        <v>#DIV/0!</v>
      </c>
      <c r="AF11" s="76"/>
      <c r="AG11" s="54"/>
      <c r="AH11" s="77" t="e">
        <f t="shared" si="6"/>
        <v>#DIV/0!</v>
      </c>
      <c r="AI11" s="56">
        <v>10</v>
      </c>
      <c r="AJ11" s="56">
        <v>10</v>
      </c>
      <c r="AK11" s="56">
        <v>45</v>
      </c>
      <c r="AL11" s="57" t="e">
        <f t="shared" si="7"/>
        <v>#DIV/0!</v>
      </c>
      <c r="AM11" s="55" t="e">
        <f t="shared" si="8"/>
        <v>#DIV/0!</v>
      </c>
      <c r="AN11" s="78" t="e">
        <f t="shared" si="9"/>
        <v>#DIV/0!</v>
      </c>
      <c r="AO11" s="79"/>
      <c r="AP11" s="80">
        <f t="shared" si="10"/>
        <v>1</v>
      </c>
      <c r="AQ11" s="318">
        <v>1</v>
      </c>
      <c r="AR11" s="277"/>
      <c r="AS11" s="289"/>
      <c r="AT11" s="81"/>
      <c r="AU11" s="294"/>
      <c r="AV11" s="294"/>
      <c r="AW11" s="81"/>
      <c r="AX11" s="82"/>
      <c r="AY11" s="83">
        <f t="shared" si="11"/>
        <v>0</v>
      </c>
      <c r="AZ11" s="83">
        <f t="shared" si="12"/>
        <v>0</v>
      </c>
    </row>
    <row r="12" spans="1:52" s="66" customFormat="1" ht="21.95" customHeight="1" thickBot="1" x14ac:dyDescent="0.2">
      <c r="A12" s="96"/>
      <c r="B12" s="91"/>
      <c r="C12" s="352" t="s">
        <v>3</v>
      </c>
      <c r="D12" s="353"/>
      <c r="E12" s="353"/>
      <c r="F12" s="353"/>
      <c r="G12" s="354"/>
      <c r="H12" s="195"/>
      <c r="I12" s="276"/>
      <c r="J12" s="276"/>
      <c r="K12" s="84"/>
      <c r="L12" s="84"/>
      <c r="M12" s="84"/>
      <c r="N12" s="168">
        <f>I12*I11+J12*J11+K12*K11+L12*L11+M12*M11</f>
        <v>0</v>
      </c>
      <c r="O12" s="44"/>
      <c r="P12" s="45"/>
      <c r="Q12" s="46"/>
      <c r="R12" s="46"/>
      <c r="S12" s="47"/>
      <c r="T12" s="70"/>
      <c r="U12" s="71"/>
      <c r="V12" s="72"/>
      <c r="W12" s="150"/>
      <c r="X12" s="85"/>
      <c r="Y12" s="151"/>
      <c r="Z12" s="85"/>
      <c r="AA12" s="74"/>
      <c r="AB12" s="75"/>
      <c r="AC12" s="72"/>
      <c r="AD12" s="71"/>
      <c r="AE12" s="71"/>
      <c r="AF12" s="152"/>
      <c r="AG12" s="86"/>
      <c r="AH12" s="77"/>
      <c r="AI12" s="87"/>
      <c r="AJ12" s="46"/>
      <c r="AK12" s="77"/>
      <c r="AL12" s="78"/>
      <c r="AM12" s="79"/>
      <c r="AN12" s="80"/>
      <c r="AO12" s="80"/>
      <c r="AP12" s="61"/>
      <c r="AQ12" s="62"/>
      <c r="AR12" s="81"/>
      <c r="AS12" s="81"/>
      <c r="AT12" s="81"/>
      <c r="AU12" s="81"/>
      <c r="AV12" s="82"/>
      <c r="AW12" s="83"/>
      <c r="AX12" s="83"/>
      <c r="AZ12" s="66">
        <f t="shared" si="12"/>
        <v>0</v>
      </c>
    </row>
    <row r="13" spans="1:52" s="66" customFormat="1" ht="39.75" customHeight="1" thickBot="1" x14ac:dyDescent="0.2">
      <c r="A13" s="96"/>
      <c r="B13" s="108"/>
      <c r="C13" s="347"/>
      <c r="D13" s="345"/>
      <c r="E13" s="342"/>
      <c r="F13" s="342"/>
      <c r="G13" s="97"/>
      <c r="H13" s="207"/>
      <c r="I13" s="290"/>
      <c r="J13" s="295"/>
      <c r="K13" s="295"/>
      <c r="L13" s="42"/>
      <c r="M13" s="147"/>
      <c r="N13" s="94">
        <f t="shared" si="0"/>
        <v>0</v>
      </c>
      <c r="O13" s="125">
        <v>1</v>
      </c>
      <c r="P13" s="319"/>
      <c r="Q13" s="319"/>
      <c r="R13" s="319"/>
      <c r="S13" s="114"/>
      <c r="T13" s="70"/>
      <c r="U13" s="71">
        <f t="shared" si="14"/>
        <v>0</v>
      </c>
      <c r="V13" s="72">
        <f t="shared" si="2"/>
        <v>0</v>
      </c>
      <c r="W13" s="294"/>
      <c r="X13" s="294"/>
      <c r="Y13" s="306"/>
      <c r="Z13" s="119"/>
      <c r="AA13" s="230"/>
      <c r="AB13" s="71" t="e">
        <f t="shared" si="3"/>
        <v>#DIV/0!</v>
      </c>
      <c r="AC13" s="72" t="e">
        <f t="shared" si="4"/>
        <v>#DIV/0!</v>
      </c>
      <c r="AD13" s="124"/>
      <c r="AE13" s="71" t="e">
        <f t="shared" si="5"/>
        <v>#DIV/0!</v>
      </c>
      <c r="AF13" s="76"/>
      <c r="AG13" s="54"/>
      <c r="AH13" s="77" t="e">
        <f t="shared" si="6"/>
        <v>#DIV/0!</v>
      </c>
      <c r="AI13" s="56">
        <v>10</v>
      </c>
      <c r="AJ13" s="56">
        <v>10</v>
      </c>
      <c r="AK13" s="56">
        <v>45</v>
      </c>
      <c r="AL13" s="57" t="e">
        <f t="shared" si="7"/>
        <v>#DIV/0!</v>
      </c>
      <c r="AM13" s="55" t="e">
        <f t="shared" si="8"/>
        <v>#DIV/0!</v>
      </c>
      <c r="AN13" s="78" t="e">
        <f t="shared" si="9"/>
        <v>#DIV/0!</v>
      </c>
      <c r="AO13" s="301"/>
      <c r="AP13" s="318"/>
      <c r="AQ13" s="318">
        <v>2</v>
      </c>
      <c r="AR13" s="61"/>
      <c r="AS13" s="289"/>
      <c r="AT13" s="81"/>
      <c r="AU13" s="294"/>
      <c r="AV13" s="81"/>
      <c r="AW13" s="81"/>
      <c r="AX13" s="82"/>
      <c r="AY13" s="83">
        <f t="shared" si="11"/>
        <v>0</v>
      </c>
      <c r="AZ13" s="83">
        <f t="shared" si="12"/>
        <v>0</v>
      </c>
    </row>
    <row r="14" spans="1:52" s="66" customFormat="1" ht="21.95" customHeight="1" thickBot="1" x14ac:dyDescent="0.2">
      <c r="A14" s="96"/>
      <c r="B14" s="91"/>
      <c r="C14" s="352" t="s">
        <v>3</v>
      </c>
      <c r="D14" s="353"/>
      <c r="E14" s="353"/>
      <c r="F14" s="353"/>
      <c r="G14" s="354"/>
      <c r="H14" s="195"/>
      <c r="I14" s="84"/>
      <c r="J14" s="276"/>
      <c r="K14" s="84"/>
      <c r="L14" s="84"/>
      <c r="M14" s="84"/>
      <c r="N14" s="168">
        <f>I14*I13+J14*J13+K14*K13+L14*L13+M14*M13</f>
        <v>0</v>
      </c>
      <c r="O14" s="44"/>
      <c r="P14" s="45"/>
      <c r="Q14" s="46"/>
      <c r="R14" s="46"/>
      <c r="S14" s="47"/>
      <c r="T14" s="70"/>
      <c r="U14" s="71"/>
      <c r="V14" s="72"/>
      <c r="W14" s="150"/>
      <c r="X14" s="85"/>
      <c r="Y14" s="151"/>
      <c r="Z14" s="85"/>
      <c r="AA14" s="74"/>
      <c r="AB14" s="75"/>
      <c r="AC14" s="72"/>
      <c r="AD14" s="71"/>
      <c r="AE14" s="71"/>
      <c r="AF14" s="152"/>
      <c r="AG14" s="86"/>
      <c r="AH14" s="77"/>
      <c r="AI14" s="87"/>
      <c r="AJ14" s="46"/>
      <c r="AK14" s="77"/>
      <c r="AL14" s="78"/>
      <c r="AM14" s="79"/>
      <c r="AN14" s="80"/>
      <c r="AO14" s="80"/>
      <c r="AP14" s="61"/>
      <c r="AQ14" s="62"/>
      <c r="AR14" s="81"/>
      <c r="AS14" s="81"/>
      <c r="AT14" s="81"/>
      <c r="AU14" s="81"/>
      <c r="AV14" s="82"/>
      <c r="AW14" s="83"/>
      <c r="AX14" s="83"/>
      <c r="AZ14" s="66">
        <f t="shared" si="12"/>
        <v>0</v>
      </c>
    </row>
    <row r="15" spans="1:52" s="66" customFormat="1" ht="39.75" customHeight="1" thickBot="1" x14ac:dyDescent="0.2">
      <c r="A15" s="96"/>
      <c r="B15" s="108"/>
      <c r="C15" s="345"/>
      <c r="D15" s="40"/>
      <c r="E15" s="40"/>
      <c r="F15" s="350"/>
      <c r="G15" s="334"/>
      <c r="H15" s="207"/>
      <c r="I15" s="290"/>
      <c r="J15" s="41"/>
      <c r="K15" s="41"/>
      <c r="L15" s="42"/>
      <c r="M15" s="147"/>
      <c r="N15" s="94">
        <f t="shared" si="0"/>
        <v>0</v>
      </c>
      <c r="O15" s="125">
        <v>1</v>
      </c>
      <c r="P15" s="293"/>
      <c r="Q15" s="245"/>
      <c r="R15" s="245"/>
      <c r="S15" s="114"/>
      <c r="T15" s="70"/>
      <c r="U15" s="71">
        <f t="shared" si="14"/>
        <v>0</v>
      </c>
      <c r="V15" s="72">
        <f t="shared" si="2"/>
        <v>0</v>
      </c>
      <c r="W15" s="294"/>
      <c r="X15" s="201"/>
      <c r="Y15" s="231"/>
      <c r="Z15" s="201"/>
      <c r="AA15" s="74"/>
      <c r="AB15" s="75" t="e">
        <f t="shared" si="3"/>
        <v>#DIV/0!</v>
      </c>
      <c r="AC15" s="72" t="e">
        <f t="shared" si="4"/>
        <v>#DIV/0!</v>
      </c>
      <c r="AD15" s="124"/>
      <c r="AE15" s="71" t="e">
        <f t="shared" si="5"/>
        <v>#DIV/0!</v>
      </c>
      <c r="AF15" s="76"/>
      <c r="AG15" s="54"/>
      <c r="AH15" s="77" t="e">
        <f t="shared" si="6"/>
        <v>#DIV/0!</v>
      </c>
      <c r="AI15" s="56">
        <v>10</v>
      </c>
      <c r="AJ15" s="56">
        <v>10</v>
      </c>
      <c r="AK15" s="56">
        <v>45</v>
      </c>
      <c r="AL15" s="57" t="e">
        <f t="shared" si="7"/>
        <v>#DIV/0!</v>
      </c>
      <c r="AM15" s="55" t="e">
        <f t="shared" si="8"/>
        <v>#DIV/0!</v>
      </c>
      <c r="AN15" s="78" t="e">
        <f t="shared" si="9"/>
        <v>#DIV/0!</v>
      </c>
      <c r="AO15" s="301"/>
      <c r="AP15" s="80">
        <f t="shared" si="10"/>
        <v>1</v>
      </c>
      <c r="AQ15" s="80">
        <f t="shared" si="10"/>
        <v>2</v>
      </c>
      <c r="AR15" s="277"/>
      <c r="AS15" s="62"/>
      <c r="AT15" s="81"/>
      <c r="AU15" s="81"/>
      <c r="AV15" s="81"/>
      <c r="AW15" s="81"/>
      <c r="AX15" s="82"/>
      <c r="AY15" s="83">
        <f t="shared" si="11"/>
        <v>0</v>
      </c>
      <c r="AZ15" s="83">
        <f t="shared" si="12"/>
        <v>0</v>
      </c>
    </row>
    <row r="16" spans="1:52" s="66" customFormat="1" ht="21" customHeight="1" thickBot="1" x14ac:dyDescent="0.2">
      <c r="A16" s="96"/>
      <c r="B16" s="91"/>
      <c r="C16" s="352" t="s">
        <v>3</v>
      </c>
      <c r="D16" s="353"/>
      <c r="E16" s="353"/>
      <c r="F16" s="353"/>
      <c r="G16" s="402"/>
      <c r="H16" s="195"/>
      <c r="I16" s="84"/>
      <c r="J16" s="84"/>
      <c r="K16" s="276"/>
      <c r="L16" s="84"/>
      <c r="M16" s="84"/>
      <c r="N16" s="168">
        <f>I16*I15+J16*J15+K16*K15+L16*L15+M16*M15</f>
        <v>0</v>
      </c>
      <c r="O16" s="44"/>
      <c r="P16" s="45"/>
      <c r="Q16" s="46"/>
      <c r="R16" s="46"/>
      <c r="S16" s="47"/>
      <c r="T16" s="70"/>
      <c r="U16" s="71"/>
      <c r="V16" s="72"/>
      <c r="W16" s="150"/>
      <c r="X16" s="85"/>
      <c r="Y16" s="151"/>
      <c r="Z16" s="85"/>
      <c r="AA16" s="74"/>
      <c r="AB16" s="75"/>
      <c r="AC16" s="72"/>
      <c r="AD16" s="71"/>
      <c r="AE16" s="71"/>
      <c r="AF16" s="152"/>
      <c r="AG16" s="86"/>
      <c r="AH16" s="77"/>
      <c r="AI16" s="87"/>
      <c r="AJ16" s="46"/>
      <c r="AK16" s="77"/>
      <c r="AL16" s="78"/>
      <c r="AM16" s="79"/>
      <c r="AN16" s="80"/>
      <c r="AO16" s="80"/>
      <c r="AP16" s="61"/>
      <c r="AQ16" s="62"/>
      <c r="AR16" s="81"/>
      <c r="AS16" s="81"/>
      <c r="AT16" s="81"/>
      <c r="AU16" s="81"/>
      <c r="AV16" s="82"/>
      <c r="AW16" s="83"/>
      <c r="AX16" s="83"/>
      <c r="AZ16" s="66">
        <f t="shared" si="12"/>
        <v>0</v>
      </c>
    </row>
    <row r="17" spans="1:52" s="66" customFormat="1" ht="39.75" customHeight="1" thickBot="1" x14ac:dyDescent="0.2">
      <c r="A17" s="96"/>
      <c r="B17" s="108"/>
      <c r="C17" s="342"/>
      <c r="D17" s="349"/>
      <c r="E17" s="350"/>
      <c r="F17" s="346"/>
      <c r="G17" s="97"/>
      <c r="H17" s="207"/>
      <c r="I17" s="290"/>
      <c r="J17" s="295"/>
      <c r="K17" s="41"/>
      <c r="L17" s="42"/>
      <c r="M17" s="68"/>
      <c r="N17" s="69">
        <f t="shared" si="0"/>
        <v>0</v>
      </c>
      <c r="O17" s="125">
        <v>1</v>
      </c>
      <c r="P17" s="112"/>
      <c r="Q17" s="287"/>
      <c r="R17" s="113"/>
      <c r="S17" s="120"/>
      <c r="T17" s="70"/>
      <c r="U17" s="71">
        <f t="shared" si="14"/>
        <v>0</v>
      </c>
      <c r="V17" s="72">
        <f t="shared" si="2"/>
        <v>0</v>
      </c>
      <c r="W17" s="117"/>
      <c r="X17" s="288"/>
      <c r="Y17" s="117"/>
      <c r="Z17" s="117"/>
      <c r="AA17" s="74"/>
      <c r="AB17" s="75" t="e">
        <f t="shared" si="3"/>
        <v>#DIV/0!</v>
      </c>
      <c r="AC17" s="72" t="e">
        <f t="shared" si="4"/>
        <v>#DIV/0!</v>
      </c>
      <c r="AD17" s="124"/>
      <c r="AE17" s="71" t="e">
        <f t="shared" si="5"/>
        <v>#DIV/0!</v>
      </c>
      <c r="AF17" s="76"/>
      <c r="AG17" s="54"/>
      <c r="AH17" s="77" t="e">
        <f t="shared" si="6"/>
        <v>#DIV/0!</v>
      </c>
      <c r="AI17" s="56">
        <v>10</v>
      </c>
      <c r="AJ17" s="56">
        <v>10</v>
      </c>
      <c r="AK17" s="56">
        <v>45</v>
      </c>
      <c r="AL17" s="57" t="e">
        <f t="shared" si="7"/>
        <v>#DIV/0!</v>
      </c>
      <c r="AM17" s="55" t="e">
        <f t="shared" si="8"/>
        <v>#DIV/0!</v>
      </c>
      <c r="AN17" s="78" t="e">
        <f t="shared" si="9"/>
        <v>#DIV/0!</v>
      </c>
      <c r="AO17" s="79"/>
      <c r="AP17" s="318">
        <v>1</v>
      </c>
      <c r="AQ17" s="80">
        <f t="shared" si="10"/>
        <v>2</v>
      </c>
      <c r="AR17" s="61"/>
      <c r="AS17" s="62"/>
      <c r="AT17" s="81"/>
      <c r="AU17" s="294"/>
      <c r="AV17" s="81"/>
      <c r="AW17" s="81"/>
      <c r="AX17" s="82"/>
      <c r="AY17" s="83">
        <f t="shared" si="11"/>
        <v>0</v>
      </c>
      <c r="AZ17" s="83">
        <f t="shared" si="12"/>
        <v>0</v>
      </c>
    </row>
    <row r="18" spans="1:52" s="66" customFormat="1" ht="21" customHeight="1" thickBot="1" x14ac:dyDescent="0.2">
      <c r="A18" s="96"/>
      <c r="B18" s="91"/>
      <c r="C18" s="352" t="s">
        <v>3</v>
      </c>
      <c r="D18" s="353"/>
      <c r="E18" s="353"/>
      <c r="F18" s="353"/>
      <c r="G18" s="402"/>
      <c r="H18" s="195"/>
      <c r="I18" s="84"/>
      <c r="J18" s="84"/>
      <c r="K18" s="276"/>
      <c r="L18" s="84"/>
      <c r="M18" s="84"/>
      <c r="N18" s="168">
        <f>I18*I17+J18*J17+K18*K17+L18*L17+M18*M17</f>
        <v>0</v>
      </c>
      <c r="O18" s="44"/>
      <c r="P18" s="45"/>
      <c r="Q18" s="46"/>
      <c r="R18" s="46"/>
      <c r="S18" s="47"/>
      <c r="T18" s="70"/>
      <c r="U18" s="71"/>
      <c r="V18" s="72"/>
      <c r="W18" s="150"/>
      <c r="X18" s="85"/>
      <c r="Y18" s="151"/>
      <c r="Z18" s="85"/>
      <c r="AA18" s="74"/>
      <c r="AB18" s="75"/>
      <c r="AC18" s="72"/>
      <c r="AD18" s="71"/>
      <c r="AE18" s="71"/>
      <c r="AF18" s="152"/>
      <c r="AG18" s="86"/>
      <c r="AH18" s="77"/>
      <c r="AI18" s="87"/>
      <c r="AJ18" s="46"/>
      <c r="AK18" s="77"/>
      <c r="AL18" s="78"/>
      <c r="AM18" s="79"/>
      <c r="AN18" s="80"/>
      <c r="AO18" s="80"/>
      <c r="AP18" s="61"/>
      <c r="AQ18" s="62"/>
      <c r="AR18" s="81"/>
      <c r="AS18" s="81"/>
      <c r="AT18" s="81"/>
      <c r="AU18" s="81"/>
      <c r="AV18" s="82"/>
      <c r="AW18" s="83"/>
      <c r="AX18" s="83"/>
      <c r="AZ18" s="66">
        <f t="shared" ref="AZ18" si="15">(AT18*I18)+(AU18*J18)+(AV18*K18)+(AW18*L18)+(AX18*M18)</f>
        <v>0</v>
      </c>
    </row>
    <row r="19" spans="1:52" s="66" customFormat="1" ht="39.75" customHeight="1" thickBot="1" x14ac:dyDescent="0.2">
      <c r="A19" s="96"/>
      <c r="B19" s="108"/>
      <c r="C19" s="342"/>
      <c r="D19" s="345"/>
      <c r="E19" s="346"/>
      <c r="F19" s="40"/>
      <c r="G19" s="97"/>
      <c r="H19" s="207"/>
      <c r="I19" s="92"/>
      <c r="J19" s="295"/>
      <c r="K19" s="295"/>
      <c r="L19" s="42"/>
      <c r="M19" s="147"/>
      <c r="N19" s="94">
        <f t="shared" si="0"/>
        <v>0</v>
      </c>
      <c r="O19" s="125">
        <v>1</v>
      </c>
      <c r="P19" s="112"/>
      <c r="Q19" s="319"/>
      <c r="R19" s="319"/>
      <c r="S19" s="120"/>
      <c r="T19" s="70"/>
      <c r="U19" s="71">
        <f t="shared" si="14"/>
        <v>0</v>
      </c>
      <c r="V19" s="72">
        <f t="shared" si="2"/>
        <v>0</v>
      </c>
      <c r="W19" s="201"/>
      <c r="X19" s="294"/>
      <c r="Y19" s="288"/>
      <c r="Z19" s="201"/>
      <c r="AA19" s="74"/>
      <c r="AB19" s="75" t="e">
        <f t="shared" si="3"/>
        <v>#DIV/0!</v>
      </c>
      <c r="AC19" s="72" t="e">
        <f t="shared" si="4"/>
        <v>#DIV/0!</v>
      </c>
      <c r="AD19" s="124"/>
      <c r="AE19" s="71" t="e">
        <f t="shared" si="5"/>
        <v>#DIV/0!</v>
      </c>
      <c r="AF19" s="76"/>
      <c r="AG19" s="54"/>
      <c r="AH19" s="77" t="e">
        <f t="shared" si="6"/>
        <v>#DIV/0!</v>
      </c>
      <c r="AI19" s="56">
        <v>10</v>
      </c>
      <c r="AJ19" s="56">
        <v>10</v>
      </c>
      <c r="AK19" s="56">
        <v>45</v>
      </c>
      <c r="AL19" s="57" t="e">
        <f t="shared" si="7"/>
        <v>#DIV/0!</v>
      </c>
      <c r="AM19" s="55" t="e">
        <f t="shared" si="8"/>
        <v>#DIV/0!</v>
      </c>
      <c r="AN19" s="78" t="e">
        <f t="shared" si="9"/>
        <v>#DIV/0!</v>
      </c>
      <c r="AO19" s="79"/>
      <c r="AP19" s="318">
        <v>1</v>
      </c>
      <c r="AQ19" s="318">
        <v>3</v>
      </c>
      <c r="AR19" s="61"/>
      <c r="AS19" s="62"/>
      <c r="AT19" s="294"/>
      <c r="AU19" s="294"/>
      <c r="AV19" s="294"/>
      <c r="AW19" s="81"/>
      <c r="AX19" s="82"/>
      <c r="AY19" s="83">
        <f t="shared" si="11"/>
        <v>0</v>
      </c>
      <c r="AZ19" s="83">
        <f t="shared" si="12"/>
        <v>0</v>
      </c>
    </row>
    <row r="20" spans="1:52" s="66" customFormat="1" ht="21" customHeight="1" thickBot="1" x14ac:dyDescent="0.2">
      <c r="A20" s="96"/>
      <c r="B20" s="91"/>
      <c r="C20" s="352" t="s">
        <v>3</v>
      </c>
      <c r="D20" s="353"/>
      <c r="E20" s="353"/>
      <c r="F20" s="353"/>
      <c r="G20" s="402"/>
      <c r="H20" s="195"/>
      <c r="I20" s="84"/>
      <c r="J20" s="84"/>
      <c r="K20" s="276"/>
      <c r="L20" s="84"/>
      <c r="M20" s="84"/>
      <c r="N20" s="168">
        <f>I20*I19+J20*J19+K20*K19+L20*L19+M20*M19</f>
        <v>0</v>
      </c>
      <c r="O20" s="44"/>
      <c r="P20" s="45"/>
      <c r="Q20" s="46"/>
      <c r="R20" s="46"/>
      <c r="S20" s="47"/>
      <c r="T20" s="70"/>
      <c r="U20" s="71"/>
      <c r="V20" s="72"/>
      <c r="W20" s="150"/>
      <c r="X20" s="85"/>
      <c r="Y20" s="151"/>
      <c r="Z20" s="85"/>
      <c r="AA20" s="74"/>
      <c r="AB20" s="75"/>
      <c r="AC20" s="72"/>
      <c r="AD20" s="71"/>
      <c r="AE20" s="71"/>
      <c r="AF20" s="152"/>
      <c r="AG20" s="86"/>
      <c r="AH20" s="77"/>
      <c r="AI20" s="87"/>
      <c r="AJ20" s="46"/>
      <c r="AK20" s="77"/>
      <c r="AL20" s="78"/>
      <c r="AM20" s="79"/>
      <c r="AN20" s="80"/>
      <c r="AO20" s="80"/>
      <c r="AP20" s="61"/>
      <c r="AQ20" s="62"/>
      <c r="AR20" s="81"/>
      <c r="AS20" s="81"/>
      <c r="AT20" s="81"/>
      <c r="AU20" s="81"/>
      <c r="AV20" s="82"/>
      <c r="AW20" s="83"/>
      <c r="AX20" s="83"/>
      <c r="AZ20" s="66">
        <f t="shared" si="12"/>
        <v>0</v>
      </c>
    </row>
    <row r="21" spans="1:52" s="66" customFormat="1" ht="39.75" customHeight="1" thickBot="1" x14ac:dyDescent="0.2">
      <c r="A21" s="96"/>
      <c r="B21" s="108"/>
      <c r="C21" s="345"/>
      <c r="D21" s="349"/>
      <c r="E21" s="347"/>
      <c r="F21" s="40"/>
      <c r="G21" s="335"/>
      <c r="H21" s="207"/>
      <c r="I21" s="290"/>
      <c r="J21" s="295"/>
      <c r="K21" s="295"/>
      <c r="L21" s="41"/>
      <c r="M21" s="147"/>
      <c r="N21" s="94">
        <f t="shared" si="0"/>
        <v>0</v>
      </c>
      <c r="O21" s="125">
        <v>1</v>
      </c>
      <c r="P21" s="273"/>
      <c r="Q21" s="287"/>
      <c r="R21" s="287"/>
      <c r="S21" s="120"/>
      <c r="T21" s="70"/>
      <c r="U21" s="71">
        <f t="shared" si="14"/>
        <v>0</v>
      </c>
      <c r="V21" s="72">
        <f t="shared" si="2"/>
        <v>0</v>
      </c>
      <c r="W21" s="308"/>
      <c r="X21" s="294"/>
      <c r="Y21" s="288"/>
      <c r="Z21" s="117"/>
      <c r="AA21" s="74"/>
      <c r="AB21" s="75" t="e">
        <f t="shared" si="3"/>
        <v>#DIV/0!</v>
      </c>
      <c r="AC21" s="72" t="e">
        <f t="shared" si="4"/>
        <v>#DIV/0!</v>
      </c>
      <c r="AD21" s="124"/>
      <c r="AE21" s="71" t="e">
        <f t="shared" si="5"/>
        <v>#DIV/0!</v>
      </c>
      <c r="AF21" s="76"/>
      <c r="AG21" s="54"/>
      <c r="AH21" s="77" t="e">
        <f t="shared" si="6"/>
        <v>#DIV/0!</v>
      </c>
      <c r="AI21" s="56">
        <v>10</v>
      </c>
      <c r="AJ21" s="56">
        <v>10</v>
      </c>
      <c r="AK21" s="56">
        <v>45</v>
      </c>
      <c r="AL21" s="57" t="e">
        <f t="shared" si="7"/>
        <v>#DIV/0!</v>
      </c>
      <c r="AM21" s="55" t="e">
        <f t="shared" si="8"/>
        <v>#DIV/0!</v>
      </c>
      <c r="AN21" s="78" t="e">
        <f t="shared" si="9"/>
        <v>#DIV/0!</v>
      </c>
      <c r="AO21" s="79"/>
      <c r="AP21" s="318">
        <v>2</v>
      </c>
      <c r="AQ21" s="318">
        <v>2</v>
      </c>
      <c r="AR21" s="277"/>
      <c r="AS21" s="289"/>
      <c r="AT21" s="81"/>
      <c r="AU21" s="294"/>
      <c r="AV21" s="294"/>
      <c r="AW21" s="81"/>
      <c r="AX21" s="82"/>
      <c r="AY21" s="83">
        <f t="shared" si="11"/>
        <v>0</v>
      </c>
      <c r="AZ21" s="83">
        <f t="shared" si="12"/>
        <v>0</v>
      </c>
    </row>
    <row r="22" spans="1:52" s="66" customFormat="1" ht="21" customHeight="1" thickBot="1" x14ac:dyDescent="0.2">
      <c r="A22" s="96"/>
      <c r="B22" s="91"/>
      <c r="C22" s="352" t="s">
        <v>3</v>
      </c>
      <c r="D22" s="353"/>
      <c r="E22" s="353"/>
      <c r="F22" s="353"/>
      <c r="G22" s="403"/>
      <c r="H22" s="195"/>
      <c r="I22" s="276"/>
      <c r="J22" s="276"/>
      <c r="K22" s="84"/>
      <c r="L22" s="84"/>
      <c r="M22" s="84"/>
      <c r="N22" s="168">
        <f>I22*I21+J22*J21+K22*K21+L22*L21+M22*M21</f>
        <v>0</v>
      </c>
      <c r="O22" s="44"/>
      <c r="P22" s="45"/>
      <c r="Q22" s="46"/>
      <c r="R22" s="46"/>
      <c r="S22" s="47"/>
      <c r="T22" s="70"/>
      <c r="U22" s="71"/>
      <c r="V22" s="72"/>
      <c r="W22" s="150"/>
      <c r="X22" s="85"/>
      <c r="Y22" s="151"/>
      <c r="Z22" s="85"/>
      <c r="AA22" s="74"/>
      <c r="AB22" s="75"/>
      <c r="AC22" s="72"/>
      <c r="AD22" s="71"/>
      <c r="AE22" s="71"/>
      <c r="AF22" s="152"/>
      <c r="AG22" s="86"/>
      <c r="AH22" s="77"/>
      <c r="AI22" s="87"/>
      <c r="AJ22" s="46"/>
      <c r="AK22" s="77"/>
      <c r="AL22" s="78"/>
      <c r="AM22" s="79"/>
      <c r="AN22" s="80"/>
      <c r="AO22" s="80"/>
      <c r="AP22" s="61"/>
      <c r="AQ22" s="62"/>
      <c r="AR22" s="81"/>
      <c r="AS22" s="81"/>
      <c r="AT22" s="81"/>
      <c r="AU22" s="81"/>
      <c r="AV22" s="82"/>
      <c r="AW22" s="83"/>
      <c r="AX22" s="83"/>
      <c r="AZ22" s="66">
        <f t="shared" si="12"/>
        <v>0</v>
      </c>
    </row>
    <row r="23" spans="1:52" s="66" customFormat="1" ht="39.75" customHeight="1" thickBot="1" x14ac:dyDescent="0.2">
      <c r="A23" s="96"/>
      <c r="B23" s="108"/>
      <c r="C23" s="346"/>
      <c r="D23" s="345"/>
      <c r="E23" s="347"/>
      <c r="F23" s="350"/>
      <c r="G23" s="335"/>
      <c r="H23" s="207"/>
      <c r="I23" s="92"/>
      <c r="J23" s="322"/>
      <c r="K23" s="295"/>
      <c r="L23" s="42"/>
      <c r="M23" s="68"/>
      <c r="N23" s="69">
        <f t="shared" si="0"/>
        <v>0</v>
      </c>
      <c r="O23" s="125">
        <v>1</v>
      </c>
      <c r="P23" s="112"/>
      <c r="Q23" s="287"/>
      <c r="R23" s="287"/>
      <c r="S23" s="114"/>
      <c r="T23" s="70"/>
      <c r="U23" s="71">
        <f t="shared" si="14"/>
        <v>0</v>
      </c>
      <c r="V23" s="72">
        <f t="shared" si="2"/>
        <v>0</v>
      </c>
      <c r="W23" s="201"/>
      <c r="X23" s="296"/>
      <c r="Y23" s="288"/>
      <c r="Z23" s="85"/>
      <c r="AA23" s="74"/>
      <c r="AB23" s="75" t="e">
        <f t="shared" si="3"/>
        <v>#DIV/0!</v>
      </c>
      <c r="AC23" s="72" t="e">
        <f t="shared" si="4"/>
        <v>#DIV/0!</v>
      </c>
      <c r="AD23" s="124"/>
      <c r="AE23" s="71" t="e">
        <f t="shared" si="5"/>
        <v>#DIV/0!</v>
      </c>
      <c r="AF23" s="76"/>
      <c r="AG23" s="54"/>
      <c r="AH23" s="77" t="e">
        <f t="shared" si="6"/>
        <v>#DIV/0!</v>
      </c>
      <c r="AI23" s="56">
        <v>10</v>
      </c>
      <c r="AJ23" s="56">
        <v>10</v>
      </c>
      <c r="AK23" s="56">
        <v>45</v>
      </c>
      <c r="AL23" s="57" t="e">
        <f t="shared" si="7"/>
        <v>#DIV/0!</v>
      </c>
      <c r="AM23" s="55" t="e">
        <f t="shared" si="8"/>
        <v>#DIV/0!</v>
      </c>
      <c r="AN23" s="78" t="e">
        <f t="shared" si="9"/>
        <v>#DIV/0!</v>
      </c>
      <c r="AO23" s="79"/>
      <c r="AP23" s="318">
        <v>1</v>
      </c>
      <c r="AQ23" s="318">
        <v>1</v>
      </c>
      <c r="AR23" s="61"/>
      <c r="AS23" s="62"/>
      <c r="AT23" s="81"/>
      <c r="AU23" s="81"/>
      <c r="AV23" s="294"/>
      <c r="AW23" s="81"/>
      <c r="AX23" s="82"/>
      <c r="AY23" s="83">
        <f t="shared" si="11"/>
        <v>0</v>
      </c>
      <c r="AZ23" s="83">
        <f t="shared" si="12"/>
        <v>0</v>
      </c>
    </row>
    <row r="24" spans="1:52" s="66" customFormat="1" ht="21" customHeight="1" thickBot="1" x14ac:dyDescent="0.2">
      <c r="A24" s="96"/>
      <c r="B24" s="91"/>
      <c r="C24" s="352" t="s">
        <v>3</v>
      </c>
      <c r="D24" s="353"/>
      <c r="E24" s="353"/>
      <c r="F24" s="353"/>
      <c r="G24" s="354"/>
      <c r="H24" s="195"/>
      <c r="I24" s="276"/>
      <c r="J24" s="84"/>
      <c r="K24" s="84"/>
      <c r="L24" s="84"/>
      <c r="M24" s="84"/>
      <c r="N24" s="168">
        <f>I24*I23+J24*J23+K24*K23+L24*L23+M24*M23</f>
        <v>0</v>
      </c>
      <c r="O24" s="44"/>
      <c r="P24" s="45"/>
      <c r="Q24" s="46"/>
      <c r="R24" s="46"/>
      <c r="S24" s="47"/>
      <c r="T24" s="70"/>
      <c r="U24" s="71"/>
      <c r="V24" s="72"/>
      <c r="W24" s="150"/>
      <c r="X24" s="85"/>
      <c r="Y24" s="151"/>
      <c r="Z24" s="85"/>
      <c r="AA24" s="74"/>
      <c r="AB24" s="75"/>
      <c r="AC24" s="72"/>
      <c r="AD24" s="71"/>
      <c r="AE24" s="71"/>
      <c r="AF24" s="152"/>
      <c r="AG24" s="86"/>
      <c r="AH24" s="77"/>
      <c r="AI24" s="87"/>
      <c r="AJ24" s="46"/>
      <c r="AK24" s="77"/>
      <c r="AL24" s="78"/>
      <c r="AM24" s="79"/>
      <c r="AN24" s="80"/>
      <c r="AO24" s="80"/>
      <c r="AP24" s="61"/>
      <c r="AQ24" s="62"/>
      <c r="AR24" s="81"/>
      <c r="AS24" s="81"/>
      <c r="AT24" s="81"/>
      <c r="AU24" s="81"/>
      <c r="AV24" s="82"/>
      <c r="AW24" s="83"/>
      <c r="AX24" s="83"/>
      <c r="AZ24" s="66">
        <f t="shared" si="12"/>
        <v>0</v>
      </c>
    </row>
    <row r="25" spans="1:52" s="66" customFormat="1" ht="39.75" customHeight="1" thickBot="1" x14ac:dyDescent="0.2">
      <c r="A25" s="96"/>
      <c r="B25" s="108"/>
      <c r="C25" s="345"/>
      <c r="D25" s="345"/>
      <c r="E25" s="347"/>
      <c r="F25" s="350"/>
      <c r="G25" s="335"/>
      <c r="H25" s="207"/>
      <c r="I25" s="290"/>
      <c r="J25" s="310"/>
      <c r="K25" s="295"/>
      <c r="L25" s="42"/>
      <c r="M25" s="68"/>
      <c r="N25" s="94">
        <f t="shared" si="0"/>
        <v>0</v>
      </c>
      <c r="O25" s="125">
        <v>1</v>
      </c>
      <c r="P25" s="273"/>
      <c r="Q25" s="321"/>
      <c r="R25" s="321"/>
      <c r="S25" s="120"/>
      <c r="T25" s="70"/>
      <c r="U25" s="71">
        <f t="shared" si="14"/>
        <v>0</v>
      </c>
      <c r="V25" s="72">
        <f t="shared" si="2"/>
        <v>0</v>
      </c>
      <c r="W25" s="294"/>
      <c r="X25" s="294"/>
      <c r="Y25" s="294"/>
      <c r="Z25" s="230"/>
      <c r="AA25" s="85"/>
      <c r="AB25" s="71" t="e">
        <f t="shared" si="3"/>
        <v>#DIV/0!</v>
      </c>
      <c r="AC25" s="72" t="e">
        <f t="shared" si="4"/>
        <v>#DIV/0!</v>
      </c>
      <c r="AD25" s="124"/>
      <c r="AE25" s="71" t="e">
        <f t="shared" si="5"/>
        <v>#DIV/0!</v>
      </c>
      <c r="AF25" s="76"/>
      <c r="AG25" s="54"/>
      <c r="AH25" s="77" t="e">
        <f t="shared" si="6"/>
        <v>#DIV/0!</v>
      </c>
      <c r="AI25" s="56">
        <v>10</v>
      </c>
      <c r="AJ25" s="56">
        <v>10</v>
      </c>
      <c r="AK25" s="56">
        <v>45</v>
      </c>
      <c r="AL25" s="57" t="e">
        <f t="shared" si="7"/>
        <v>#DIV/0!</v>
      </c>
      <c r="AM25" s="55" t="e">
        <f t="shared" si="8"/>
        <v>#DIV/0!</v>
      </c>
      <c r="AN25" s="78" t="e">
        <f t="shared" si="9"/>
        <v>#DIV/0!</v>
      </c>
      <c r="AO25" s="79"/>
      <c r="AP25" s="318">
        <v>2</v>
      </c>
      <c r="AQ25" s="318">
        <v>1</v>
      </c>
      <c r="AR25" s="277"/>
      <c r="AS25" s="62"/>
      <c r="AT25" s="81"/>
      <c r="AU25" s="294"/>
      <c r="AV25" s="294"/>
      <c r="AW25" s="81"/>
      <c r="AX25" s="82"/>
      <c r="AY25" s="83">
        <f t="shared" si="11"/>
        <v>0</v>
      </c>
      <c r="AZ25" s="83">
        <f t="shared" si="12"/>
        <v>0</v>
      </c>
    </row>
    <row r="26" spans="1:52" s="66" customFormat="1" ht="21" customHeight="1" thickBot="1" x14ac:dyDescent="0.2">
      <c r="A26" s="96"/>
      <c r="B26" s="91"/>
      <c r="C26" s="352" t="s">
        <v>3</v>
      </c>
      <c r="D26" s="353"/>
      <c r="E26" s="353"/>
      <c r="F26" s="353"/>
      <c r="G26" s="354"/>
      <c r="H26" s="195"/>
      <c r="I26" s="84"/>
      <c r="J26" s="84"/>
      <c r="K26" s="84"/>
      <c r="L26" s="84"/>
      <c r="M26" s="84"/>
      <c r="N26" s="168">
        <f>I26*I25+J26*J25+K26*K25+L26*L25+M26*M25</f>
        <v>0</v>
      </c>
      <c r="O26" s="44"/>
      <c r="P26" s="45"/>
      <c r="Q26" s="46"/>
      <c r="R26" s="46"/>
      <c r="S26" s="47"/>
      <c r="T26" s="70"/>
      <c r="U26" s="71"/>
      <c r="V26" s="72"/>
      <c r="W26" s="150"/>
      <c r="X26" s="85"/>
      <c r="Y26" s="151"/>
      <c r="Z26" s="85"/>
      <c r="AA26" s="74"/>
      <c r="AB26" s="75"/>
      <c r="AC26" s="72"/>
      <c r="AD26" s="71"/>
      <c r="AE26" s="71"/>
      <c r="AF26" s="152"/>
      <c r="AG26" s="86"/>
      <c r="AH26" s="77"/>
      <c r="AI26" s="87"/>
      <c r="AJ26" s="46"/>
      <c r="AK26" s="77"/>
      <c r="AL26" s="78"/>
      <c r="AM26" s="79"/>
      <c r="AN26" s="80"/>
      <c r="AO26" s="80"/>
      <c r="AP26" s="61"/>
      <c r="AQ26" s="62"/>
      <c r="AR26" s="81"/>
      <c r="AS26" s="81"/>
      <c r="AT26" s="81"/>
      <c r="AU26" s="81"/>
      <c r="AV26" s="82"/>
      <c r="AW26" s="83"/>
      <c r="AX26" s="83"/>
      <c r="AZ26" s="66">
        <f t="shared" si="12"/>
        <v>0</v>
      </c>
    </row>
    <row r="27" spans="1:52" s="66" customFormat="1" ht="39.75" customHeight="1" thickBot="1" x14ac:dyDescent="0.2">
      <c r="A27" s="96"/>
      <c r="B27" s="108"/>
      <c r="C27" s="344"/>
      <c r="D27" s="345"/>
      <c r="E27" s="347"/>
      <c r="F27" s="350"/>
      <c r="G27" s="97"/>
      <c r="H27" s="207"/>
      <c r="I27" s="290"/>
      <c r="J27" s="310"/>
      <c r="K27" s="295"/>
      <c r="L27" s="42"/>
      <c r="M27" s="147"/>
      <c r="N27" s="94">
        <f t="shared" si="0"/>
        <v>0</v>
      </c>
      <c r="O27" s="125">
        <v>1</v>
      </c>
      <c r="P27" s="273"/>
      <c r="Q27" s="287"/>
      <c r="R27" s="326"/>
      <c r="S27" s="120"/>
      <c r="T27" s="70"/>
      <c r="U27" s="71">
        <f t="shared" si="14"/>
        <v>0</v>
      </c>
      <c r="V27" s="72">
        <f t="shared" si="2"/>
        <v>0</v>
      </c>
      <c r="W27" s="294"/>
      <c r="X27" s="294"/>
      <c r="Y27" s="308"/>
      <c r="Z27" s="85"/>
      <c r="AA27" s="74"/>
      <c r="AB27" s="75" t="e">
        <f t="shared" si="3"/>
        <v>#DIV/0!</v>
      </c>
      <c r="AC27" s="72" t="e">
        <f t="shared" si="4"/>
        <v>#DIV/0!</v>
      </c>
      <c r="AD27" s="124"/>
      <c r="AE27" s="71" t="e">
        <f t="shared" si="5"/>
        <v>#DIV/0!</v>
      </c>
      <c r="AF27" s="76"/>
      <c r="AG27" s="54"/>
      <c r="AH27" s="77" t="e">
        <f t="shared" si="6"/>
        <v>#DIV/0!</v>
      </c>
      <c r="AI27" s="56">
        <v>10</v>
      </c>
      <c r="AJ27" s="56">
        <v>10</v>
      </c>
      <c r="AK27" s="56">
        <v>45</v>
      </c>
      <c r="AL27" s="57" t="e">
        <f t="shared" si="7"/>
        <v>#DIV/0!</v>
      </c>
      <c r="AM27" s="55" t="e">
        <f t="shared" si="8"/>
        <v>#DIV/0!</v>
      </c>
      <c r="AN27" s="78" t="e">
        <f t="shared" si="9"/>
        <v>#DIV/0!</v>
      </c>
      <c r="AO27" s="79"/>
      <c r="AP27" s="318">
        <v>1</v>
      </c>
      <c r="AQ27" s="318">
        <v>1</v>
      </c>
      <c r="AR27" s="277"/>
      <c r="AS27" s="289"/>
      <c r="AT27" s="81"/>
      <c r="AU27" s="294"/>
      <c r="AV27" s="294"/>
      <c r="AW27" s="81"/>
      <c r="AX27" s="82"/>
      <c r="AY27" s="83">
        <f t="shared" si="11"/>
        <v>0</v>
      </c>
      <c r="AZ27" s="83">
        <f t="shared" si="12"/>
        <v>0</v>
      </c>
    </row>
    <row r="28" spans="1:52" s="66" customFormat="1" ht="21" customHeight="1" thickBot="1" x14ac:dyDescent="0.2">
      <c r="A28" s="96"/>
      <c r="B28" s="91"/>
      <c r="C28" s="352" t="s">
        <v>3</v>
      </c>
      <c r="D28" s="353"/>
      <c r="E28" s="353"/>
      <c r="F28" s="353"/>
      <c r="G28" s="354"/>
      <c r="H28" s="195"/>
      <c r="I28" s="276"/>
      <c r="J28" s="84"/>
      <c r="K28" s="84"/>
      <c r="L28" s="84"/>
      <c r="M28" s="84"/>
      <c r="N28" s="168">
        <f>I28*I27+J28*J27+K28*K27+L28*L27+M28*M27</f>
        <v>0</v>
      </c>
      <c r="O28" s="44"/>
      <c r="P28" s="45"/>
      <c r="Q28" s="46"/>
      <c r="R28" s="46"/>
      <c r="S28" s="47"/>
      <c r="T28" s="70"/>
      <c r="U28" s="71"/>
      <c r="V28" s="72"/>
      <c r="W28" s="150"/>
      <c r="X28" s="85"/>
      <c r="Y28" s="151"/>
      <c r="Z28" s="85"/>
      <c r="AA28" s="74"/>
      <c r="AB28" s="75"/>
      <c r="AC28" s="72"/>
      <c r="AD28" s="71"/>
      <c r="AE28" s="71"/>
      <c r="AF28" s="152"/>
      <c r="AG28" s="86"/>
      <c r="AH28" s="77"/>
      <c r="AI28" s="87"/>
      <c r="AJ28" s="46"/>
      <c r="AK28" s="77"/>
      <c r="AL28" s="78"/>
      <c r="AM28" s="79"/>
      <c r="AN28" s="80"/>
      <c r="AO28" s="80"/>
      <c r="AP28" s="61"/>
      <c r="AQ28" s="62"/>
      <c r="AR28" s="81"/>
      <c r="AS28" s="81"/>
      <c r="AT28" s="81"/>
      <c r="AU28" s="81"/>
      <c r="AV28" s="82"/>
      <c r="AW28" s="83"/>
      <c r="AX28" s="83"/>
      <c r="AZ28" s="66">
        <f t="shared" si="12"/>
        <v>0</v>
      </c>
    </row>
    <row r="29" spans="1:52" s="66" customFormat="1" ht="39.75" customHeight="1" thickBot="1" x14ac:dyDescent="0.2">
      <c r="A29" s="96"/>
      <c r="B29" s="108"/>
      <c r="C29" s="345"/>
      <c r="D29" s="347"/>
      <c r="E29" s="349"/>
      <c r="F29" s="342"/>
      <c r="G29" s="335"/>
      <c r="H29" s="334"/>
      <c r="I29" s="290"/>
      <c r="J29" s="310"/>
      <c r="K29" s="295"/>
      <c r="L29" s="42"/>
      <c r="M29" s="147"/>
      <c r="N29" s="94">
        <f t="shared" ref="N29" si="16">SUM(I29:M29)</f>
        <v>0</v>
      </c>
      <c r="O29" s="125">
        <v>1</v>
      </c>
      <c r="P29" s="293"/>
      <c r="Q29" s="287"/>
      <c r="R29" s="319"/>
      <c r="S29" s="114"/>
      <c r="T29" s="70"/>
      <c r="U29" s="71">
        <f t="shared" ref="U29" si="17">ROUND(((P29*I29)+(Q29*J29)+(R29*K29)+(S29*L29)+(T29*M29))*O29,2)</f>
        <v>0</v>
      </c>
      <c r="V29" s="72">
        <f t="shared" ref="V29" si="18">IF(U29&gt;=15,15,U29)</f>
        <v>0</v>
      </c>
      <c r="W29" s="294"/>
      <c r="X29" s="317"/>
      <c r="Y29" s="306"/>
      <c r="Z29" s="119"/>
      <c r="AA29" s="74"/>
      <c r="AB29" s="75" t="e">
        <f t="shared" ref="AB29" si="19">ROUND((((W29*I29)+(X29*J29)+(Y29*K29)+(Z29*L29)+(AA29*M29))/$I$2),2)*13</f>
        <v>#DIV/0!</v>
      </c>
      <c r="AC29" s="72" t="e">
        <f t="shared" ref="AC29" si="20">IF(AB29&gt;=13,13,AB29)</f>
        <v>#DIV/0!</v>
      </c>
      <c r="AD29" s="124"/>
      <c r="AE29" s="71" t="e">
        <f t="shared" ref="AE29" si="21">IF((AC29+AD29)&gt;=15,15,(AC29+AD29))</f>
        <v>#DIV/0!</v>
      </c>
      <c r="AF29" s="76"/>
      <c r="AG29" s="54"/>
      <c r="AH29" s="77" t="e">
        <f t="shared" ref="AH29" si="22">IF((V29+AE29+AF29)&gt;=30,30,(V29+AE29+AF29))</f>
        <v>#DIV/0!</v>
      </c>
      <c r="AI29" s="56">
        <v>10</v>
      </c>
      <c r="AJ29" s="56">
        <v>10</v>
      </c>
      <c r="AK29" s="56">
        <v>45</v>
      </c>
      <c r="AL29" s="57" t="e">
        <f t="shared" ref="AL29" si="23">V29+AE29+AF29+AI29+AJ29+AK29+AG29</f>
        <v>#DIV/0!</v>
      </c>
      <c r="AM29" s="55" t="e">
        <f t="shared" ref="AM29" si="24">IF(AH29+AI29+AJ29+AK29+AG29&gt;=95,95,AH29+AI29+AJ29+AK29+AG29)</f>
        <v>#DIV/0!</v>
      </c>
      <c r="AN29" s="78" t="e">
        <f t="shared" ref="AN29" si="25">-((50-((176+(45+(50-AH29)))))/200)</f>
        <v>#DIV/0!</v>
      </c>
      <c r="AO29" s="301"/>
      <c r="AP29" s="80">
        <f t="shared" ref="AP29:AQ29" si="26">100%+AO29</f>
        <v>1</v>
      </c>
      <c r="AQ29" s="80">
        <f t="shared" si="26"/>
        <v>2</v>
      </c>
      <c r="AR29" s="61"/>
      <c r="AS29" s="289"/>
      <c r="AT29" s="294"/>
      <c r="AU29" s="294"/>
      <c r="AV29" s="294"/>
      <c r="AW29" s="81"/>
      <c r="AX29" s="82"/>
      <c r="AY29" s="83">
        <f t="shared" ref="AY29" si="27">AT29+AU29+AV29+AW29+AX29</f>
        <v>0</v>
      </c>
      <c r="AZ29" s="83">
        <f t="shared" si="12"/>
        <v>0</v>
      </c>
    </row>
    <row r="30" spans="1:52" s="66" customFormat="1" ht="21" customHeight="1" thickBot="1" x14ac:dyDescent="0.2">
      <c r="A30" s="96"/>
      <c r="B30" s="91"/>
      <c r="C30" s="352" t="s">
        <v>3</v>
      </c>
      <c r="D30" s="353"/>
      <c r="E30" s="353"/>
      <c r="F30" s="353"/>
      <c r="G30" s="354"/>
      <c r="H30" s="195"/>
      <c r="I30" s="276"/>
      <c r="J30" s="84"/>
      <c r="K30" s="84"/>
      <c r="L30" s="84"/>
      <c r="M30" s="84"/>
      <c r="N30" s="168">
        <f>I30*I29+J30*J29+K30*K29+L30*L29+M30*M29</f>
        <v>0</v>
      </c>
      <c r="O30" s="44"/>
      <c r="P30" s="45"/>
      <c r="Q30" s="46"/>
      <c r="R30" s="46"/>
      <c r="S30" s="47"/>
      <c r="T30" s="70"/>
      <c r="U30" s="71"/>
      <c r="V30" s="72"/>
      <c r="W30" s="150"/>
      <c r="X30" s="85"/>
      <c r="Y30" s="151"/>
      <c r="Z30" s="85"/>
      <c r="AA30" s="74"/>
      <c r="AB30" s="75"/>
      <c r="AC30" s="72"/>
      <c r="AD30" s="71"/>
      <c r="AE30" s="71"/>
      <c r="AF30" s="152"/>
      <c r="AG30" s="86"/>
      <c r="AH30" s="77"/>
      <c r="AI30" s="87"/>
      <c r="AJ30" s="46"/>
      <c r="AK30" s="77"/>
      <c r="AL30" s="78"/>
      <c r="AM30" s="79"/>
      <c r="AN30" s="80"/>
      <c r="AO30" s="80"/>
      <c r="AP30" s="61"/>
      <c r="AQ30" s="62"/>
      <c r="AR30" s="81"/>
      <c r="AS30" s="81"/>
      <c r="AT30" s="81"/>
      <c r="AU30" s="81"/>
      <c r="AV30" s="82"/>
      <c r="AW30" s="83"/>
      <c r="AX30" s="83"/>
      <c r="AZ30" s="66">
        <f t="shared" ref="AZ30" si="28">(AT30*I30)+(AU30*J30)+(AV30*K30)+(AW30*L30)+(AX30*M30)</f>
        <v>0</v>
      </c>
    </row>
    <row r="31" spans="1:52" s="66" customFormat="1" ht="39.75" customHeight="1" thickBot="1" x14ac:dyDescent="0.2">
      <c r="A31" s="96"/>
      <c r="B31" s="108"/>
      <c r="C31" s="345"/>
      <c r="D31" s="344"/>
      <c r="E31" s="345"/>
      <c r="F31" s="342"/>
      <c r="G31" s="97"/>
      <c r="H31" s="207"/>
      <c r="I31" s="290"/>
      <c r="J31" s="310"/>
      <c r="K31" s="295"/>
      <c r="L31" s="42"/>
      <c r="M31" s="68"/>
      <c r="N31" s="94">
        <f t="shared" si="0"/>
        <v>0</v>
      </c>
      <c r="O31" s="125">
        <v>1</v>
      </c>
      <c r="P31" s="341"/>
      <c r="Q31" s="340"/>
      <c r="R31" s="319"/>
      <c r="S31" s="114"/>
      <c r="T31" s="70"/>
      <c r="U31" s="71">
        <f t="shared" si="14"/>
        <v>0</v>
      </c>
      <c r="V31" s="72">
        <f t="shared" si="2"/>
        <v>0</v>
      </c>
      <c r="W31" s="315"/>
      <c r="X31" s="288"/>
      <c r="Y31" s="294"/>
      <c r="Z31" s="201"/>
      <c r="AA31" s="74"/>
      <c r="AB31" s="75" t="e">
        <f t="shared" si="3"/>
        <v>#DIV/0!</v>
      </c>
      <c r="AC31" s="72" t="e">
        <f t="shared" si="4"/>
        <v>#DIV/0!</v>
      </c>
      <c r="AD31" s="124"/>
      <c r="AE31" s="71" t="e">
        <f t="shared" si="5"/>
        <v>#DIV/0!</v>
      </c>
      <c r="AF31" s="76"/>
      <c r="AG31" s="54"/>
      <c r="AH31" s="77" t="e">
        <f t="shared" si="6"/>
        <v>#DIV/0!</v>
      </c>
      <c r="AI31" s="56">
        <v>10</v>
      </c>
      <c r="AJ31" s="56">
        <v>10</v>
      </c>
      <c r="AK31" s="56">
        <v>45</v>
      </c>
      <c r="AL31" s="57" t="e">
        <f t="shared" si="7"/>
        <v>#DIV/0!</v>
      </c>
      <c r="AM31" s="55" t="e">
        <f t="shared" si="8"/>
        <v>#DIV/0!</v>
      </c>
      <c r="AN31" s="78" t="e">
        <f t="shared" si="9"/>
        <v>#DIV/0!</v>
      </c>
      <c r="AO31" s="79"/>
      <c r="AP31" s="318">
        <v>1</v>
      </c>
      <c r="AQ31" s="318">
        <v>1</v>
      </c>
      <c r="AR31" s="277"/>
      <c r="AS31" s="62"/>
      <c r="AT31" s="294"/>
      <c r="AU31" s="294"/>
      <c r="AV31" s="294"/>
      <c r="AW31" s="81"/>
      <c r="AX31" s="82"/>
      <c r="AY31" s="83">
        <f t="shared" si="11"/>
        <v>0</v>
      </c>
      <c r="AZ31" s="83">
        <f t="shared" si="12"/>
        <v>0</v>
      </c>
    </row>
    <row r="32" spans="1:52" s="66" customFormat="1" ht="21" customHeight="1" thickBot="1" x14ac:dyDescent="0.2">
      <c r="A32" s="96"/>
      <c r="B32" s="91"/>
      <c r="C32" s="352" t="s">
        <v>3</v>
      </c>
      <c r="D32" s="353"/>
      <c r="E32" s="353"/>
      <c r="F32" s="353"/>
      <c r="G32" s="354"/>
      <c r="H32" s="195"/>
      <c r="I32" s="276"/>
      <c r="J32" s="276"/>
      <c r="K32" s="84"/>
      <c r="L32" s="84"/>
      <c r="M32" s="84"/>
      <c r="N32" s="168">
        <f>I32*I31+J32*J31+K32*K31+L32*L31+M32*M31</f>
        <v>0</v>
      </c>
      <c r="O32" s="44"/>
      <c r="P32" s="45"/>
      <c r="Q32" s="46"/>
      <c r="R32" s="46"/>
      <c r="S32" s="47"/>
      <c r="T32" s="70"/>
      <c r="U32" s="71"/>
      <c r="V32" s="72"/>
      <c r="W32" s="150"/>
      <c r="X32" s="85"/>
      <c r="Y32" s="151"/>
      <c r="Z32" s="85"/>
      <c r="AA32" s="74"/>
      <c r="AB32" s="75"/>
      <c r="AC32" s="72"/>
      <c r="AD32" s="71"/>
      <c r="AE32" s="71"/>
      <c r="AF32" s="152"/>
      <c r="AG32" s="86"/>
      <c r="AH32" s="77"/>
      <c r="AI32" s="87"/>
      <c r="AJ32" s="46"/>
      <c r="AK32" s="77"/>
      <c r="AL32" s="78"/>
      <c r="AM32" s="79"/>
      <c r="AN32" s="80"/>
      <c r="AO32" s="80"/>
      <c r="AP32" s="61"/>
      <c r="AQ32" s="62"/>
      <c r="AR32" s="81"/>
      <c r="AS32" s="81"/>
      <c r="AT32" s="81"/>
      <c r="AU32" s="81"/>
      <c r="AV32" s="82"/>
      <c r="AW32" s="83"/>
      <c r="AX32" s="83"/>
      <c r="AZ32" s="66">
        <f t="shared" si="12"/>
        <v>0</v>
      </c>
    </row>
    <row r="33" spans="1:52" s="66" customFormat="1" ht="39.75" customHeight="1" thickBot="1" x14ac:dyDescent="0.2">
      <c r="A33" s="96"/>
      <c r="B33" s="108"/>
      <c r="C33" s="345"/>
      <c r="D33" s="347"/>
      <c r="E33" s="349"/>
      <c r="F33" s="350"/>
      <c r="G33" s="97"/>
      <c r="H33" s="207"/>
      <c r="I33" s="290"/>
      <c r="J33" s="310"/>
      <c r="K33" s="295"/>
      <c r="L33" s="42"/>
      <c r="M33" s="68"/>
      <c r="N33" s="69">
        <f t="shared" si="0"/>
        <v>0</v>
      </c>
      <c r="O33" s="125">
        <v>1</v>
      </c>
      <c r="P33" s="273"/>
      <c r="Q33" s="287"/>
      <c r="R33" s="287"/>
      <c r="S33" s="120"/>
      <c r="T33" s="70"/>
      <c r="U33" s="71">
        <f t="shared" si="14"/>
        <v>0</v>
      </c>
      <c r="V33" s="72">
        <f t="shared" si="2"/>
        <v>0</v>
      </c>
      <c r="W33" s="294"/>
      <c r="X33" s="294"/>
      <c r="Y33" s="294"/>
      <c r="Z33" s="230"/>
      <c r="AA33" s="74"/>
      <c r="AB33" s="75" t="e">
        <f t="shared" si="3"/>
        <v>#DIV/0!</v>
      </c>
      <c r="AC33" s="72" t="e">
        <f t="shared" si="4"/>
        <v>#DIV/0!</v>
      </c>
      <c r="AD33" s="124"/>
      <c r="AE33" s="71" t="e">
        <f t="shared" si="5"/>
        <v>#DIV/0!</v>
      </c>
      <c r="AF33" s="76"/>
      <c r="AG33" s="54"/>
      <c r="AH33" s="77" t="e">
        <f t="shared" si="6"/>
        <v>#DIV/0!</v>
      </c>
      <c r="AI33" s="56">
        <v>10</v>
      </c>
      <c r="AJ33" s="56">
        <v>10</v>
      </c>
      <c r="AK33" s="56">
        <v>45</v>
      </c>
      <c r="AL33" s="57" t="e">
        <f t="shared" si="7"/>
        <v>#DIV/0!</v>
      </c>
      <c r="AM33" s="55" t="e">
        <f t="shared" si="8"/>
        <v>#DIV/0!</v>
      </c>
      <c r="AN33" s="78" t="e">
        <f t="shared" si="9"/>
        <v>#DIV/0!</v>
      </c>
      <c r="AO33" s="79"/>
      <c r="AP33" s="318">
        <v>1</v>
      </c>
      <c r="AQ33" s="318">
        <v>1</v>
      </c>
      <c r="AR33" s="277"/>
      <c r="AS33" s="289"/>
      <c r="AT33" s="294"/>
      <c r="AU33" s="294"/>
      <c r="AV33" s="294"/>
      <c r="AW33" s="81"/>
      <c r="AX33" s="82"/>
      <c r="AY33" s="83">
        <f t="shared" si="11"/>
        <v>0</v>
      </c>
      <c r="AZ33" s="83">
        <f t="shared" si="12"/>
        <v>0</v>
      </c>
    </row>
    <row r="34" spans="1:52" s="66" customFormat="1" ht="21" customHeight="1" thickBot="1" x14ac:dyDescent="0.2">
      <c r="A34" s="96"/>
      <c r="B34" s="91"/>
      <c r="C34" s="352" t="s">
        <v>3</v>
      </c>
      <c r="D34" s="353"/>
      <c r="E34" s="353"/>
      <c r="F34" s="353"/>
      <c r="G34" s="354"/>
      <c r="H34" s="195"/>
      <c r="I34" s="276"/>
      <c r="J34" s="276"/>
      <c r="K34" s="84"/>
      <c r="L34" s="84"/>
      <c r="M34" s="84"/>
      <c r="N34" s="168">
        <f>I34*I33+J34*J33+K34*K33+L34*L33+M34*M33</f>
        <v>0</v>
      </c>
      <c r="O34" s="44"/>
      <c r="P34" s="45"/>
      <c r="Q34" s="46"/>
      <c r="R34" s="46"/>
      <c r="S34" s="47"/>
      <c r="T34" s="70"/>
      <c r="U34" s="71"/>
      <c r="V34" s="72"/>
      <c r="W34" s="150"/>
      <c r="X34" s="85"/>
      <c r="Y34" s="151"/>
      <c r="Z34" s="85"/>
      <c r="AA34" s="74"/>
      <c r="AB34" s="75"/>
      <c r="AC34" s="72"/>
      <c r="AD34" s="71"/>
      <c r="AE34" s="71"/>
      <c r="AF34" s="152"/>
      <c r="AG34" s="86"/>
      <c r="AH34" s="77"/>
      <c r="AI34" s="87"/>
      <c r="AJ34" s="46"/>
      <c r="AK34" s="77"/>
      <c r="AL34" s="78"/>
      <c r="AM34" s="79"/>
      <c r="AN34" s="80"/>
      <c r="AO34" s="80"/>
      <c r="AP34" s="61"/>
      <c r="AQ34" s="62"/>
      <c r="AR34" s="81"/>
      <c r="AS34" s="81"/>
      <c r="AT34" s="81"/>
      <c r="AU34" s="81"/>
      <c r="AV34" s="82"/>
      <c r="AW34" s="83"/>
      <c r="AX34" s="83"/>
      <c r="AZ34" s="66">
        <f t="shared" si="12"/>
        <v>0</v>
      </c>
    </row>
    <row r="35" spans="1:52" s="66" customFormat="1" ht="39.75" customHeight="1" thickBot="1" x14ac:dyDescent="0.2">
      <c r="A35" s="96"/>
      <c r="B35" s="108"/>
      <c r="C35" s="345"/>
      <c r="D35" s="345"/>
      <c r="E35" s="349"/>
      <c r="F35" s="342"/>
      <c r="G35" s="351"/>
      <c r="H35" s="207"/>
      <c r="I35" s="290"/>
      <c r="J35" s="310"/>
      <c r="K35" s="295"/>
      <c r="L35" s="42"/>
      <c r="M35" s="68"/>
      <c r="N35" s="69">
        <f t="shared" si="0"/>
        <v>0</v>
      </c>
      <c r="O35" s="125">
        <v>1</v>
      </c>
      <c r="P35" s="273"/>
      <c r="Q35" s="287"/>
      <c r="R35" s="287"/>
      <c r="S35" s="113"/>
      <c r="T35" s="70"/>
      <c r="U35" s="71">
        <f t="shared" si="14"/>
        <v>0</v>
      </c>
      <c r="V35" s="72">
        <f t="shared" si="2"/>
        <v>0</v>
      </c>
      <c r="W35" s="294"/>
      <c r="X35" s="306"/>
      <c r="Y35" s="330"/>
      <c r="Z35" s="201"/>
      <c r="AA35" s="74"/>
      <c r="AB35" s="75" t="e">
        <f t="shared" si="3"/>
        <v>#DIV/0!</v>
      </c>
      <c r="AC35" s="72" t="e">
        <f t="shared" si="4"/>
        <v>#DIV/0!</v>
      </c>
      <c r="AD35" s="124"/>
      <c r="AE35" s="71" t="e">
        <f t="shared" si="5"/>
        <v>#DIV/0!</v>
      </c>
      <c r="AF35" s="76"/>
      <c r="AG35" s="54"/>
      <c r="AH35" s="77" t="e">
        <f t="shared" si="6"/>
        <v>#DIV/0!</v>
      </c>
      <c r="AI35" s="56">
        <v>10</v>
      </c>
      <c r="AJ35" s="56">
        <v>10</v>
      </c>
      <c r="AK35" s="56">
        <v>45</v>
      </c>
      <c r="AL35" s="57" t="e">
        <f t="shared" si="7"/>
        <v>#DIV/0!</v>
      </c>
      <c r="AM35" s="55" t="e">
        <f t="shared" si="8"/>
        <v>#DIV/0!</v>
      </c>
      <c r="AN35" s="78" t="e">
        <f t="shared" si="9"/>
        <v>#DIV/0!</v>
      </c>
      <c r="AO35" s="301"/>
      <c r="AP35" s="318">
        <v>2</v>
      </c>
      <c r="AQ35" s="318">
        <v>1</v>
      </c>
      <c r="AR35" s="277"/>
      <c r="AS35" s="62"/>
      <c r="AT35" s="294"/>
      <c r="AU35" s="294"/>
      <c r="AV35" s="294"/>
      <c r="AW35" s="81"/>
      <c r="AX35" s="82"/>
      <c r="AY35" s="83">
        <f t="shared" si="11"/>
        <v>0</v>
      </c>
      <c r="AZ35" s="83">
        <f t="shared" si="12"/>
        <v>0</v>
      </c>
    </row>
    <row r="36" spans="1:52" s="66" customFormat="1" ht="21" customHeight="1" thickBot="1" x14ac:dyDescent="0.2">
      <c r="A36" s="96"/>
      <c r="B36" s="91"/>
      <c r="C36" s="352" t="s">
        <v>3</v>
      </c>
      <c r="D36" s="353"/>
      <c r="E36" s="353"/>
      <c r="F36" s="353"/>
      <c r="G36" s="354"/>
      <c r="H36" s="195"/>
      <c r="I36" s="276"/>
      <c r="J36" s="84"/>
      <c r="K36" s="84"/>
      <c r="L36" s="84"/>
      <c r="M36" s="84"/>
      <c r="N36" s="168">
        <f>I36*I35+J36*J35+K36*K35+L36*L35+M36*M35</f>
        <v>0</v>
      </c>
      <c r="O36" s="44"/>
      <c r="P36" s="45"/>
      <c r="Q36" s="46"/>
      <c r="R36" s="46"/>
      <c r="S36" s="47"/>
      <c r="T36" s="70"/>
      <c r="U36" s="71"/>
      <c r="V36" s="72"/>
      <c r="W36" s="150"/>
      <c r="X36" s="85"/>
      <c r="Y36" s="151"/>
      <c r="Z36" s="85"/>
      <c r="AA36" s="74"/>
      <c r="AB36" s="75"/>
      <c r="AC36" s="72"/>
      <c r="AD36" s="71"/>
      <c r="AE36" s="71"/>
      <c r="AF36" s="152"/>
      <c r="AG36" s="86"/>
      <c r="AH36" s="77"/>
      <c r="AI36" s="87"/>
      <c r="AJ36" s="46"/>
      <c r="AK36" s="77"/>
      <c r="AL36" s="78"/>
      <c r="AM36" s="79"/>
      <c r="AN36" s="80"/>
      <c r="AO36" s="80"/>
      <c r="AP36" s="61"/>
      <c r="AQ36" s="62"/>
      <c r="AR36" s="81"/>
      <c r="AS36" s="81"/>
      <c r="AT36" s="81"/>
      <c r="AU36" s="81"/>
      <c r="AV36" s="82"/>
      <c r="AW36" s="83"/>
      <c r="AX36" s="83"/>
      <c r="AZ36" s="66">
        <f t="shared" si="12"/>
        <v>0</v>
      </c>
    </row>
    <row r="37" spans="1:52" s="66" customFormat="1" ht="39.75" customHeight="1" thickBot="1" x14ac:dyDescent="0.2">
      <c r="A37" s="96"/>
      <c r="B37" s="108"/>
      <c r="C37" s="349"/>
      <c r="D37" s="347"/>
      <c r="E37" s="344"/>
      <c r="F37" s="343"/>
      <c r="G37" s="335"/>
      <c r="H37" s="207" t="s">
        <v>424</v>
      </c>
      <c r="I37" s="290"/>
      <c r="J37" s="310"/>
      <c r="K37" s="295"/>
      <c r="L37" s="88"/>
      <c r="M37" s="147"/>
      <c r="N37" s="94">
        <f t="shared" si="0"/>
        <v>0</v>
      </c>
      <c r="O37" s="125">
        <v>1</v>
      </c>
      <c r="P37" s="287"/>
      <c r="Q37" s="287"/>
      <c r="R37" s="287"/>
      <c r="S37" s="120"/>
      <c r="T37" s="70"/>
      <c r="U37" s="71">
        <f t="shared" si="14"/>
        <v>0</v>
      </c>
      <c r="V37" s="72">
        <f t="shared" si="2"/>
        <v>0</v>
      </c>
      <c r="W37" s="294"/>
      <c r="X37" s="294"/>
      <c r="Y37" s="306"/>
      <c r="Z37" s="201"/>
      <c r="AA37" s="74"/>
      <c r="AB37" s="75" t="e">
        <f t="shared" si="3"/>
        <v>#DIV/0!</v>
      </c>
      <c r="AC37" s="72" t="e">
        <f t="shared" si="4"/>
        <v>#DIV/0!</v>
      </c>
      <c r="AD37" s="124"/>
      <c r="AE37" s="71" t="e">
        <f t="shared" si="5"/>
        <v>#DIV/0!</v>
      </c>
      <c r="AF37" s="76"/>
      <c r="AG37" s="54"/>
      <c r="AH37" s="77" t="e">
        <f t="shared" si="6"/>
        <v>#DIV/0!</v>
      </c>
      <c r="AI37" s="56">
        <v>10</v>
      </c>
      <c r="AJ37" s="56">
        <v>10</v>
      </c>
      <c r="AK37" s="56">
        <v>45</v>
      </c>
      <c r="AL37" s="57" t="e">
        <f t="shared" si="7"/>
        <v>#DIV/0!</v>
      </c>
      <c r="AM37" s="55" t="e">
        <f t="shared" si="8"/>
        <v>#DIV/0!</v>
      </c>
      <c r="AN37" s="78" t="e">
        <f t="shared" si="9"/>
        <v>#DIV/0!</v>
      </c>
      <c r="AO37" s="301"/>
      <c r="AP37" s="318">
        <v>2</v>
      </c>
      <c r="AQ37" s="318">
        <v>2</v>
      </c>
      <c r="AR37" s="61"/>
      <c r="AS37" s="62"/>
      <c r="AT37" s="294"/>
      <c r="AU37" s="294"/>
      <c r="AV37" s="81"/>
      <c r="AW37" s="81"/>
      <c r="AX37" s="82"/>
      <c r="AY37" s="83">
        <f t="shared" si="11"/>
        <v>0</v>
      </c>
      <c r="AZ37" s="83">
        <f t="shared" si="12"/>
        <v>0</v>
      </c>
    </row>
    <row r="38" spans="1:52" s="66" customFormat="1" ht="21" customHeight="1" thickBot="1" x14ac:dyDescent="0.2">
      <c r="A38" s="96"/>
      <c r="B38" s="91"/>
      <c r="C38" s="352" t="s">
        <v>3</v>
      </c>
      <c r="D38" s="353"/>
      <c r="E38" s="353"/>
      <c r="F38" s="353"/>
      <c r="G38" s="354"/>
      <c r="H38" s="195"/>
      <c r="I38" s="276"/>
      <c r="J38" s="84"/>
      <c r="K38" s="84"/>
      <c r="L38" s="84"/>
      <c r="M38" s="84"/>
      <c r="N38" s="168">
        <f>I38*I37+J38*J37+K38*K37+L38*L37+M38*M37</f>
        <v>0</v>
      </c>
      <c r="O38" s="44"/>
      <c r="P38" s="45"/>
      <c r="Q38" s="46"/>
      <c r="R38" s="46"/>
      <c r="S38" s="47"/>
      <c r="T38" s="70"/>
      <c r="U38" s="71"/>
      <c r="V38" s="72"/>
      <c r="W38" s="150"/>
      <c r="X38" s="85"/>
      <c r="Y38" s="151"/>
      <c r="Z38" s="85"/>
      <c r="AA38" s="74"/>
      <c r="AB38" s="75"/>
      <c r="AC38" s="72"/>
      <c r="AD38" s="71"/>
      <c r="AE38" s="71"/>
      <c r="AF38" s="152"/>
      <c r="AG38" s="86"/>
      <c r="AH38" s="77"/>
      <c r="AI38" s="87"/>
      <c r="AJ38" s="46"/>
      <c r="AK38" s="77"/>
      <c r="AL38" s="78"/>
      <c r="AM38" s="79"/>
      <c r="AN38" s="80"/>
      <c r="AO38" s="80"/>
      <c r="AP38" s="61"/>
      <c r="AQ38" s="62"/>
      <c r="AR38" s="81"/>
      <c r="AS38" s="81"/>
      <c r="AT38" s="81"/>
      <c r="AU38" s="81"/>
      <c r="AV38" s="82"/>
      <c r="AW38" s="83"/>
      <c r="AX38" s="83"/>
      <c r="AZ38" s="66">
        <f t="shared" si="12"/>
        <v>0</v>
      </c>
    </row>
    <row r="39" spans="1:52" s="66" customFormat="1" ht="39.75" customHeight="1" thickBot="1" x14ac:dyDescent="0.2">
      <c r="A39" s="96"/>
      <c r="B39" s="108"/>
      <c r="C39" s="345"/>
      <c r="D39" s="347"/>
      <c r="E39" s="347"/>
      <c r="F39" s="350"/>
      <c r="G39" s="335"/>
      <c r="H39" s="207"/>
      <c r="I39" s="290"/>
      <c r="J39" s="310"/>
      <c r="K39" s="295"/>
      <c r="L39" s="42"/>
      <c r="M39" s="68"/>
      <c r="N39" s="94">
        <f t="shared" ref="N39" si="29">SUM(I39:M39)</f>
        <v>0</v>
      </c>
      <c r="O39" s="125">
        <v>1</v>
      </c>
      <c r="P39" s="292"/>
      <c r="Q39" s="311"/>
      <c r="R39" s="287"/>
      <c r="S39" s="121"/>
      <c r="T39" s="70"/>
      <c r="U39" s="71">
        <f t="shared" ref="U39" si="30">ROUND(((P39*I39)+(Q39*J39)+(R39*K39)+(S39*L39)+(T39*M39))*O39,2)</f>
        <v>0</v>
      </c>
      <c r="V39" s="72">
        <f t="shared" ref="V39" si="31">IF(U39&gt;=15,15,U39)</f>
        <v>0</v>
      </c>
      <c r="W39" s="294"/>
      <c r="X39" s="317"/>
      <c r="Y39" s="294"/>
      <c r="Z39" s="117"/>
      <c r="AA39" s="74"/>
      <c r="AB39" s="75" t="e">
        <f t="shared" ref="AB39" si="32">ROUND((((W39*I39)+(X39*J39)+(Y39*K39)+(Z39*L39)+(AA39*M39))/$I$2),2)*13</f>
        <v>#DIV/0!</v>
      </c>
      <c r="AC39" s="72" t="e">
        <f t="shared" ref="AC39" si="33">IF(AB39&gt;=13,13,AB39)</f>
        <v>#DIV/0!</v>
      </c>
      <c r="AD39" s="124"/>
      <c r="AE39" s="71" t="e">
        <f t="shared" ref="AE39" si="34">IF((AC39+AD39)&gt;=15,15,(AC39+AD39))</f>
        <v>#DIV/0!</v>
      </c>
      <c r="AF39" s="76"/>
      <c r="AG39" s="54"/>
      <c r="AH39" s="77" t="e">
        <f t="shared" ref="AH39" si="35">IF((V39+AE39+AF39)&gt;=30,30,(V39+AE39+AF39))</f>
        <v>#DIV/0!</v>
      </c>
      <c r="AI39" s="56">
        <v>10</v>
      </c>
      <c r="AJ39" s="56">
        <v>10</v>
      </c>
      <c r="AK39" s="56">
        <v>45</v>
      </c>
      <c r="AL39" s="57" t="e">
        <f t="shared" ref="AL39" si="36">V39+AE39+AF39+AI39+AJ39+AK39+AG39</f>
        <v>#DIV/0!</v>
      </c>
      <c r="AM39" s="55" t="e">
        <f t="shared" ref="AM39" si="37">IF(AH39+AI39+AJ39+AK39+AG39&gt;=95,95,AH39+AI39+AJ39+AK39+AG39)</f>
        <v>#DIV/0!</v>
      </c>
      <c r="AN39" s="78" t="e">
        <f t="shared" ref="AN39" si="38">-((50-((176+(45+(50-AH39)))))/200)</f>
        <v>#DIV/0!</v>
      </c>
      <c r="AO39" s="301"/>
      <c r="AP39" s="318">
        <v>2</v>
      </c>
      <c r="AQ39" s="318">
        <v>1</v>
      </c>
      <c r="AR39" s="61"/>
      <c r="AS39" s="289"/>
      <c r="AT39" s="294"/>
      <c r="AU39" s="81"/>
      <c r="AV39" s="81"/>
      <c r="AW39" s="81"/>
      <c r="AX39" s="82"/>
      <c r="AY39" s="83">
        <f t="shared" ref="AY39" si="39">AT39+AU39+AV39+AW39+AX39</f>
        <v>0</v>
      </c>
      <c r="AZ39" s="83">
        <f t="shared" ref="AZ39:AZ40" si="40">(AT39*I39)+(AU39*J39)+(AV39*K39)+(AW39*L39)+(AX39*M39)</f>
        <v>0</v>
      </c>
    </row>
    <row r="40" spans="1:52" s="66" customFormat="1" ht="21" customHeight="1" thickBot="1" x14ac:dyDescent="0.2">
      <c r="A40" s="96"/>
      <c r="B40" s="91"/>
      <c r="C40" s="352" t="s">
        <v>3</v>
      </c>
      <c r="D40" s="353"/>
      <c r="E40" s="353"/>
      <c r="F40" s="353"/>
      <c r="G40" s="354"/>
      <c r="H40" s="195"/>
      <c r="I40" s="276"/>
      <c r="J40" s="276"/>
      <c r="K40" s="84"/>
      <c r="L40" s="84"/>
      <c r="M40" s="84"/>
      <c r="N40" s="168">
        <f>I40*I39+J40*J39+K40*K39+L40*L39+M40*M39</f>
        <v>0</v>
      </c>
      <c r="O40" s="44"/>
      <c r="P40" s="45"/>
      <c r="Q40" s="46"/>
      <c r="R40" s="46"/>
      <c r="S40" s="47"/>
      <c r="T40" s="70"/>
      <c r="U40" s="71"/>
      <c r="V40" s="72"/>
      <c r="W40" s="150"/>
      <c r="X40" s="85"/>
      <c r="Y40" s="151"/>
      <c r="Z40" s="85"/>
      <c r="AA40" s="74"/>
      <c r="AB40" s="75"/>
      <c r="AC40" s="72"/>
      <c r="AD40" s="71"/>
      <c r="AE40" s="71"/>
      <c r="AF40" s="152"/>
      <c r="AG40" s="86"/>
      <c r="AH40" s="77"/>
      <c r="AI40" s="87"/>
      <c r="AJ40" s="46"/>
      <c r="AK40" s="77"/>
      <c r="AL40" s="78"/>
      <c r="AM40" s="79"/>
      <c r="AN40" s="80"/>
      <c r="AO40" s="80"/>
      <c r="AP40" s="61"/>
      <c r="AQ40" s="62"/>
      <c r="AR40" s="81"/>
      <c r="AS40" s="81"/>
      <c r="AT40" s="81"/>
      <c r="AU40" s="81"/>
      <c r="AV40" s="82"/>
      <c r="AW40" s="83"/>
      <c r="AX40" s="83"/>
      <c r="AZ40" s="66">
        <f t="shared" si="40"/>
        <v>0</v>
      </c>
    </row>
    <row r="41" spans="1:52" s="66" customFormat="1" ht="39.75" customHeight="1" thickBot="1" x14ac:dyDescent="0.2">
      <c r="A41" s="96"/>
      <c r="B41" s="108"/>
      <c r="C41" s="345"/>
      <c r="D41" s="349"/>
      <c r="E41" s="40"/>
      <c r="F41" s="40" t="s">
        <v>422</v>
      </c>
      <c r="G41" s="334"/>
      <c r="H41" s="207"/>
      <c r="I41" s="295"/>
      <c r="J41" s="336"/>
      <c r="K41" s="41"/>
      <c r="L41" s="41"/>
      <c r="M41" s="68"/>
      <c r="N41" s="94">
        <f t="shared" ref="N41" si="41">SUM(I41:M41)</f>
        <v>0</v>
      </c>
      <c r="O41" s="125">
        <v>1</v>
      </c>
      <c r="P41" s="273"/>
      <c r="Q41" s="287"/>
      <c r="R41" s="113"/>
      <c r="S41" s="114"/>
      <c r="T41" s="70"/>
      <c r="U41" s="71">
        <f t="shared" ref="U41" si="42">ROUND(((P41*I41)+(Q41*J41)+(R41*K41)+(S41*L41)+(T41*M41))*O41,2)</f>
        <v>0</v>
      </c>
      <c r="V41" s="72">
        <f t="shared" ref="V41" si="43">IF(U41&gt;=15,15,U41)</f>
        <v>0</v>
      </c>
      <c r="W41" s="339"/>
      <c r="X41" s="337"/>
      <c r="Y41" s="118"/>
      <c r="Z41" s="117"/>
      <c r="AA41" s="74"/>
      <c r="AB41" s="75" t="e">
        <f t="shared" ref="AB41" si="44">ROUND((((W41*I41)+(X41*J41)+(Y41*K41)+(Z41*L41)+(AA41*M41))/$I$2),2)*13</f>
        <v>#DIV/0!</v>
      </c>
      <c r="AC41" s="72" t="e">
        <f t="shared" ref="AC41" si="45">IF(AB41&gt;=13,13,AB41)</f>
        <v>#DIV/0!</v>
      </c>
      <c r="AD41" s="124"/>
      <c r="AE41" s="71" t="e">
        <f t="shared" ref="AE41" si="46">IF((AC41+AD41)&gt;=15,15,(AC41+AD41))</f>
        <v>#DIV/0!</v>
      </c>
      <c r="AF41" s="76"/>
      <c r="AG41" s="54"/>
      <c r="AH41" s="77" t="e">
        <f t="shared" ref="AH41" si="47">IF((V41+AE41+AF41)&gt;=30,30,(V41+AE41+AF41))</f>
        <v>#DIV/0!</v>
      </c>
      <c r="AI41" s="56">
        <v>10</v>
      </c>
      <c r="AJ41" s="56">
        <v>10</v>
      </c>
      <c r="AK41" s="56">
        <v>45</v>
      </c>
      <c r="AL41" s="57" t="e">
        <f t="shared" ref="AL41" si="48">V41+AE41+AF41+AI41+AJ41+AK41+AG41</f>
        <v>#DIV/0!</v>
      </c>
      <c r="AM41" s="55" t="e">
        <f t="shared" ref="AM41" si="49">IF(AH41+AI41+AJ41+AK41+AG41&gt;=95,95,AH41+AI41+AJ41+AK41+AG41)</f>
        <v>#DIV/0!</v>
      </c>
      <c r="AN41" s="78" t="e">
        <f t="shared" ref="AN41" si="50">-((50-((176+(45+(50-AH41)))))/200)</f>
        <v>#DIV/0!</v>
      </c>
      <c r="AO41" s="79"/>
      <c r="AP41" s="80">
        <f t="shared" ref="AP41" si="51">100%+AO41</f>
        <v>1</v>
      </c>
      <c r="AQ41" s="80">
        <f t="shared" ref="AQ41" si="52">100%+AP41</f>
        <v>2</v>
      </c>
      <c r="AR41" s="277"/>
      <c r="AS41" s="62"/>
      <c r="AT41" s="294"/>
      <c r="AU41" s="294"/>
      <c r="AV41" s="81"/>
      <c r="AW41" s="81"/>
      <c r="AX41" s="82"/>
      <c r="AY41" s="83">
        <f t="shared" ref="AY41" si="53">AT41+AU41+AV41+AW41+AX41</f>
        <v>0</v>
      </c>
      <c r="AZ41" s="83">
        <f t="shared" ref="AZ41" si="54">(AT41*I41)+(AU41*J41)+(AV41*K41)+(AW41*L41)+(AX41*M41)</f>
        <v>0</v>
      </c>
    </row>
    <row r="42" spans="1:52" s="66" customFormat="1" ht="19.5" customHeight="1" thickBot="1" x14ac:dyDescent="0.2">
      <c r="A42" s="96"/>
      <c r="B42" s="91"/>
      <c r="C42" s="352" t="s">
        <v>3</v>
      </c>
      <c r="D42" s="353"/>
      <c r="E42" s="353"/>
      <c r="F42" s="353"/>
      <c r="G42" s="354"/>
      <c r="H42" s="195"/>
      <c r="I42" s="84"/>
      <c r="J42" s="276"/>
      <c r="K42" s="84"/>
      <c r="L42" s="84"/>
      <c r="M42" s="84"/>
      <c r="N42" s="168">
        <f>I42*I41+J42*J41+K42*K41+L42*L41+M42*M41</f>
        <v>0</v>
      </c>
      <c r="O42" s="44"/>
      <c r="P42" s="45"/>
      <c r="Q42" s="46"/>
      <c r="R42" s="46"/>
      <c r="S42" s="47"/>
      <c r="T42" s="70"/>
      <c r="U42" s="71"/>
      <c r="V42" s="72"/>
      <c r="W42" s="150"/>
      <c r="X42" s="85"/>
      <c r="Y42" s="151"/>
      <c r="Z42" s="85"/>
      <c r="AA42" s="74"/>
      <c r="AB42" s="75"/>
      <c r="AC42" s="72"/>
      <c r="AD42" s="71"/>
      <c r="AE42" s="71"/>
      <c r="AF42" s="152"/>
      <c r="AG42" s="86"/>
      <c r="AH42" s="77"/>
      <c r="AI42" s="87"/>
      <c r="AJ42" s="46"/>
      <c r="AK42" s="77"/>
      <c r="AL42" s="78"/>
      <c r="AM42" s="79"/>
      <c r="AN42" s="80"/>
      <c r="AO42" s="80"/>
      <c r="AP42" s="61"/>
      <c r="AQ42" s="62"/>
      <c r="AR42" s="81"/>
      <c r="AS42" s="81"/>
      <c r="AT42" s="81"/>
      <c r="AU42" s="81"/>
      <c r="AV42" s="82"/>
      <c r="AW42" s="83"/>
      <c r="AX42" s="83"/>
      <c r="AZ42" s="66">
        <f t="shared" si="12"/>
        <v>0</v>
      </c>
    </row>
    <row r="43" spans="1:52" s="66" customFormat="1" ht="39.75" customHeight="1" thickBot="1" x14ac:dyDescent="0.2">
      <c r="A43" s="96"/>
      <c r="B43" s="108"/>
      <c r="C43" s="342"/>
      <c r="D43" s="349"/>
      <c r="E43" s="349"/>
      <c r="F43" s="342"/>
      <c r="G43" s="97"/>
      <c r="H43" s="207"/>
      <c r="I43" s="92"/>
      <c r="J43" s="295"/>
      <c r="K43" s="295"/>
      <c r="L43" s="42"/>
      <c r="M43" s="147"/>
      <c r="N43" s="94">
        <f t="shared" si="0"/>
        <v>0</v>
      </c>
      <c r="O43" s="125">
        <v>1</v>
      </c>
      <c r="P43" s="112"/>
      <c r="Q43" s="287"/>
      <c r="R43" s="287"/>
      <c r="S43" s="120"/>
      <c r="T43" s="70"/>
      <c r="U43" s="71">
        <f t="shared" si="14"/>
        <v>0</v>
      </c>
      <c r="V43" s="72">
        <f t="shared" si="2"/>
        <v>0</v>
      </c>
      <c r="W43" s="231"/>
      <c r="X43" s="294"/>
      <c r="Y43" s="320"/>
      <c r="Z43" s="231"/>
      <c r="AA43" s="74"/>
      <c r="AB43" s="75" t="e">
        <f t="shared" si="3"/>
        <v>#DIV/0!</v>
      </c>
      <c r="AC43" s="72" t="e">
        <f t="shared" si="4"/>
        <v>#DIV/0!</v>
      </c>
      <c r="AD43" s="124"/>
      <c r="AE43" s="71" t="e">
        <f t="shared" si="5"/>
        <v>#DIV/0!</v>
      </c>
      <c r="AF43" s="76">
        <f>0.5*I43</f>
        <v>0</v>
      </c>
      <c r="AG43" s="54"/>
      <c r="AH43" s="77" t="e">
        <f t="shared" si="6"/>
        <v>#DIV/0!</v>
      </c>
      <c r="AI43" s="56">
        <v>10</v>
      </c>
      <c r="AJ43" s="56">
        <v>10</v>
      </c>
      <c r="AK43" s="56">
        <v>45</v>
      </c>
      <c r="AL43" s="57" t="e">
        <f t="shared" si="7"/>
        <v>#DIV/0!</v>
      </c>
      <c r="AM43" s="55" t="e">
        <f t="shared" si="8"/>
        <v>#DIV/0!</v>
      </c>
      <c r="AN43" s="78" t="e">
        <f t="shared" si="9"/>
        <v>#DIV/0!</v>
      </c>
      <c r="AO43" s="79"/>
      <c r="AP43" s="318">
        <v>1</v>
      </c>
      <c r="AQ43" s="80">
        <f t="shared" si="10"/>
        <v>2</v>
      </c>
      <c r="AR43" s="61"/>
      <c r="AS43" s="289"/>
      <c r="AT43" s="294"/>
      <c r="AU43" s="294"/>
      <c r="AV43" s="81"/>
      <c r="AW43" s="81"/>
      <c r="AX43" s="82"/>
      <c r="AY43" s="83">
        <f t="shared" si="11"/>
        <v>0</v>
      </c>
      <c r="AZ43" s="83">
        <f t="shared" si="12"/>
        <v>0</v>
      </c>
    </row>
    <row r="44" spans="1:52" s="66" customFormat="1" ht="19.5" customHeight="1" thickBot="1" x14ac:dyDescent="0.2">
      <c r="A44" s="96"/>
      <c r="B44" s="91"/>
      <c r="C44" s="352" t="s">
        <v>3</v>
      </c>
      <c r="D44" s="353"/>
      <c r="E44" s="353"/>
      <c r="F44" s="353"/>
      <c r="G44" s="354"/>
      <c r="H44" s="195"/>
      <c r="I44" s="276"/>
      <c r="J44" s="276"/>
      <c r="K44" s="276"/>
      <c r="L44" s="84"/>
      <c r="M44" s="84"/>
      <c r="N44" s="168">
        <f>I44*I43+J44*J43+K44*K43+L44*L43+M44*M43</f>
        <v>0</v>
      </c>
      <c r="O44" s="44"/>
      <c r="P44" s="45"/>
      <c r="Q44" s="46"/>
      <c r="R44" s="46"/>
      <c r="S44" s="47"/>
      <c r="T44" s="70"/>
      <c r="U44" s="71"/>
      <c r="V44" s="72"/>
      <c r="W44" s="150"/>
      <c r="X44" s="85"/>
      <c r="Y44" s="151"/>
      <c r="Z44" s="85"/>
      <c r="AA44" s="74"/>
      <c r="AB44" s="75"/>
      <c r="AC44" s="72"/>
      <c r="AD44" s="71"/>
      <c r="AE44" s="71"/>
      <c r="AF44" s="152"/>
      <c r="AG44" s="86"/>
      <c r="AH44" s="77"/>
      <c r="AI44" s="87"/>
      <c r="AJ44" s="46"/>
      <c r="AK44" s="77"/>
      <c r="AL44" s="78"/>
      <c r="AM44" s="79"/>
      <c r="AN44" s="80"/>
      <c r="AO44" s="80"/>
      <c r="AP44" s="61"/>
      <c r="AQ44" s="62"/>
      <c r="AR44" s="81"/>
      <c r="AS44" s="81"/>
      <c r="AT44" s="81"/>
      <c r="AU44" s="81"/>
      <c r="AV44" s="82"/>
      <c r="AW44" s="83"/>
      <c r="AX44" s="83"/>
      <c r="AZ44" s="66">
        <f t="shared" si="12"/>
        <v>0</v>
      </c>
    </row>
    <row r="45" spans="1:52" s="66" customFormat="1" ht="39.75" customHeight="1" thickBot="1" x14ac:dyDescent="0.2">
      <c r="A45" s="96"/>
      <c r="B45" s="108"/>
      <c r="C45" s="342"/>
      <c r="D45" s="347"/>
      <c r="E45" s="349"/>
      <c r="F45" s="343"/>
      <c r="G45" s="97"/>
      <c r="H45" s="207"/>
      <c r="I45" s="92"/>
      <c r="J45" s="295"/>
      <c r="K45" s="295"/>
      <c r="L45" s="42"/>
      <c r="M45" s="147"/>
      <c r="N45" s="69">
        <f t="shared" ref="N45:N57" si="55">SUM(I45:M45)</f>
        <v>0</v>
      </c>
      <c r="O45" s="125">
        <v>1</v>
      </c>
      <c r="P45" s="112"/>
      <c r="Q45" s="287"/>
      <c r="R45" s="287"/>
      <c r="S45" s="114"/>
      <c r="T45" s="70"/>
      <c r="U45" s="71">
        <f t="shared" si="14"/>
        <v>0</v>
      </c>
      <c r="V45" s="72">
        <f t="shared" si="2"/>
        <v>0</v>
      </c>
      <c r="W45" s="201"/>
      <c r="X45" s="294"/>
      <c r="Y45" s="288"/>
      <c r="Z45" s="201"/>
      <c r="AA45" s="74"/>
      <c r="AB45" s="75" t="e">
        <f t="shared" si="3"/>
        <v>#DIV/0!</v>
      </c>
      <c r="AC45" s="72" t="e">
        <f t="shared" si="4"/>
        <v>#DIV/0!</v>
      </c>
      <c r="AD45" s="124"/>
      <c r="AE45" s="71" t="e">
        <f t="shared" si="5"/>
        <v>#DIV/0!</v>
      </c>
      <c r="AF45" s="53"/>
      <c r="AG45" s="54"/>
      <c r="AH45" s="77" t="e">
        <f t="shared" si="6"/>
        <v>#DIV/0!</v>
      </c>
      <c r="AI45" s="56">
        <v>10</v>
      </c>
      <c r="AJ45" s="56">
        <v>10</v>
      </c>
      <c r="AK45" s="56">
        <v>45</v>
      </c>
      <c r="AL45" s="57" t="e">
        <f t="shared" si="7"/>
        <v>#DIV/0!</v>
      </c>
      <c r="AM45" s="55" t="e">
        <f t="shared" si="8"/>
        <v>#DIV/0!</v>
      </c>
      <c r="AN45" s="78" t="e">
        <f t="shared" si="9"/>
        <v>#DIV/0!</v>
      </c>
      <c r="AO45" s="79"/>
      <c r="AP45" s="318">
        <v>1</v>
      </c>
      <c r="AQ45" s="80">
        <f t="shared" si="10"/>
        <v>2</v>
      </c>
      <c r="AR45" s="61"/>
      <c r="AS45" s="62"/>
      <c r="AT45" s="294"/>
      <c r="AU45" s="294"/>
      <c r="AV45" s="81"/>
      <c r="AW45" s="81"/>
      <c r="AX45" s="82"/>
      <c r="AY45" s="83">
        <f t="shared" si="11"/>
        <v>0</v>
      </c>
      <c r="AZ45" s="83">
        <f t="shared" si="12"/>
        <v>0</v>
      </c>
    </row>
    <row r="46" spans="1:52" s="66" customFormat="1" ht="19.5" customHeight="1" thickBot="1" x14ac:dyDescent="0.2">
      <c r="A46" s="96"/>
      <c r="B46" s="108"/>
      <c r="C46" s="352" t="s">
        <v>3</v>
      </c>
      <c r="D46" s="353"/>
      <c r="E46" s="353"/>
      <c r="F46" s="353"/>
      <c r="G46" s="354"/>
      <c r="H46" s="195"/>
      <c r="I46" s="84"/>
      <c r="J46" s="276"/>
      <c r="K46" s="276"/>
      <c r="L46" s="84"/>
      <c r="M46" s="84"/>
      <c r="N46" s="168">
        <f>I46*I45+J46*J45+K46*K45+L46*L45+M46*M45</f>
        <v>0</v>
      </c>
      <c r="O46" s="44"/>
      <c r="P46" s="45"/>
      <c r="Q46" s="46"/>
      <c r="R46" s="46"/>
      <c r="S46" s="47"/>
      <c r="T46" s="70"/>
      <c r="U46" s="71"/>
      <c r="V46" s="72"/>
      <c r="W46" s="150"/>
      <c r="X46" s="85"/>
      <c r="Y46" s="151"/>
      <c r="Z46" s="85"/>
      <c r="AA46" s="74"/>
      <c r="AB46" s="75"/>
      <c r="AC46" s="72"/>
      <c r="AD46" s="71"/>
      <c r="AE46" s="71"/>
      <c r="AF46" s="152"/>
      <c r="AG46" s="86"/>
      <c r="AH46" s="77"/>
      <c r="AI46" s="87"/>
      <c r="AJ46" s="46"/>
      <c r="AK46" s="77"/>
      <c r="AL46" s="78"/>
      <c r="AM46" s="79"/>
      <c r="AN46" s="80"/>
      <c r="AO46" s="80"/>
      <c r="AP46" s="61"/>
      <c r="AQ46" s="62"/>
      <c r="AR46" s="81"/>
      <c r="AS46" s="81"/>
      <c r="AT46" s="81"/>
      <c r="AU46" s="81"/>
      <c r="AV46" s="82"/>
      <c r="AW46" s="83"/>
      <c r="AX46" s="83"/>
      <c r="AZ46" s="66">
        <f t="shared" si="12"/>
        <v>0</v>
      </c>
    </row>
    <row r="47" spans="1:52" s="66" customFormat="1" ht="39.75" customHeight="1" thickBot="1" x14ac:dyDescent="0.2">
      <c r="A47" s="96"/>
      <c r="B47" s="108"/>
      <c r="C47" s="349"/>
      <c r="D47" s="349"/>
      <c r="E47" s="349"/>
      <c r="F47" s="343"/>
      <c r="G47" s="97"/>
      <c r="H47" s="207"/>
      <c r="I47" s="290"/>
      <c r="J47" s="295"/>
      <c r="K47" s="295"/>
      <c r="L47" s="42"/>
      <c r="M47" s="68"/>
      <c r="N47" s="94">
        <f t="shared" ref="N47:N51" si="56">SUM(I47:M47)</f>
        <v>0</v>
      </c>
      <c r="O47" s="125">
        <v>1</v>
      </c>
      <c r="P47" s="244"/>
      <c r="Q47" s="319"/>
      <c r="R47" s="319"/>
      <c r="S47" s="114"/>
      <c r="T47" s="70"/>
      <c r="U47" s="71">
        <f t="shared" si="14"/>
        <v>0</v>
      </c>
      <c r="V47" s="72">
        <f t="shared" si="2"/>
        <v>0</v>
      </c>
      <c r="W47" s="294"/>
      <c r="X47" s="294"/>
      <c r="Y47" s="294"/>
      <c r="Z47" s="253"/>
      <c r="AA47" s="74"/>
      <c r="AB47" s="75" t="e">
        <f t="shared" si="3"/>
        <v>#DIV/0!</v>
      </c>
      <c r="AC47" s="72" t="e">
        <f t="shared" si="4"/>
        <v>#DIV/0!</v>
      </c>
      <c r="AD47" s="124"/>
      <c r="AE47" s="71" t="e">
        <f t="shared" si="5"/>
        <v>#DIV/0!</v>
      </c>
      <c r="AF47" s="76"/>
      <c r="AG47" s="54"/>
      <c r="AH47" s="77" t="e">
        <f t="shared" si="6"/>
        <v>#DIV/0!</v>
      </c>
      <c r="AI47" s="56">
        <v>10</v>
      </c>
      <c r="AJ47" s="56">
        <v>10</v>
      </c>
      <c r="AK47" s="56">
        <v>45</v>
      </c>
      <c r="AL47" s="57" t="e">
        <f t="shared" si="7"/>
        <v>#DIV/0!</v>
      </c>
      <c r="AM47" s="55" t="e">
        <f t="shared" si="8"/>
        <v>#DIV/0!</v>
      </c>
      <c r="AN47" s="78" t="e">
        <f t="shared" si="9"/>
        <v>#DIV/0!</v>
      </c>
      <c r="AO47" s="79"/>
      <c r="AP47" s="80">
        <f t="shared" si="10"/>
        <v>1</v>
      </c>
      <c r="AQ47" s="318">
        <v>1</v>
      </c>
      <c r="AR47" s="61"/>
      <c r="AS47" s="62"/>
      <c r="AT47" s="81"/>
      <c r="AU47" s="294"/>
      <c r="AV47" s="81"/>
      <c r="AW47" s="81"/>
      <c r="AX47" s="82"/>
      <c r="AY47" s="83">
        <f t="shared" si="11"/>
        <v>0</v>
      </c>
      <c r="AZ47" s="83">
        <f t="shared" si="12"/>
        <v>0</v>
      </c>
    </row>
    <row r="48" spans="1:52" s="66" customFormat="1" ht="19.5" customHeight="1" thickBot="1" x14ac:dyDescent="0.2">
      <c r="A48" s="96"/>
      <c r="B48" s="91"/>
      <c r="C48" s="352" t="s">
        <v>3</v>
      </c>
      <c r="D48" s="353"/>
      <c r="E48" s="353"/>
      <c r="F48" s="353"/>
      <c r="G48" s="354"/>
      <c r="H48" s="195"/>
      <c r="I48" s="84"/>
      <c r="J48" s="276"/>
      <c r="K48" s="84"/>
      <c r="L48" s="84"/>
      <c r="M48" s="84"/>
      <c r="N48" s="168">
        <f>I48*I47+J48*J47+K48*K47+L48*L47+M48*M47</f>
        <v>0</v>
      </c>
      <c r="O48" s="44"/>
      <c r="P48" s="45"/>
      <c r="Q48" s="46"/>
      <c r="R48" s="46"/>
      <c r="S48" s="47"/>
      <c r="T48" s="70"/>
      <c r="U48" s="71"/>
      <c r="V48" s="72"/>
      <c r="W48" s="150"/>
      <c r="X48" s="85"/>
      <c r="Y48" s="151"/>
      <c r="Z48" s="85"/>
      <c r="AA48" s="74"/>
      <c r="AB48" s="75"/>
      <c r="AC48" s="72"/>
      <c r="AD48" s="71"/>
      <c r="AE48" s="71"/>
      <c r="AF48" s="152"/>
      <c r="AG48" s="86"/>
      <c r="AH48" s="77"/>
      <c r="AI48" s="87"/>
      <c r="AJ48" s="46"/>
      <c r="AK48" s="77"/>
      <c r="AL48" s="78"/>
      <c r="AM48" s="79"/>
      <c r="AN48" s="80"/>
      <c r="AO48" s="80"/>
      <c r="AP48" s="61"/>
      <c r="AQ48" s="62"/>
      <c r="AR48" s="81"/>
      <c r="AS48" s="81"/>
      <c r="AT48" s="81"/>
      <c r="AU48" s="81"/>
      <c r="AV48" s="82"/>
      <c r="AW48" s="83"/>
      <c r="AX48" s="83"/>
      <c r="AZ48" s="66">
        <f t="shared" si="12"/>
        <v>0</v>
      </c>
    </row>
    <row r="49" spans="1:52" s="66" customFormat="1" ht="39.75" customHeight="1" thickBot="1" x14ac:dyDescent="0.2">
      <c r="A49" s="96"/>
      <c r="B49" s="108"/>
      <c r="C49" s="345"/>
      <c r="D49" s="345"/>
      <c r="E49" s="344"/>
      <c r="F49" s="346"/>
      <c r="G49" s="335"/>
      <c r="H49" s="334"/>
      <c r="I49" s="290"/>
      <c r="J49" s="295"/>
      <c r="K49" s="295"/>
      <c r="L49" s="42"/>
      <c r="M49" s="147"/>
      <c r="N49" s="94">
        <f t="shared" si="56"/>
        <v>0</v>
      </c>
      <c r="O49" s="125">
        <v>1</v>
      </c>
      <c r="P49" s="293"/>
      <c r="Q49" s="319"/>
      <c r="R49" s="319"/>
      <c r="S49" s="114"/>
      <c r="T49" s="70"/>
      <c r="U49" s="71">
        <f t="shared" si="14"/>
        <v>0</v>
      </c>
      <c r="V49" s="72">
        <f t="shared" si="2"/>
        <v>0</v>
      </c>
      <c r="W49" s="315"/>
      <c r="X49" s="306"/>
      <c r="Y49" s="308"/>
      <c r="Z49" s="253"/>
      <c r="AA49" s="74"/>
      <c r="AB49" s="75" t="e">
        <f t="shared" si="3"/>
        <v>#DIV/0!</v>
      </c>
      <c r="AC49" s="72" t="e">
        <f t="shared" si="4"/>
        <v>#DIV/0!</v>
      </c>
      <c r="AD49" s="124"/>
      <c r="AE49" s="71" t="e">
        <f t="shared" si="5"/>
        <v>#DIV/0!</v>
      </c>
      <c r="AF49" s="76"/>
      <c r="AG49" s="54"/>
      <c r="AH49" s="77" t="e">
        <f t="shared" si="6"/>
        <v>#DIV/0!</v>
      </c>
      <c r="AI49" s="56">
        <v>10</v>
      </c>
      <c r="AJ49" s="56">
        <v>10</v>
      </c>
      <c r="AK49" s="56">
        <v>45</v>
      </c>
      <c r="AL49" s="57" t="e">
        <f t="shared" si="7"/>
        <v>#DIV/0!</v>
      </c>
      <c r="AM49" s="55" t="e">
        <f t="shared" si="8"/>
        <v>#DIV/0!</v>
      </c>
      <c r="AN49" s="78" t="e">
        <f t="shared" si="9"/>
        <v>#DIV/0!</v>
      </c>
      <c r="AO49" s="301"/>
      <c r="AP49" s="318">
        <v>1</v>
      </c>
      <c r="AQ49" s="318">
        <v>1</v>
      </c>
      <c r="AR49" s="61"/>
      <c r="AS49" s="62"/>
      <c r="AT49" s="294"/>
      <c r="AU49" s="294"/>
      <c r="AV49" s="294"/>
      <c r="AW49" s="81"/>
      <c r="AX49" s="82"/>
      <c r="AY49" s="83">
        <f t="shared" si="11"/>
        <v>0</v>
      </c>
      <c r="AZ49" s="83">
        <f t="shared" si="12"/>
        <v>0</v>
      </c>
    </row>
    <row r="50" spans="1:52" s="66" customFormat="1" ht="19.5" customHeight="1" thickBot="1" x14ac:dyDescent="0.2">
      <c r="A50" s="96"/>
      <c r="B50" s="91"/>
      <c r="C50" s="352" t="s">
        <v>3</v>
      </c>
      <c r="D50" s="353"/>
      <c r="E50" s="353"/>
      <c r="F50" s="353"/>
      <c r="G50" s="354"/>
      <c r="H50" s="195"/>
      <c r="I50" s="84"/>
      <c r="J50" s="276"/>
      <c r="K50" s="84"/>
      <c r="L50" s="84"/>
      <c r="M50" s="84"/>
      <c r="N50" s="168">
        <f>I50*I49+J50*J49+K50*K49+L50*L49+M50*M49</f>
        <v>0</v>
      </c>
      <c r="O50" s="44"/>
      <c r="P50" s="45"/>
      <c r="Q50" s="46"/>
      <c r="R50" s="46"/>
      <c r="S50" s="47"/>
      <c r="T50" s="70"/>
      <c r="U50" s="71"/>
      <c r="V50" s="72"/>
      <c r="W50" s="150"/>
      <c r="X50" s="85"/>
      <c r="Y50" s="151"/>
      <c r="Z50" s="85"/>
      <c r="AA50" s="74"/>
      <c r="AB50" s="75"/>
      <c r="AC50" s="72"/>
      <c r="AD50" s="71"/>
      <c r="AE50" s="71"/>
      <c r="AF50" s="152"/>
      <c r="AG50" s="86"/>
      <c r="AH50" s="77"/>
      <c r="AI50" s="87"/>
      <c r="AJ50" s="46"/>
      <c r="AK50" s="77"/>
      <c r="AL50" s="78"/>
      <c r="AM50" s="79"/>
      <c r="AN50" s="80"/>
      <c r="AO50" s="80"/>
      <c r="AP50" s="61"/>
      <c r="AQ50" s="62"/>
      <c r="AR50" s="81"/>
      <c r="AS50" s="81"/>
      <c r="AT50" s="81"/>
      <c r="AU50" s="81"/>
      <c r="AV50" s="82"/>
      <c r="AW50" s="83"/>
      <c r="AX50" s="83"/>
      <c r="AZ50" s="66">
        <f t="shared" si="12"/>
        <v>0</v>
      </c>
    </row>
    <row r="51" spans="1:52" s="66" customFormat="1" ht="39.75" customHeight="1" thickBot="1" x14ac:dyDescent="0.2">
      <c r="A51" s="96"/>
      <c r="B51" s="108"/>
      <c r="C51" s="345"/>
      <c r="D51" s="347"/>
      <c r="E51" s="349"/>
      <c r="F51" s="101"/>
      <c r="G51" s="97"/>
      <c r="H51" s="207"/>
      <c r="I51" s="290"/>
      <c r="J51" s="295"/>
      <c r="K51" s="295"/>
      <c r="L51" s="42"/>
      <c r="M51" s="147"/>
      <c r="N51" s="94">
        <f t="shared" si="56"/>
        <v>0</v>
      </c>
      <c r="O51" s="125">
        <v>1</v>
      </c>
      <c r="P51" s="273"/>
      <c r="Q51" s="287"/>
      <c r="R51" s="319"/>
      <c r="S51" s="120"/>
      <c r="T51" s="70"/>
      <c r="U51" s="71">
        <f t="shared" si="14"/>
        <v>0</v>
      </c>
      <c r="V51" s="72">
        <f t="shared" si="2"/>
        <v>0</v>
      </c>
      <c r="W51" s="315"/>
      <c r="X51" s="294"/>
      <c r="Y51" s="294"/>
      <c r="Z51" s="201"/>
      <c r="AA51" s="74"/>
      <c r="AB51" s="75" t="e">
        <f t="shared" si="3"/>
        <v>#DIV/0!</v>
      </c>
      <c r="AC51" s="72" t="e">
        <f t="shared" si="4"/>
        <v>#DIV/0!</v>
      </c>
      <c r="AD51" s="124"/>
      <c r="AE51" s="71" t="e">
        <f t="shared" si="5"/>
        <v>#DIV/0!</v>
      </c>
      <c r="AF51" s="76"/>
      <c r="AG51" s="54"/>
      <c r="AH51" s="77" t="e">
        <f t="shared" si="6"/>
        <v>#DIV/0!</v>
      </c>
      <c r="AI51" s="56">
        <v>10</v>
      </c>
      <c r="AJ51" s="56">
        <v>10</v>
      </c>
      <c r="AK51" s="56">
        <v>45</v>
      </c>
      <c r="AL51" s="57" t="e">
        <f t="shared" si="7"/>
        <v>#DIV/0!</v>
      </c>
      <c r="AM51" s="55" t="e">
        <f t="shared" si="8"/>
        <v>#DIV/0!</v>
      </c>
      <c r="AN51" s="78" t="e">
        <f t="shared" si="9"/>
        <v>#DIV/0!</v>
      </c>
      <c r="AO51" s="301"/>
      <c r="AP51" s="318"/>
      <c r="AQ51" s="80">
        <f t="shared" si="10"/>
        <v>1</v>
      </c>
      <c r="AR51" s="61"/>
      <c r="AS51" s="62"/>
      <c r="AT51" s="294"/>
      <c r="AU51" s="294"/>
      <c r="AV51" s="294"/>
      <c r="AW51" s="81"/>
      <c r="AX51" s="82"/>
      <c r="AY51" s="83">
        <f t="shared" si="11"/>
        <v>0</v>
      </c>
      <c r="AZ51" s="83">
        <f t="shared" si="12"/>
        <v>0</v>
      </c>
    </row>
    <row r="52" spans="1:52" s="66" customFormat="1" ht="19.5" customHeight="1" thickBot="1" x14ac:dyDescent="0.2">
      <c r="A52" s="96"/>
      <c r="B52" s="91"/>
      <c r="C52" s="352" t="s">
        <v>3</v>
      </c>
      <c r="D52" s="353"/>
      <c r="E52" s="353"/>
      <c r="F52" s="353"/>
      <c r="G52" s="354"/>
      <c r="H52" s="195"/>
      <c r="I52" s="84"/>
      <c r="J52" s="276"/>
      <c r="K52" s="84"/>
      <c r="L52" s="84"/>
      <c r="M52" s="84"/>
      <c r="N52" s="168">
        <f>I52*I51+J52*J51+K52*K51+L52*L51+M52*M51</f>
        <v>0</v>
      </c>
      <c r="O52" s="44"/>
      <c r="P52" s="45"/>
      <c r="Q52" s="46"/>
      <c r="R52" s="46"/>
      <c r="S52" s="47"/>
      <c r="T52" s="70"/>
      <c r="U52" s="71"/>
      <c r="V52" s="72"/>
      <c r="W52" s="150"/>
      <c r="X52" s="85"/>
      <c r="Y52" s="151"/>
      <c r="Z52" s="85"/>
      <c r="AA52" s="74"/>
      <c r="AB52" s="75"/>
      <c r="AC52" s="72"/>
      <c r="AD52" s="71"/>
      <c r="AE52" s="71"/>
      <c r="AF52" s="152"/>
      <c r="AG52" s="86"/>
      <c r="AH52" s="77"/>
      <c r="AI52" s="87"/>
      <c r="AJ52" s="46"/>
      <c r="AK52" s="77"/>
      <c r="AL52" s="78"/>
      <c r="AM52" s="79"/>
      <c r="AN52" s="80"/>
      <c r="AO52" s="80"/>
      <c r="AP52" s="61"/>
      <c r="AQ52" s="62"/>
      <c r="AR52" s="81"/>
      <c r="AS52" s="81"/>
      <c r="AT52" s="81"/>
      <c r="AU52" s="81"/>
      <c r="AV52" s="82"/>
      <c r="AW52" s="83"/>
      <c r="AX52" s="83"/>
      <c r="AZ52" s="66">
        <f t="shared" si="12"/>
        <v>0</v>
      </c>
    </row>
    <row r="53" spans="1:52" s="66" customFormat="1" ht="39.75" customHeight="1" thickBot="1" x14ac:dyDescent="0.2">
      <c r="A53" s="96"/>
      <c r="B53" s="108"/>
      <c r="C53" s="345"/>
      <c r="D53" s="345"/>
      <c r="E53" s="349"/>
      <c r="F53" s="350"/>
      <c r="G53" s="97"/>
      <c r="H53" s="207"/>
      <c r="I53" s="290"/>
      <c r="J53" s="310"/>
      <c r="K53" s="295"/>
      <c r="L53" s="42"/>
      <c r="M53" s="147"/>
      <c r="N53" s="94">
        <f t="shared" ref="N53" si="57">SUM(I53:M53)</f>
        <v>0</v>
      </c>
      <c r="O53" s="125">
        <v>1</v>
      </c>
      <c r="P53" s="273"/>
      <c r="Q53" s="287"/>
      <c r="R53" s="287"/>
      <c r="S53" s="120"/>
      <c r="T53" s="70"/>
      <c r="U53" s="71">
        <f t="shared" ref="U53" si="58">ROUND(((P53*I53)+(Q53*J53)+(R53*K53)+(S53*L53)+(T53*M53))*O53,2)</f>
        <v>0</v>
      </c>
      <c r="V53" s="72">
        <f t="shared" ref="V53" si="59">IF(U53&gt;=15,15,U53)</f>
        <v>0</v>
      </c>
      <c r="W53" s="288"/>
      <c r="X53" s="320"/>
      <c r="Y53" s="288"/>
      <c r="Z53" s="320"/>
      <c r="AA53" s="74"/>
      <c r="AB53" s="75" t="e">
        <f t="shared" ref="AB53" si="60">ROUND((((W53*I53)+(X53*J53)+(Y53*K53)+(Z53*L53)+(AA53*M53))/$I$2),2)*13</f>
        <v>#DIV/0!</v>
      </c>
      <c r="AC53" s="72" t="e">
        <f t="shared" ref="AC53" si="61">IF(AB53&gt;=13,13,AB53)</f>
        <v>#DIV/0!</v>
      </c>
      <c r="AD53" s="124"/>
      <c r="AE53" s="71" t="e">
        <f t="shared" ref="AE53" si="62">IF((AC53+AD53)&gt;=15,15,(AC53+AD53))</f>
        <v>#DIV/0!</v>
      </c>
      <c r="AF53" s="76"/>
      <c r="AG53" s="54"/>
      <c r="AH53" s="77" t="e">
        <f t="shared" ref="AH53" si="63">IF((V53+AE53+AF53)&gt;=30,30,(V53+AE53+AF53))</f>
        <v>#DIV/0!</v>
      </c>
      <c r="AI53" s="56">
        <v>10</v>
      </c>
      <c r="AJ53" s="56">
        <v>10</v>
      </c>
      <c r="AK53" s="56">
        <v>45</v>
      </c>
      <c r="AL53" s="57" t="e">
        <f t="shared" ref="AL53" si="64">V53+AE53+AF53+AI53+AJ53+AK53+AG53</f>
        <v>#DIV/0!</v>
      </c>
      <c r="AM53" s="55" t="e">
        <f t="shared" ref="AM53" si="65">IF(AH53+AI53+AJ53+AK53+AG53&gt;=95,95,AH53+AI53+AJ53+AK53+AG53)</f>
        <v>#DIV/0!</v>
      </c>
      <c r="AN53" s="78" t="e">
        <f t="shared" ref="AN53" si="66">-((50-((176+(45+(50-AH53)))))/200)</f>
        <v>#DIV/0!</v>
      </c>
      <c r="AO53" s="301"/>
      <c r="AP53" s="318">
        <v>1</v>
      </c>
      <c r="AQ53" s="318">
        <v>1</v>
      </c>
      <c r="AR53" s="61"/>
      <c r="AS53" s="62"/>
      <c r="AT53" s="294"/>
      <c r="AU53" s="294"/>
      <c r="AV53" s="294"/>
      <c r="AW53" s="81"/>
      <c r="AX53" s="82"/>
      <c r="AY53" s="83">
        <f t="shared" ref="AY53" si="67">AT53+AU53+AV53+AW53+AX53</f>
        <v>0</v>
      </c>
      <c r="AZ53" s="83">
        <f t="shared" si="12"/>
        <v>0</v>
      </c>
    </row>
    <row r="54" spans="1:52" s="66" customFormat="1" ht="21" customHeight="1" thickBot="1" x14ac:dyDescent="0.2">
      <c r="A54" s="96"/>
      <c r="B54" s="91"/>
      <c r="C54" s="352" t="s">
        <v>3</v>
      </c>
      <c r="D54" s="353"/>
      <c r="E54" s="353"/>
      <c r="F54" s="353"/>
      <c r="G54" s="354"/>
      <c r="H54" s="195"/>
      <c r="I54" s="199"/>
      <c r="J54" s="84"/>
      <c r="K54" s="84"/>
      <c r="L54" s="84"/>
      <c r="M54" s="84"/>
      <c r="N54" s="168">
        <f>I54*I53+J54*J53+K54*K53+L54*L53+M54*M53</f>
        <v>0</v>
      </c>
      <c r="O54" s="44"/>
      <c r="P54" s="45"/>
      <c r="Q54" s="46"/>
      <c r="R54" s="46"/>
      <c r="S54" s="47"/>
      <c r="T54" s="70"/>
      <c r="U54" s="71"/>
      <c r="V54" s="72"/>
      <c r="W54" s="150"/>
      <c r="X54" s="85"/>
      <c r="Y54" s="151"/>
      <c r="Z54" s="85"/>
      <c r="AA54" s="74"/>
      <c r="AB54" s="75"/>
      <c r="AC54" s="72"/>
      <c r="AD54" s="71"/>
      <c r="AE54" s="71"/>
      <c r="AF54" s="152"/>
      <c r="AG54" s="86"/>
      <c r="AH54" s="77"/>
      <c r="AI54" s="87"/>
      <c r="AJ54" s="46"/>
      <c r="AK54" s="77"/>
      <c r="AL54" s="78"/>
      <c r="AM54" s="79"/>
      <c r="AN54" s="80"/>
      <c r="AO54" s="80"/>
      <c r="AP54" s="61"/>
      <c r="AQ54" s="62"/>
      <c r="AR54" s="81"/>
      <c r="AS54" s="81"/>
      <c r="AT54" s="81"/>
      <c r="AU54" s="81"/>
      <c r="AV54" s="82"/>
      <c r="AW54" s="83"/>
      <c r="AX54" s="83"/>
      <c r="AZ54" s="66">
        <f t="shared" si="12"/>
        <v>0</v>
      </c>
    </row>
    <row r="55" spans="1:52" s="66" customFormat="1" ht="39.75" customHeight="1" thickBot="1" x14ac:dyDescent="0.2">
      <c r="A55" s="96"/>
      <c r="B55" s="108"/>
      <c r="C55" s="349"/>
      <c r="D55" s="349"/>
      <c r="E55" s="349"/>
      <c r="F55" s="350"/>
      <c r="G55" s="97"/>
      <c r="H55" s="207"/>
      <c r="I55" s="92"/>
      <c r="J55" s="295"/>
      <c r="K55" s="295"/>
      <c r="L55" s="42"/>
      <c r="M55" s="68"/>
      <c r="N55" s="94">
        <f t="shared" si="55"/>
        <v>0</v>
      </c>
      <c r="O55" s="125">
        <v>1</v>
      </c>
      <c r="P55" s="112"/>
      <c r="Q55" s="287"/>
      <c r="R55" s="287"/>
      <c r="S55" s="114"/>
      <c r="T55" s="70"/>
      <c r="U55" s="71">
        <f t="shared" si="14"/>
        <v>0</v>
      </c>
      <c r="V55" s="72">
        <f t="shared" si="2"/>
        <v>0</v>
      </c>
      <c r="W55" s="294"/>
      <c r="X55" s="308"/>
      <c r="Y55" s="308"/>
      <c r="Z55" s="231"/>
      <c r="AA55" s="74"/>
      <c r="AB55" s="75" t="e">
        <f t="shared" si="3"/>
        <v>#DIV/0!</v>
      </c>
      <c r="AC55" s="72" t="e">
        <f t="shared" si="4"/>
        <v>#DIV/0!</v>
      </c>
      <c r="AD55" s="124"/>
      <c r="AE55" s="71" t="e">
        <f t="shared" si="5"/>
        <v>#DIV/0!</v>
      </c>
      <c r="AF55" s="76"/>
      <c r="AG55" s="54"/>
      <c r="AH55" s="77" t="e">
        <f t="shared" si="6"/>
        <v>#DIV/0!</v>
      </c>
      <c r="AI55" s="56">
        <v>10</v>
      </c>
      <c r="AJ55" s="56">
        <v>10</v>
      </c>
      <c r="AK55" s="56">
        <v>45</v>
      </c>
      <c r="AL55" s="57" t="e">
        <f t="shared" si="7"/>
        <v>#DIV/0!</v>
      </c>
      <c r="AM55" s="55" t="e">
        <f t="shared" si="8"/>
        <v>#DIV/0!</v>
      </c>
      <c r="AN55" s="78" t="e">
        <f t="shared" si="9"/>
        <v>#DIV/0!</v>
      </c>
      <c r="AO55" s="79"/>
      <c r="AP55" s="318">
        <v>2</v>
      </c>
      <c r="AQ55" s="318">
        <v>3</v>
      </c>
      <c r="AR55" s="61"/>
      <c r="AS55" s="62"/>
      <c r="AT55" s="81"/>
      <c r="AU55" s="81"/>
      <c r="AV55" s="294"/>
      <c r="AW55" s="81"/>
      <c r="AX55" s="82"/>
      <c r="AY55" s="83">
        <f t="shared" si="11"/>
        <v>0</v>
      </c>
      <c r="AZ55" s="83">
        <f t="shared" si="12"/>
        <v>0</v>
      </c>
    </row>
    <row r="56" spans="1:52" s="66" customFormat="1" ht="21" customHeight="1" thickBot="1" x14ac:dyDescent="0.2">
      <c r="A56" s="96"/>
      <c r="B56" s="91"/>
      <c r="C56" s="352" t="s">
        <v>3</v>
      </c>
      <c r="D56" s="353"/>
      <c r="E56" s="353"/>
      <c r="F56" s="353"/>
      <c r="G56" s="354"/>
      <c r="H56" s="195"/>
      <c r="I56" s="199"/>
      <c r="J56" s="84"/>
      <c r="K56" s="84"/>
      <c r="L56" s="84"/>
      <c r="M56" s="84"/>
      <c r="N56" s="168">
        <f>I56*I55+J56*J55+K56*K55+L56*L55+M56*M55</f>
        <v>0</v>
      </c>
      <c r="O56" s="44"/>
      <c r="P56" s="45"/>
      <c r="Q56" s="46"/>
      <c r="R56" s="46"/>
      <c r="S56" s="47"/>
      <c r="T56" s="70"/>
      <c r="U56" s="71"/>
      <c r="V56" s="72"/>
      <c r="W56" s="150"/>
      <c r="X56" s="85"/>
      <c r="Y56" s="151"/>
      <c r="Z56" s="85"/>
      <c r="AA56" s="74"/>
      <c r="AB56" s="75"/>
      <c r="AC56" s="72"/>
      <c r="AD56" s="71"/>
      <c r="AE56" s="71"/>
      <c r="AF56" s="152"/>
      <c r="AG56" s="86"/>
      <c r="AH56" s="77"/>
      <c r="AI56" s="87"/>
      <c r="AJ56" s="46"/>
      <c r="AK56" s="77"/>
      <c r="AL56" s="78"/>
      <c r="AM56" s="79"/>
      <c r="AN56" s="80"/>
      <c r="AO56" s="80"/>
      <c r="AP56" s="61"/>
      <c r="AQ56" s="62"/>
      <c r="AR56" s="81"/>
      <c r="AS56" s="81"/>
      <c r="AT56" s="81"/>
      <c r="AU56" s="81"/>
      <c r="AV56" s="82"/>
      <c r="AW56" s="83"/>
      <c r="AX56" s="83"/>
      <c r="AZ56" s="66">
        <f t="shared" si="12"/>
        <v>0</v>
      </c>
    </row>
    <row r="57" spans="1:52" s="66" customFormat="1" ht="39.75" customHeight="1" thickBot="1" x14ac:dyDescent="0.2">
      <c r="A57" s="96"/>
      <c r="B57" s="108"/>
      <c r="C57" s="349"/>
      <c r="D57" s="349"/>
      <c r="E57" s="349"/>
      <c r="F57" s="350"/>
      <c r="G57" s="97"/>
      <c r="H57" s="207"/>
      <c r="I57" s="290"/>
      <c r="J57" s="295"/>
      <c r="K57" s="295"/>
      <c r="L57" s="42"/>
      <c r="M57" s="147"/>
      <c r="N57" s="94">
        <f t="shared" si="55"/>
        <v>0</v>
      </c>
      <c r="O57" s="125">
        <v>1</v>
      </c>
      <c r="P57" s="273"/>
      <c r="Q57" s="287"/>
      <c r="R57" s="326"/>
      <c r="S57" s="120"/>
      <c r="T57" s="70"/>
      <c r="U57" s="71">
        <f t="shared" si="14"/>
        <v>0</v>
      </c>
      <c r="V57" s="72">
        <f t="shared" si="2"/>
        <v>0</v>
      </c>
      <c r="W57" s="315"/>
      <c r="X57" s="294"/>
      <c r="Y57" s="308"/>
      <c r="Z57" s="231"/>
      <c r="AA57" s="74"/>
      <c r="AB57" s="75" t="e">
        <f t="shared" si="3"/>
        <v>#DIV/0!</v>
      </c>
      <c r="AC57" s="72" t="e">
        <f t="shared" si="4"/>
        <v>#DIV/0!</v>
      </c>
      <c r="AD57" s="124"/>
      <c r="AE57" s="71" t="e">
        <f t="shared" si="5"/>
        <v>#DIV/0!</v>
      </c>
      <c r="AF57" s="76"/>
      <c r="AG57" s="54"/>
      <c r="AH57" s="77" t="e">
        <f t="shared" si="6"/>
        <v>#DIV/0!</v>
      </c>
      <c r="AI57" s="56">
        <v>10</v>
      </c>
      <c r="AJ57" s="56">
        <v>10</v>
      </c>
      <c r="AK57" s="56">
        <v>45</v>
      </c>
      <c r="AL57" s="57" t="e">
        <f t="shared" si="7"/>
        <v>#DIV/0!</v>
      </c>
      <c r="AM57" s="55" t="e">
        <f t="shared" si="8"/>
        <v>#DIV/0!</v>
      </c>
      <c r="AN57" s="78" t="e">
        <f t="shared" si="9"/>
        <v>#DIV/0!</v>
      </c>
      <c r="AO57" s="301"/>
      <c r="AP57" s="318"/>
      <c r="AQ57" s="318">
        <v>2</v>
      </c>
      <c r="AR57" s="61"/>
      <c r="AS57" s="62"/>
      <c r="AT57" s="81"/>
      <c r="AU57" s="81"/>
      <c r="AV57" s="81"/>
      <c r="AW57" s="81"/>
      <c r="AX57" s="82"/>
      <c r="AY57" s="83">
        <f t="shared" si="11"/>
        <v>0</v>
      </c>
      <c r="AZ57" s="83">
        <f t="shared" si="12"/>
        <v>0</v>
      </c>
    </row>
    <row r="58" spans="1:52" s="66" customFormat="1" ht="21" customHeight="1" thickBot="1" x14ac:dyDescent="0.2">
      <c r="A58" s="96"/>
      <c r="B58" s="91"/>
      <c r="C58" s="352" t="s">
        <v>3</v>
      </c>
      <c r="D58" s="353"/>
      <c r="E58" s="353"/>
      <c r="F58" s="353"/>
      <c r="G58" s="354"/>
      <c r="H58" s="195"/>
      <c r="I58" s="199"/>
      <c r="J58" s="84"/>
      <c r="K58" s="84"/>
      <c r="L58" s="84"/>
      <c r="M58" s="84"/>
      <c r="N58" s="168">
        <f>I58*I57+J58*J57+K58*K57+L58*L57+M58*M57</f>
        <v>0</v>
      </c>
      <c r="O58" s="44"/>
      <c r="P58" s="45"/>
      <c r="Q58" s="46"/>
      <c r="R58" s="46"/>
      <c r="S58" s="47"/>
      <c r="T58" s="70"/>
      <c r="U58" s="71"/>
      <c r="V58" s="72"/>
      <c r="W58" s="150"/>
      <c r="X58" s="85"/>
      <c r="Y58" s="151"/>
      <c r="Z58" s="85"/>
      <c r="AA58" s="74"/>
      <c r="AB58" s="75"/>
      <c r="AC58" s="72"/>
      <c r="AD58" s="71"/>
      <c r="AE58" s="71"/>
      <c r="AF58" s="152"/>
      <c r="AG58" s="86"/>
      <c r="AH58" s="77"/>
      <c r="AI58" s="87"/>
      <c r="AJ58" s="46"/>
      <c r="AK58" s="77"/>
      <c r="AL58" s="78"/>
      <c r="AM58" s="79"/>
      <c r="AN58" s="80"/>
      <c r="AO58" s="80"/>
      <c r="AP58" s="61"/>
      <c r="AQ58" s="62"/>
      <c r="AR58" s="81"/>
      <c r="AS58" s="81"/>
      <c r="AT58" s="81"/>
      <c r="AU58" s="81"/>
      <c r="AV58" s="82"/>
      <c r="AW58" s="83"/>
      <c r="AX58" s="83"/>
      <c r="AZ58" s="66">
        <f t="shared" si="12"/>
        <v>0</v>
      </c>
    </row>
    <row r="59" spans="1:52" s="66" customFormat="1" ht="39.75" customHeight="1" thickBot="1" x14ac:dyDescent="0.2">
      <c r="A59" s="96"/>
      <c r="B59" s="108"/>
      <c r="C59" s="345"/>
      <c r="D59" s="345"/>
      <c r="E59" s="345"/>
      <c r="F59" s="345"/>
      <c r="G59" s="97"/>
      <c r="H59" s="255"/>
      <c r="I59" s="290"/>
      <c r="J59" s="310"/>
      <c r="K59" s="41"/>
      <c r="L59" s="324"/>
      <c r="M59" s="128"/>
      <c r="N59" s="43">
        <f>SUM(I59:M59)</f>
        <v>0</v>
      </c>
      <c r="O59" s="125">
        <v>1</v>
      </c>
      <c r="P59" s="273"/>
      <c r="Q59" s="319"/>
      <c r="R59" s="113"/>
      <c r="S59" s="321"/>
      <c r="T59" s="156"/>
      <c r="U59" s="48">
        <f>ROUND(((P59*I59)+(Q59*J59)+(R59*K59)+(S59*L59)+(T59*M59))*O59,2)</f>
        <v>0</v>
      </c>
      <c r="V59" s="49">
        <f>IF(U59&gt;=15,15,U59)</f>
        <v>0</v>
      </c>
      <c r="W59" s="288"/>
      <c r="X59" s="325"/>
      <c r="Y59" s="288"/>
      <c r="Z59" s="288"/>
      <c r="AA59" s="74"/>
      <c r="AB59" s="75" t="e">
        <f>ROUND((((W59*I59)+(X59*J59)+(Y59*K59)+(Z59*L59)+(AA59*M59))/$I$2),2)*13</f>
        <v>#DIV/0!</v>
      </c>
      <c r="AC59" s="72" t="e">
        <f>IF(AB59&gt;=13,13,AB59)</f>
        <v>#DIV/0!</v>
      </c>
      <c r="AD59" s="124"/>
      <c r="AE59" s="71" t="e">
        <f>IF((AC59+AD59)&gt;=15,15,(AC59+AD59))</f>
        <v>#DIV/0!</v>
      </c>
      <c r="AF59" s="76"/>
      <c r="AG59" s="54"/>
      <c r="AH59" s="77" t="e">
        <f>IF((V59+AE59+AF59)&gt;=30,30,(V59+AE59+AF59))</f>
        <v>#DIV/0!</v>
      </c>
      <c r="AI59" s="56">
        <v>10</v>
      </c>
      <c r="AJ59" s="56">
        <v>10</v>
      </c>
      <c r="AK59" s="56">
        <v>45</v>
      </c>
      <c r="AL59" s="57" t="e">
        <f>V59+AE59+AF59+AI59+AJ59+AK59+AG59</f>
        <v>#DIV/0!</v>
      </c>
      <c r="AM59" s="55" t="e">
        <f>IF(AH59+AI59+AJ59+AK59+AG59&gt;=95,95,AH59+AI59+AJ59+AK59+AG59)</f>
        <v>#DIV/0!</v>
      </c>
      <c r="AN59" s="78" t="e">
        <f>-((50-((176+(45+(50-AH59)))))/200)</f>
        <v>#DIV/0!</v>
      </c>
      <c r="AO59" s="79"/>
      <c r="AP59" s="318"/>
      <c r="AQ59" s="80">
        <f t="shared" si="10"/>
        <v>1</v>
      </c>
      <c r="AR59" s="277"/>
      <c r="AS59" s="62"/>
      <c r="AT59" s="294"/>
      <c r="AU59" s="81"/>
      <c r="AV59" s="81"/>
      <c r="AW59" s="81"/>
      <c r="AX59" s="82"/>
      <c r="AY59" s="83">
        <f>AT59+AU59+AV59+AW59+AX59</f>
        <v>0</v>
      </c>
      <c r="AZ59" s="83">
        <f t="shared" si="12"/>
        <v>0</v>
      </c>
    </row>
    <row r="60" spans="1:52" s="66" customFormat="1" ht="21" customHeight="1" thickBot="1" x14ac:dyDescent="0.2">
      <c r="A60" s="96"/>
      <c r="B60" s="91"/>
      <c r="C60" s="352" t="s">
        <v>3</v>
      </c>
      <c r="D60" s="353"/>
      <c r="E60" s="353"/>
      <c r="F60" s="353"/>
      <c r="G60" s="354"/>
      <c r="H60" s="195"/>
      <c r="I60" s="199"/>
      <c r="J60" s="84"/>
      <c r="K60" s="84"/>
      <c r="L60" s="84"/>
      <c r="M60" s="84"/>
      <c r="N60" s="168">
        <f>I60*I59+J60*J59+K60*K59+L60*L59+M60*M59</f>
        <v>0</v>
      </c>
      <c r="O60" s="44"/>
      <c r="P60" s="45"/>
      <c r="Q60" s="46"/>
      <c r="R60" s="46"/>
      <c r="S60" s="47"/>
      <c r="T60" s="70"/>
      <c r="U60" s="71"/>
      <c r="V60" s="72"/>
      <c r="W60" s="150"/>
      <c r="X60" s="85"/>
      <c r="Y60" s="151"/>
      <c r="Z60" s="85"/>
      <c r="AA60" s="74"/>
      <c r="AB60" s="75"/>
      <c r="AC60" s="72"/>
      <c r="AD60" s="71"/>
      <c r="AE60" s="71"/>
      <c r="AF60" s="152"/>
      <c r="AG60" s="86"/>
      <c r="AH60" s="77"/>
      <c r="AI60" s="87"/>
      <c r="AJ60" s="46"/>
      <c r="AK60" s="77"/>
      <c r="AL60" s="78"/>
      <c r="AM60" s="79"/>
      <c r="AN60" s="80"/>
      <c r="AO60" s="80"/>
      <c r="AP60" s="61"/>
      <c r="AQ60" s="62"/>
      <c r="AR60" s="81"/>
      <c r="AS60" s="81"/>
      <c r="AT60" s="81"/>
      <c r="AU60" s="81"/>
      <c r="AV60" s="82"/>
      <c r="AW60" s="83"/>
      <c r="AX60" s="83"/>
      <c r="AZ60" s="66">
        <f t="shared" ref="AZ60" si="68">(AT60*I60)+(AU60*J60)+(AV60*K60)+(AW60*L60)+(AX60*M60)</f>
        <v>0</v>
      </c>
    </row>
    <row r="61" spans="1:52" s="66" customFormat="1" ht="39.75" customHeight="1" thickBot="1" x14ac:dyDescent="0.2">
      <c r="A61" s="96"/>
      <c r="B61" s="91"/>
      <c r="C61" s="345"/>
      <c r="D61" s="349"/>
      <c r="E61" s="345"/>
      <c r="F61" s="345"/>
      <c r="G61" s="349"/>
      <c r="H61" s="207"/>
      <c r="I61" s="295"/>
      <c r="J61" s="41"/>
      <c r="K61" s="295"/>
      <c r="L61" s="324"/>
      <c r="M61" s="147"/>
      <c r="N61" s="94">
        <f t="shared" ref="N61:N63" si="69">SUM(I61:M61)</f>
        <v>0</v>
      </c>
      <c r="O61" s="125">
        <v>1</v>
      </c>
      <c r="P61" s="273"/>
      <c r="Q61" s="113"/>
      <c r="R61" s="326"/>
      <c r="S61" s="321"/>
      <c r="T61" s="70"/>
      <c r="U61" s="71">
        <f t="shared" si="14"/>
        <v>0</v>
      </c>
      <c r="V61" s="72">
        <f t="shared" si="2"/>
        <v>0</v>
      </c>
      <c r="W61" s="288"/>
      <c r="X61" s="294"/>
      <c r="Y61" s="294"/>
      <c r="Z61" s="306"/>
      <c r="AA61" s="74"/>
      <c r="AB61" s="75" t="e">
        <f t="shared" si="3"/>
        <v>#DIV/0!</v>
      </c>
      <c r="AC61" s="72" t="e">
        <f t="shared" si="4"/>
        <v>#DIV/0!</v>
      </c>
      <c r="AD61" s="124"/>
      <c r="AE61" s="71" t="e">
        <f t="shared" si="5"/>
        <v>#DIV/0!</v>
      </c>
      <c r="AF61" s="76"/>
      <c r="AG61" s="54"/>
      <c r="AH61" s="77" t="e">
        <f t="shared" si="6"/>
        <v>#DIV/0!</v>
      </c>
      <c r="AI61" s="56">
        <v>10</v>
      </c>
      <c r="AJ61" s="56">
        <v>10</v>
      </c>
      <c r="AK61" s="56">
        <v>45</v>
      </c>
      <c r="AL61" s="57" t="e">
        <f t="shared" si="7"/>
        <v>#DIV/0!</v>
      </c>
      <c r="AM61" s="55" t="e">
        <f t="shared" si="8"/>
        <v>#DIV/0!</v>
      </c>
      <c r="AN61" s="78" t="e">
        <f t="shared" si="9"/>
        <v>#DIV/0!</v>
      </c>
      <c r="AO61" s="79"/>
      <c r="AP61" s="80">
        <f t="shared" si="10"/>
        <v>1</v>
      </c>
      <c r="AQ61" s="318"/>
      <c r="AR61" s="277">
        <v>2</v>
      </c>
      <c r="AS61" s="62"/>
      <c r="AT61" s="294"/>
      <c r="AU61" s="81"/>
      <c r="AV61" s="81"/>
      <c r="AW61" s="81"/>
      <c r="AX61" s="82"/>
      <c r="AY61" s="83">
        <f t="shared" si="11"/>
        <v>0</v>
      </c>
      <c r="AZ61" s="83">
        <f t="shared" si="12"/>
        <v>0</v>
      </c>
    </row>
    <row r="62" spans="1:52" s="66" customFormat="1" ht="21" customHeight="1" thickBot="1" x14ac:dyDescent="0.2">
      <c r="A62" s="96"/>
      <c r="B62" s="91"/>
      <c r="C62" s="352" t="s">
        <v>3</v>
      </c>
      <c r="D62" s="353"/>
      <c r="E62" s="353"/>
      <c r="F62" s="353"/>
      <c r="G62" s="354"/>
      <c r="H62" s="195"/>
      <c r="I62" s="199"/>
      <c r="J62" s="84"/>
      <c r="K62" s="84"/>
      <c r="L62" s="84"/>
      <c r="M62" s="84"/>
      <c r="N62" s="168">
        <f>I62*I61+J62*J61+K62*K61+L62*L61+M62*M61</f>
        <v>0</v>
      </c>
      <c r="O62" s="44"/>
      <c r="P62" s="45"/>
      <c r="Q62" s="46"/>
      <c r="R62" s="46"/>
      <c r="S62" s="47"/>
      <c r="T62" s="70"/>
      <c r="U62" s="71"/>
      <c r="V62" s="72"/>
      <c r="W62" s="150"/>
      <c r="X62" s="85"/>
      <c r="Y62" s="151"/>
      <c r="Z62" s="85"/>
      <c r="AA62" s="74"/>
      <c r="AB62" s="75"/>
      <c r="AC62" s="72"/>
      <c r="AD62" s="71"/>
      <c r="AE62" s="71"/>
      <c r="AF62" s="152"/>
      <c r="AG62" s="86"/>
      <c r="AH62" s="77"/>
      <c r="AI62" s="87"/>
      <c r="AJ62" s="46"/>
      <c r="AK62" s="77"/>
      <c r="AL62" s="78"/>
      <c r="AM62" s="79"/>
      <c r="AN62" s="80"/>
      <c r="AO62" s="80"/>
      <c r="AP62" s="61"/>
      <c r="AQ62" s="62"/>
      <c r="AR62" s="81"/>
      <c r="AS62" s="81"/>
      <c r="AT62" s="81"/>
      <c r="AU62" s="81"/>
      <c r="AV62" s="82"/>
      <c r="AW62" s="83"/>
      <c r="AX62" s="83"/>
      <c r="AZ62" s="66">
        <f t="shared" ref="AZ62" si="70">(AT62*I62)+(AU62*J62)+(AV62*K62)+(AW62*L62)+(AX62*M62)</f>
        <v>0</v>
      </c>
    </row>
    <row r="63" spans="1:52" s="66" customFormat="1" ht="39.75" customHeight="1" thickBot="1" x14ac:dyDescent="0.2">
      <c r="A63" s="96"/>
      <c r="B63" s="91"/>
      <c r="C63" s="40"/>
      <c r="D63" s="345"/>
      <c r="E63" s="347"/>
      <c r="F63" s="349"/>
      <c r="G63" s="349"/>
      <c r="H63" s="207"/>
      <c r="I63" s="41"/>
      <c r="J63" s="295"/>
      <c r="K63" s="295"/>
      <c r="L63" s="336"/>
      <c r="M63" s="147"/>
      <c r="N63" s="94">
        <f t="shared" si="69"/>
        <v>0</v>
      </c>
      <c r="O63" s="125">
        <v>1</v>
      </c>
      <c r="P63" s="112"/>
      <c r="Q63" s="287"/>
      <c r="R63" s="326"/>
      <c r="S63" s="321"/>
      <c r="T63" s="70"/>
      <c r="U63" s="71">
        <f t="shared" si="14"/>
        <v>0</v>
      </c>
      <c r="V63" s="72">
        <f t="shared" si="2"/>
        <v>0</v>
      </c>
      <c r="W63" s="201"/>
      <c r="X63" s="288"/>
      <c r="Y63" s="308"/>
      <c r="Z63" s="317"/>
      <c r="AA63" s="74"/>
      <c r="AB63" s="75" t="e">
        <f t="shared" si="3"/>
        <v>#DIV/0!</v>
      </c>
      <c r="AC63" s="72" t="e">
        <f t="shared" si="4"/>
        <v>#DIV/0!</v>
      </c>
      <c r="AD63" s="124"/>
      <c r="AE63" s="71" t="e">
        <f t="shared" si="5"/>
        <v>#DIV/0!</v>
      </c>
      <c r="AF63" s="76"/>
      <c r="AG63" s="54"/>
      <c r="AH63" s="77" t="e">
        <f t="shared" si="6"/>
        <v>#DIV/0!</v>
      </c>
      <c r="AI63" s="56">
        <v>10</v>
      </c>
      <c r="AJ63" s="56">
        <v>10</v>
      </c>
      <c r="AK63" s="56">
        <v>45</v>
      </c>
      <c r="AL63" s="57" t="e">
        <f t="shared" si="7"/>
        <v>#DIV/0!</v>
      </c>
      <c r="AM63" s="55" t="e">
        <f t="shared" si="8"/>
        <v>#DIV/0!</v>
      </c>
      <c r="AN63" s="78" t="e">
        <f t="shared" si="9"/>
        <v>#DIV/0!</v>
      </c>
      <c r="AO63" s="79"/>
      <c r="AP63" s="80">
        <f t="shared" ref="AP63:AQ63" si="71">100%+AO63</f>
        <v>1</v>
      </c>
      <c r="AQ63" s="80">
        <f t="shared" si="71"/>
        <v>2</v>
      </c>
      <c r="AR63" s="61"/>
      <c r="AS63" s="62"/>
      <c r="AT63" s="81"/>
      <c r="AU63" s="294"/>
      <c r="AV63" s="294"/>
      <c r="AW63" s="294"/>
      <c r="AX63" s="82"/>
      <c r="AY63" s="83">
        <f t="shared" si="11"/>
        <v>0</v>
      </c>
      <c r="AZ63" s="83">
        <f t="shared" si="12"/>
        <v>0</v>
      </c>
    </row>
    <row r="64" spans="1:52" s="66" customFormat="1" ht="21" customHeight="1" thickBot="1" x14ac:dyDescent="0.2">
      <c r="A64" s="96"/>
      <c r="B64" s="91"/>
      <c r="C64" s="352" t="s">
        <v>3</v>
      </c>
      <c r="D64" s="353"/>
      <c r="E64" s="353"/>
      <c r="F64" s="353"/>
      <c r="G64" s="354"/>
      <c r="H64" s="195"/>
      <c r="I64" s="199"/>
      <c r="J64" s="84"/>
      <c r="K64" s="84"/>
      <c r="L64" s="84"/>
      <c r="M64" s="84"/>
      <c r="N64" s="168">
        <f>I64*I63+J64*J63+K64*K63+L64*L63+M64*M63</f>
        <v>0</v>
      </c>
      <c r="O64" s="44"/>
      <c r="P64" s="45"/>
      <c r="Q64" s="46"/>
      <c r="R64" s="46"/>
      <c r="S64" s="47"/>
      <c r="T64" s="70"/>
      <c r="U64" s="71"/>
      <c r="V64" s="72"/>
      <c r="W64" s="150"/>
      <c r="X64" s="85"/>
      <c r="Y64" s="151"/>
      <c r="Z64" s="85"/>
      <c r="AA64" s="74"/>
      <c r="AB64" s="75"/>
      <c r="AC64" s="72"/>
      <c r="AD64" s="71"/>
      <c r="AE64" s="71"/>
      <c r="AF64" s="152"/>
      <c r="AG64" s="86"/>
      <c r="AH64" s="77"/>
      <c r="AI64" s="87"/>
      <c r="AJ64" s="46"/>
      <c r="AK64" s="77"/>
      <c r="AL64" s="78"/>
      <c r="AM64" s="79"/>
      <c r="AN64" s="80"/>
      <c r="AO64" s="80"/>
      <c r="AP64" s="61"/>
      <c r="AQ64" s="62"/>
      <c r="AR64" s="81"/>
      <c r="AS64" s="81"/>
      <c r="AT64" s="81"/>
      <c r="AU64" s="81"/>
      <c r="AV64" s="82"/>
      <c r="AW64" s="83"/>
      <c r="AX64" s="83"/>
      <c r="AZ64" s="66">
        <f t="shared" ref="AZ64" si="72">(AT64*I64)+(AU64*J64)+(AV64*K64)+(AW64*L64)+(AX64*M64)</f>
        <v>0</v>
      </c>
    </row>
    <row r="65" spans="1:52" s="66" customFormat="1" ht="39.75" customHeight="1" thickBot="1" x14ac:dyDescent="0.2">
      <c r="A65" s="108"/>
      <c r="B65" s="91"/>
      <c r="C65" s="131"/>
      <c r="D65" s="108"/>
      <c r="E65" s="270"/>
      <c r="F65" s="323"/>
      <c r="G65" s="323"/>
      <c r="H65" s="207"/>
      <c r="I65" s="92"/>
      <c r="J65" s="41"/>
      <c r="K65" s="41"/>
      <c r="L65" s="42"/>
      <c r="M65" s="68"/>
      <c r="N65" s="94">
        <f>SUM(I65:M65)</f>
        <v>0</v>
      </c>
      <c r="O65" s="44">
        <v>1</v>
      </c>
      <c r="P65" s="45"/>
      <c r="Q65" s="46"/>
      <c r="R65" s="46"/>
      <c r="S65" s="121"/>
      <c r="T65" s="70"/>
      <c r="U65" s="71">
        <f>ROUND(((P65*I65)+(Q65*J65)+(R65*K65)+(S65*L65)+(T65*M65))*O65,2)</f>
        <v>0</v>
      </c>
      <c r="V65" s="72">
        <f>IF(U65&gt;=15,15,U65)</f>
        <v>0</v>
      </c>
      <c r="W65" s="99"/>
      <c r="X65" s="231"/>
      <c r="Y65" s="325"/>
      <c r="Z65" s="288"/>
      <c r="AA65" s="74"/>
      <c r="AB65" s="75" t="e">
        <f>ROUND((((W65*I65)+(X65*J65)+(Y65*K65)+(Z65*L65)+(AA65*M65))/$I$2),2)*13</f>
        <v>#DIV/0!</v>
      </c>
      <c r="AC65" s="72" t="e">
        <f>IF(AB65&gt;=13,13,AB65)</f>
        <v>#DIV/0!</v>
      </c>
      <c r="AD65" s="52"/>
      <c r="AE65" s="71" t="e">
        <f>IF((AC65+AD65)&gt;=15,15,(AC65+AD65))</f>
        <v>#DIV/0!</v>
      </c>
      <c r="AF65" s="76"/>
      <c r="AG65" s="54"/>
      <c r="AH65" s="77" t="e">
        <f>IF((V65+AE65+AF65)&gt;=30,30,(V65+AE65+AF65))</f>
        <v>#DIV/0!</v>
      </c>
      <c r="AI65" s="56">
        <v>10</v>
      </c>
      <c r="AJ65" s="56">
        <v>10</v>
      </c>
      <c r="AK65" s="56">
        <v>45</v>
      </c>
      <c r="AL65" s="57" t="e">
        <f>V65+AE65+AF65+AI65+AJ65+AK65+AG65</f>
        <v>#DIV/0!</v>
      </c>
      <c r="AM65" s="55" t="e">
        <f>IF(AH65+AI65+AJ65+AK65+AG65&gt;=95,95,AH65+AI65+AJ65+AK65+AG65)</f>
        <v>#DIV/0!</v>
      </c>
      <c r="AN65" s="78" t="e">
        <f>-((50-((176+(45+(50-AH65)))))/200)</f>
        <v>#DIV/0!</v>
      </c>
      <c r="AO65" s="79"/>
      <c r="AP65" s="80">
        <f>100%+AO65</f>
        <v>1</v>
      </c>
      <c r="AQ65" s="80">
        <f>100%+AP65</f>
        <v>2</v>
      </c>
      <c r="AR65" s="61"/>
      <c r="AS65" s="62"/>
      <c r="AT65" s="81"/>
      <c r="AU65" s="81"/>
      <c r="AV65" s="81"/>
      <c r="AW65" s="81"/>
      <c r="AX65" s="82"/>
      <c r="AY65" s="83">
        <f>AT65+AU65+AV65+AW65+AX65</f>
        <v>0</v>
      </c>
      <c r="AZ65" s="83">
        <f>(AT65*I65)+(AU65*J65)+(AV65*K65)+(AW65*L65)+(AX65*M65)</f>
        <v>0</v>
      </c>
    </row>
    <row r="66" spans="1:52" s="66" customFormat="1" ht="21" customHeight="1" thickBot="1" x14ac:dyDescent="0.2">
      <c r="A66" s="96"/>
      <c r="B66" s="91"/>
      <c r="C66" s="352" t="s">
        <v>3</v>
      </c>
      <c r="D66" s="353"/>
      <c r="E66" s="353"/>
      <c r="F66" s="353"/>
      <c r="G66" s="354"/>
      <c r="H66" s="195"/>
      <c r="I66" s="199"/>
      <c r="J66" s="84"/>
      <c r="K66" s="84"/>
      <c r="L66" s="84"/>
      <c r="M66" s="84"/>
      <c r="N66" s="168">
        <f>I66*I65+J66*J65+K66*K65+L66*L65+M66*M65</f>
        <v>0</v>
      </c>
      <c r="O66" s="44"/>
      <c r="P66" s="45"/>
      <c r="Q66" s="46"/>
      <c r="R66" s="46"/>
      <c r="S66" s="47"/>
      <c r="T66" s="70"/>
      <c r="U66" s="71"/>
      <c r="V66" s="72"/>
      <c r="W66" s="150"/>
      <c r="X66" s="85"/>
      <c r="Y66" s="151"/>
      <c r="Z66" s="85"/>
      <c r="AA66" s="74"/>
      <c r="AB66" s="75"/>
      <c r="AC66" s="72"/>
      <c r="AD66" s="71"/>
      <c r="AE66" s="71"/>
      <c r="AF66" s="152"/>
      <c r="AG66" s="86"/>
      <c r="AH66" s="77"/>
      <c r="AI66" s="87"/>
      <c r="AJ66" s="46"/>
      <c r="AK66" s="77"/>
      <c r="AL66" s="78"/>
      <c r="AM66" s="79"/>
      <c r="AN66" s="80"/>
      <c r="AO66" s="80"/>
      <c r="AP66" s="61"/>
      <c r="AQ66" s="62"/>
      <c r="AR66" s="81"/>
      <c r="AS66" s="81"/>
      <c r="AT66" s="81"/>
      <c r="AU66" s="81"/>
      <c r="AV66" s="82"/>
      <c r="AW66" s="83"/>
      <c r="AX66" s="83"/>
      <c r="AZ66" s="66">
        <f t="shared" ref="AZ66" si="73">(AT66*I66)+(AU66*J66)+(AV66*K66)+(AW66*L66)+(AX66*M66)</f>
        <v>0</v>
      </c>
    </row>
    <row r="67" spans="1:52" s="66" customFormat="1" ht="39.75" customHeight="1" thickBot="1" x14ac:dyDescent="0.2">
      <c r="A67" s="96"/>
      <c r="B67" s="108"/>
      <c r="C67" s="110"/>
      <c r="D67" s="108"/>
      <c r="E67" s="323"/>
      <c r="F67" s="323"/>
      <c r="G67" s="270"/>
      <c r="H67" s="207"/>
      <c r="I67" s="92"/>
      <c r="J67" s="41"/>
      <c r="K67" s="41"/>
      <c r="L67" s="42"/>
      <c r="M67" s="147"/>
      <c r="N67" s="94">
        <f>SUM(I67:M67)</f>
        <v>0</v>
      </c>
      <c r="O67" s="125">
        <v>1</v>
      </c>
      <c r="P67" s="244"/>
      <c r="Q67" s="245"/>
      <c r="R67" s="245"/>
      <c r="S67" s="114"/>
      <c r="T67" s="70"/>
      <c r="U67" s="71">
        <f>ROUND(((P67*I67)+(Q67*J67)+(R67*K67)+(S67*L67)+(T67*M67))*O67,2)</f>
        <v>0</v>
      </c>
      <c r="V67" s="72">
        <f>IF(U67&gt;=15,15,U67)</f>
        <v>0</v>
      </c>
      <c r="W67" s="202"/>
      <c r="X67" s="306"/>
      <c r="Y67" s="306"/>
      <c r="Z67" s="308"/>
      <c r="AA67" s="74"/>
      <c r="AB67" s="75" t="e">
        <f>ROUND((((W67*I67)+(X67*J67)+(Y67*K67)+(Z67*L67)+(AA67*M67))/$I$2),2)*13</f>
        <v>#DIV/0!</v>
      </c>
      <c r="AC67" s="72" t="e">
        <f>IF(AB67&gt;=13,13,AB67)</f>
        <v>#DIV/0!</v>
      </c>
      <c r="AD67" s="124"/>
      <c r="AE67" s="71" t="e">
        <f>IF((AC67+AD67)&gt;=15,15,(AC67+AD67))</f>
        <v>#DIV/0!</v>
      </c>
      <c r="AF67" s="76"/>
      <c r="AG67" s="54"/>
      <c r="AH67" s="77" t="e">
        <f>IF((V67+AE67+AF67)&gt;=30,30,(V67+AE67+AF67))</f>
        <v>#DIV/0!</v>
      </c>
      <c r="AI67" s="56">
        <v>10</v>
      </c>
      <c r="AJ67" s="56">
        <v>10</v>
      </c>
      <c r="AK67" s="56">
        <v>45</v>
      </c>
      <c r="AL67" s="57" t="e">
        <f>V67+AE67+AF67+AI67+AJ67+AK67+AG67</f>
        <v>#DIV/0!</v>
      </c>
      <c r="AM67" s="55" t="e">
        <f>IF(AH67+AI67+AJ67+AK67+AG67&gt;=95,95,AH67+AI67+AJ67+AK67+AG67)</f>
        <v>#DIV/0!</v>
      </c>
      <c r="AN67" s="78" t="e">
        <f>-((50-((176+(45+(50-AH67)))))/200)</f>
        <v>#DIV/0!</v>
      </c>
      <c r="AO67" s="79"/>
      <c r="AP67" s="80">
        <f>100%+AO67</f>
        <v>1</v>
      </c>
      <c r="AQ67" s="80">
        <f>100%+AP67</f>
        <v>2</v>
      </c>
      <c r="AR67" s="61"/>
      <c r="AS67" s="62"/>
      <c r="AT67" s="81"/>
      <c r="AU67" s="81"/>
      <c r="AV67" s="81"/>
      <c r="AW67" s="81"/>
      <c r="AX67" s="82"/>
      <c r="AY67" s="83">
        <f>AT67+AU67+AV67+AW67+AX67</f>
        <v>0</v>
      </c>
      <c r="AZ67" s="83">
        <f>(AT67*I67)+(AU67*J67)+(AV67*K67)+(AW67*L67)+(AX67*M67)</f>
        <v>0</v>
      </c>
    </row>
    <row r="68" spans="1:52" s="66" customFormat="1" ht="21" customHeight="1" thickBot="1" x14ac:dyDescent="0.2">
      <c r="A68" s="96"/>
      <c r="B68" s="91"/>
      <c r="C68" s="352" t="s">
        <v>3</v>
      </c>
      <c r="D68" s="353"/>
      <c r="E68" s="353"/>
      <c r="F68" s="353"/>
      <c r="G68" s="354"/>
      <c r="H68" s="195"/>
      <c r="I68" s="199"/>
      <c r="J68" s="84"/>
      <c r="K68" s="84"/>
      <c r="L68" s="84"/>
      <c r="M68" s="84"/>
      <c r="N68" s="168">
        <f>I68*I67+J68*J67+K68*K67+L68*L67+M68*M67</f>
        <v>0</v>
      </c>
      <c r="O68" s="44"/>
      <c r="P68" s="45"/>
      <c r="Q68" s="46"/>
      <c r="R68" s="46"/>
      <c r="S68" s="47"/>
      <c r="T68" s="70"/>
      <c r="U68" s="71"/>
      <c r="V68" s="72"/>
      <c r="W68" s="150"/>
      <c r="X68" s="85"/>
      <c r="Y68" s="151"/>
      <c r="Z68" s="85"/>
      <c r="AA68" s="74"/>
      <c r="AB68" s="75"/>
      <c r="AC68" s="72"/>
      <c r="AD68" s="71"/>
      <c r="AE68" s="71"/>
      <c r="AF68" s="152"/>
      <c r="AG68" s="86"/>
      <c r="AH68" s="77"/>
      <c r="AI68" s="87"/>
      <c r="AJ68" s="46"/>
      <c r="AK68" s="77"/>
      <c r="AL68" s="78"/>
      <c r="AM68" s="79"/>
      <c r="AN68" s="80"/>
      <c r="AO68" s="80"/>
      <c r="AP68" s="61"/>
      <c r="AQ68" s="62"/>
      <c r="AR68" s="81"/>
      <c r="AS68" s="81"/>
      <c r="AT68" s="81"/>
      <c r="AU68" s="81"/>
      <c r="AV68" s="82"/>
      <c r="AW68" s="83"/>
      <c r="AX68" s="83"/>
      <c r="AZ68" s="66">
        <f t="shared" ref="AZ68" si="74">(AT68*I68)+(AU68*J68)+(AV68*K68)+(AW68*L68)+(AX68*M68)</f>
        <v>0</v>
      </c>
    </row>
    <row r="69" spans="1:52" s="66" customFormat="1" ht="39.75" customHeight="1" thickBot="1" x14ac:dyDescent="0.2">
      <c r="A69" s="108"/>
      <c r="B69" s="91"/>
      <c r="C69" s="131"/>
      <c r="D69" s="108"/>
      <c r="E69" s="108"/>
      <c r="F69" s="313"/>
      <c r="G69" s="108"/>
      <c r="H69" s="207"/>
      <c r="I69" s="92"/>
      <c r="J69" s="41"/>
      <c r="K69" s="41"/>
      <c r="L69" s="42"/>
      <c r="M69" s="68"/>
      <c r="N69" s="94">
        <f t="shared" ref="N69:N79" si="75">SUM(I69:M69)</f>
        <v>0</v>
      </c>
      <c r="O69" s="44">
        <v>1</v>
      </c>
      <c r="P69" s="45"/>
      <c r="Q69" s="46"/>
      <c r="R69" s="46"/>
      <c r="S69" s="121"/>
      <c r="T69" s="70"/>
      <c r="U69" s="71">
        <f t="shared" si="14"/>
        <v>0</v>
      </c>
      <c r="V69" s="72">
        <f t="shared" si="2"/>
        <v>0</v>
      </c>
      <c r="W69" s="205"/>
      <c r="X69" s="288"/>
      <c r="Y69" s="296"/>
      <c r="Z69" s="308"/>
      <c r="AA69" s="74"/>
      <c r="AB69" s="75" t="e">
        <f t="shared" si="3"/>
        <v>#DIV/0!</v>
      </c>
      <c r="AC69" s="72" t="e">
        <f t="shared" si="4"/>
        <v>#DIV/0!</v>
      </c>
      <c r="AD69" s="52"/>
      <c r="AE69" s="71" t="e">
        <f t="shared" si="5"/>
        <v>#DIV/0!</v>
      </c>
      <c r="AF69" s="76"/>
      <c r="AG69" s="54"/>
      <c r="AH69" s="77" t="e">
        <f t="shared" si="6"/>
        <v>#DIV/0!</v>
      </c>
      <c r="AI69" s="56">
        <v>10</v>
      </c>
      <c r="AJ69" s="56">
        <v>10</v>
      </c>
      <c r="AK69" s="56">
        <v>45</v>
      </c>
      <c r="AL69" s="57" t="e">
        <f t="shared" si="7"/>
        <v>#DIV/0!</v>
      </c>
      <c r="AM69" s="55" t="e">
        <f t="shared" si="8"/>
        <v>#DIV/0!</v>
      </c>
      <c r="AN69" s="78" t="e">
        <f t="shared" si="9"/>
        <v>#DIV/0!</v>
      </c>
      <c r="AO69" s="79"/>
      <c r="AP69" s="80">
        <f t="shared" ref="AP69:AQ83" si="76">100%+AO69</f>
        <v>1</v>
      </c>
      <c r="AQ69" s="80">
        <f t="shared" si="76"/>
        <v>2</v>
      </c>
      <c r="AR69" s="61"/>
      <c r="AS69" s="62"/>
      <c r="AT69" s="81"/>
      <c r="AU69" s="81"/>
      <c r="AV69" s="81"/>
      <c r="AW69" s="81"/>
      <c r="AX69" s="82"/>
      <c r="AY69" s="83">
        <f t="shared" si="11"/>
        <v>0</v>
      </c>
      <c r="AZ69" s="83">
        <f t="shared" si="12"/>
        <v>0</v>
      </c>
    </row>
    <row r="70" spans="1:52" s="66" customFormat="1" ht="21" customHeight="1" thickBot="1" x14ac:dyDescent="0.2">
      <c r="A70" s="96"/>
      <c r="B70" s="91"/>
      <c r="C70" s="352" t="s">
        <v>3</v>
      </c>
      <c r="D70" s="353"/>
      <c r="E70" s="353"/>
      <c r="F70" s="353"/>
      <c r="G70" s="354"/>
      <c r="H70" s="195"/>
      <c r="I70" s="199"/>
      <c r="J70" s="84"/>
      <c r="K70" s="84"/>
      <c r="L70" s="84"/>
      <c r="M70" s="84"/>
      <c r="N70" s="168">
        <f>I70*I69+J70*J69+K70*K69+L70*L69+M70*M69</f>
        <v>0</v>
      </c>
      <c r="O70" s="44"/>
      <c r="P70" s="45"/>
      <c r="Q70" s="46"/>
      <c r="R70" s="46"/>
      <c r="S70" s="47"/>
      <c r="T70" s="70"/>
      <c r="U70" s="71"/>
      <c r="V70" s="72"/>
      <c r="W70" s="150"/>
      <c r="X70" s="85"/>
      <c r="Y70" s="151"/>
      <c r="Z70" s="85"/>
      <c r="AA70" s="74"/>
      <c r="AB70" s="75"/>
      <c r="AC70" s="72"/>
      <c r="AD70" s="71"/>
      <c r="AE70" s="71"/>
      <c r="AF70" s="152"/>
      <c r="AG70" s="86"/>
      <c r="AH70" s="77"/>
      <c r="AI70" s="87"/>
      <c r="AJ70" s="46"/>
      <c r="AK70" s="77"/>
      <c r="AL70" s="78"/>
      <c r="AM70" s="79"/>
      <c r="AN70" s="80"/>
      <c r="AO70" s="80"/>
      <c r="AP70" s="61"/>
      <c r="AQ70" s="62"/>
      <c r="AR70" s="81"/>
      <c r="AS70" s="81"/>
      <c r="AT70" s="81"/>
      <c r="AU70" s="81"/>
      <c r="AV70" s="82"/>
      <c r="AW70" s="83"/>
      <c r="AX70" s="83"/>
      <c r="AZ70" s="66">
        <f t="shared" si="12"/>
        <v>0</v>
      </c>
    </row>
    <row r="71" spans="1:52" s="66" customFormat="1" ht="39.75" customHeight="1" thickBot="1" x14ac:dyDescent="0.2">
      <c r="A71" s="96"/>
      <c r="B71" s="91"/>
      <c r="C71" s="131"/>
      <c r="D71" s="108"/>
      <c r="E71" s="108"/>
      <c r="F71" s="108"/>
      <c r="G71" s="170"/>
      <c r="H71" s="207"/>
      <c r="I71" s="92"/>
      <c r="J71" s="41"/>
      <c r="K71" s="41"/>
      <c r="L71" s="88"/>
      <c r="M71" s="147"/>
      <c r="N71" s="94">
        <f t="shared" ref="N71:N73" si="77">SUM(I71:M71)</f>
        <v>0</v>
      </c>
      <c r="O71" s="125">
        <v>1</v>
      </c>
      <c r="P71" s="112"/>
      <c r="Q71" s="113"/>
      <c r="R71" s="113"/>
      <c r="S71" s="120"/>
      <c r="T71" s="70"/>
      <c r="U71" s="71">
        <f t="shared" si="14"/>
        <v>0</v>
      </c>
      <c r="V71" s="72">
        <f t="shared" si="2"/>
        <v>0</v>
      </c>
      <c r="W71" s="201"/>
      <c r="X71" s="85"/>
      <c r="Y71" s="230"/>
      <c r="Z71" s="117"/>
      <c r="AA71" s="74"/>
      <c r="AB71" s="75" t="e">
        <f t="shared" si="3"/>
        <v>#DIV/0!</v>
      </c>
      <c r="AC71" s="72" t="e">
        <f t="shared" si="4"/>
        <v>#DIV/0!</v>
      </c>
      <c r="AD71" s="124"/>
      <c r="AE71" s="71" t="e">
        <f t="shared" si="5"/>
        <v>#DIV/0!</v>
      </c>
      <c r="AF71" s="76"/>
      <c r="AG71" s="54"/>
      <c r="AH71" s="77" t="e">
        <f t="shared" si="6"/>
        <v>#DIV/0!</v>
      </c>
      <c r="AI71" s="56">
        <v>10</v>
      </c>
      <c r="AJ71" s="56">
        <v>10</v>
      </c>
      <c r="AK71" s="56">
        <v>45</v>
      </c>
      <c r="AL71" s="57" t="e">
        <f t="shared" si="7"/>
        <v>#DIV/0!</v>
      </c>
      <c r="AM71" s="55" t="e">
        <f t="shared" si="8"/>
        <v>#DIV/0!</v>
      </c>
      <c r="AN71" s="78" t="e">
        <f t="shared" si="9"/>
        <v>#DIV/0!</v>
      </c>
      <c r="AO71" s="79"/>
      <c r="AP71" s="80">
        <f t="shared" si="76"/>
        <v>1</v>
      </c>
      <c r="AQ71" s="80">
        <f t="shared" si="76"/>
        <v>2</v>
      </c>
      <c r="AR71" s="61"/>
      <c r="AS71" s="62"/>
      <c r="AT71" s="81"/>
      <c r="AU71" s="81"/>
      <c r="AV71" s="81"/>
      <c r="AW71" s="81"/>
      <c r="AX71" s="82"/>
      <c r="AY71" s="83">
        <f t="shared" si="11"/>
        <v>0</v>
      </c>
      <c r="AZ71" s="83">
        <f t="shared" si="12"/>
        <v>0</v>
      </c>
    </row>
    <row r="72" spans="1:52" s="66" customFormat="1" ht="21" customHeight="1" thickBot="1" x14ac:dyDescent="0.2">
      <c r="A72" s="96"/>
      <c r="B72" s="91"/>
      <c r="C72" s="352" t="s">
        <v>3</v>
      </c>
      <c r="D72" s="353"/>
      <c r="E72" s="353"/>
      <c r="F72" s="353"/>
      <c r="G72" s="354"/>
      <c r="H72" s="195"/>
      <c r="I72" s="199"/>
      <c r="J72" s="84"/>
      <c r="K72" s="84"/>
      <c r="L72" s="84"/>
      <c r="M72" s="84"/>
      <c r="N72" s="168">
        <f>I72*I71+J72*J71+K72*K71+L72*L71+M72*M71</f>
        <v>0</v>
      </c>
      <c r="O72" s="44"/>
      <c r="P72" s="45"/>
      <c r="Q72" s="46"/>
      <c r="R72" s="46"/>
      <c r="S72" s="47"/>
      <c r="T72" s="70"/>
      <c r="U72" s="71"/>
      <c r="V72" s="72"/>
      <c r="W72" s="150"/>
      <c r="X72" s="85"/>
      <c r="Y72" s="151"/>
      <c r="Z72" s="85"/>
      <c r="AA72" s="74"/>
      <c r="AB72" s="75"/>
      <c r="AC72" s="72"/>
      <c r="AD72" s="71"/>
      <c r="AE72" s="71"/>
      <c r="AF72" s="152"/>
      <c r="AG72" s="86"/>
      <c r="AH72" s="77"/>
      <c r="AI72" s="87"/>
      <c r="AJ72" s="46"/>
      <c r="AK72" s="77"/>
      <c r="AL72" s="78"/>
      <c r="AM72" s="79"/>
      <c r="AN72" s="80"/>
      <c r="AO72" s="80"/>
      <c r="AP72" s="61"/>
      <c r="AQ72" s="62"/>
      <c r="AR72" s="81"/>
      <c r="AS72" s="81"/>
      <c r="AT72" s="81"/>
      <c r="AU72" s="81"/>
      <c r="AV72" s="82"/>
      <c r="AW72" s="83"/>
      <c r="AX72" s="83"/>
      <c r="AZ72" s="66">
        <f t="shared" si="12"/>
        <v>0</v>
      </c>
    </row>
    <row r="73" spans="1:52" s="66" customFormat="1" ht="39.75" customHeight="1" thickBot="1" x14ac:dyDescent="0.2">
      <c r="A73" s="96"/>
      <c r="B73" s="91"/>
      <c r="C73" s="131"/>
      <c r="D73" s="109"/>
      <c r="E73" s="109"/>
      <c r="F73" s="109"/>
      <c r="G73" s="170"/>
      <c r="H73" s="207"/>
      <c r="I73" s="92"/>
      <c r="J73" s="41"/>
      <c r="K73" s="41"/>
      <c r="L73" s="42"/>
      <c r="M73" s="147"/>
      <c r="N73" s="94">
        <f t="shared" si="77"/>
        <v>0</v>
      </c>
      <c r="O73" s="125">
        <v>1</v>
      </c>
      <c r="P73" s="112"/>
      <c r="Q73" s="113"/>
      <c r="R73" s="114"/>
      <c r="S73" s="120"/>
      <c r="T73" s="70"/>
      <c r="U73" s="71">
        <f t="shared" si="14"/>
        <v>0</v>
      </c>
      <c r="V73" s="72">
        <f t="shared" si="2"/>
        <v>0</v>
      </c>
      <c r="W73" s="205"/>
      <c r="X73" s="231"/>
      <c r="Y73" s="201"/>
      <c r="Z73" s="201"/>
      <c r="AA73" s="74"/>
      <c r="AB73" s="75" t="e">
        <f t="shared" si="3"/>
        <v>#DIV/0!</v>
      </c>
      <c r="AC73" s="72" t="e">
        <f t="shared" si="4"/>
        <v>#DIV/0!</v>
      </c>
      <c r="AD73" s="124"/>
      <c r="AE73" s="71" t="e">
        <f t="shared" si="5"/>
        <v>#DIV/0!</v>
      </c>
      <c r="AF73" s="76"/>
      <c r="AG73" s="54"/>
      <c r="AH73" s="77" t="e">
        <f t="shared" si="6"/>
        <v>#DIV/0!</v>
      </c>
      <c r="AI73" s="56">
        <v>10</v>
      </c>
      <c r="AJ73" s="56">
        <v>10</v>
      </c>
      <c r="AK73" s="56">
        <v>45</v>
      </c>
      <c r="AL73" s="57" t="e">
        <f t="shared" si="7"/>
        <v>#DIV/0!</v>
      </c>
      <c r="AM73" s="55" t="e">
        <f t="shared" si="8"/>
        <v>#DIV/0!</v>
      </c>
      <c r="AN73" s="78" t="e">
        <f t="shared" si="9"/>
        <v>#DIV/0!</v>
      </c>
      <c r="AO73" s="79"/>
      <c r="AP73" s="80">
        <f t="shared" si="76"/>
        <v>1</v>
      </c>
      <c r="AQ73" s="80">
        <f t="shared" si="76"/>
        <v>2</v>
      </c>
      <c r="AR73" s="61"/>
      <c r="AS73" s="62"/>
      <c r="AT73" s="81"/>
      <c r="AU73" s="81"/>
      <c r="AV73" s="81"/>
      <c r="AW73" s="81"/>
      <c r="AX73" s="82"/>
      <c r="AY73" s="83">
        <f t="shared" si="11"/>
        <v>0</v>
      </c>
      <c r="AZ73" s="83">
        <f t="shared" si="12"/>
        <v>0</v>
      </c>
    </row>
    <row r="74" spans="1:52" s="66" customFormat="1" ht="21" customHeight="1" thickBot="1" x14ac:dyDescent="0.2">
      <c r="A74" s="96"/>
      <c r="B74" s="91"/>
      <c r="C74" s="352" t="s">
        <v>3</v>
      </c>
      <c r="D74" s="353"/>
      <c r="E74" s="353"/>
      <c r="F74" s="353"/>
      <c r="G74" s="354"/>
      <c r="H74" s="195"/>
      <c r="I74" s="199"/>
      <c r="J74" s="84"/>
      <c r="K74" s="84"/>
      <c r="L74" s="84"/>
      <c r="M74" s="84"/>
      <c r="N74" s="168">
        <f>I74*I73+J74*J73+K74*K73+L74*L73+M74*M73</f>
        <v>0</v>
      </c>
      <c r="O74" s="44"/>
      <c r="P74" s="45"/>
      <c r="Q74" s="46"/>
      <c r="R74" s="46"/>
      <c r="S74" s="47"/>
      <c r="T74" s="70"/>
      <c r="U74" s="71"/>
      <c r="V74" s="72"/>
      <c r="W74" s="150"/>
      <c r="X74" s="85"/>
      <c r="Y74" s="151"/>
      <c r="Z74" s="85"/>
      <c r="AA74" s="74"/>
      <c r="AB74" s="75"/>
      <c r="AC74" s="72"/>
      <c r="AD74" s="71"/>
      <c r="AE74" s="71"/>
      <c r="AF74" s="152"/>
      <c r="AG74" s="86"/>
      <c r="AH74" s="77"/>
      <c r="AI74" s="87"/>
      <c r="AJ74" s="46"/>
      <c r="AK74" s="77"/>
      <c r="AL74" s="78"/>
      <c r="AM74" s="79"/>
      <c r="AN74" s="80"/>
      <c r="AO74" s="80"/>
      <c r="AP74" s="61"/>
      <c r="AQ74" s="62"/>
      <c r="AR74" s="81"/>
      <c r="AS74" s="81"/>
      <c r="AT74" s="81"/>
      <c r="AU74" s="81"/>
      <c r="AV74" s="82"/>
      <c r="AW74" s="83"/>
      <c r="AX74" s="83"/>
      <c r="AZ74" s="66">
        <f t="shared" si="12"/>
        <v>0</v>
      </c>
    </row>
    <row r="75" spans="1:52" s="66" customFormat="1" ht="39.75" customHeight="1" thickBot="1" x14ac:dyDescent="0.2">
      <c r="A75" s="108"/>
      <c r="B75" s="108"/>
      <c r="C75" s="108"/>
      <c r="D75" s="108"/>
      <c r="E75" s="108"/>
      <c r="F75" s="105"/>
      <c r="G75" s="170"/>
      <c r="H75" s="207"/>
      <c r="I75" s="92"/>
      <c r="J75" s="41"/>
      <c r="K75" s="41"/>
      <c r="L75" s="42"/>
      <c r="M75" s="68"/>
      <c r="N75" s="94">
        <f t="shared" si="75"/>
        <v>0</v>
      </c>
      <c r="O75" s="44">
        <v>1</v>
      </c>
      <c r="P75" s="45"/>
      <c r="Q75" s="46"/>
      <c r="R75" s="46"/>
      <c r="S75" s="121"/>
      <c r="T75" s="70"/>
      <c r="U75" s="71">
        <f t="shared" si="14"/>
        <v>0</v>
      </c>
      <c r="V75" s="72">
        <f t="shared" si="2"/>
        <v>0</v>
      </c>
      <c r="W75" s="99"/>
      <c r="X75" s="100"/>
      <c r="Y75" s="85"/>
      <c r="Z75" s="95"/>
      <c r="AA75" s="74"/>
      <c r="AB75" s="75" t="e">
        <f t="shared" si="3"/>
        <v>#DIV/0!</v>
      </c>
      <c r="AC75" s="72" t="e">
        <f t="shared" si="4"/>
        <v>#DIV/0!</v>
      </c>
      <c r="AD75" s="52"/>
      <c r="AE75" s="71" t="e">
        <f t="shared" si="5"/>
        <v>#DIV/0!</v>
      </c>
      <c r="AF75" s="76"/>
      <c r="AG75" s="54"/>
      <c r="AH75" s="77" t="e">
        <f t="shared" si="6"/>
        <v>#DIV/0!</v>
      </c>
      <c r="AI75" s="56">
        <v>10</v>
      </c>
      <c r="AJ75" s="56">
        <v>10</v>
      </c>
      <c r="AK75" s="56">
        <v>45</v>
      </c>
      <c r="AL75" s="57" t="e">
        <f t="shared" si="7"/>
        <v>#DIV/0!</v>
      </c>
      <c r="AM75" s="55" t="e">
        <f t="shared" si="8"/>
        <v>#DIV/0!</v>
      </c>
      <c r="AN75" s="78" t="e">
        <f t="shared" si="9"/>
        <v>#DIV/0!</v>
      </c>
      <c r="AO75" s="79"/>
      <c r="AP75" s="80">
        <f t="shared" si="76"/>
        <v>1</v>
      </c>
      <c r="AQ75" s="80">
        <f t="shared" si="76"/>
        <v>2</v>
      </c>
      <c r="AR75" s="61"/>
      <c r="AS75" s="62"/>
      <c r="AT75" s="81"/>
      <c r="AU75" s="81"/>
      <c r="AV75" s="81"/>
      <c r="AW75" s="81"/>
      <c r="AX75" s="82"/>
      <c r="AY75" s="83">
        <f t="shared" si="11"/>
        <v>0</v>
      </c>
      <c r="AZ75" s="83">
        <f t="shared" si="12"/>
        <v>0</v>
      </c>
    </row>
    <row r="76" spans="1:52" s="66" customFormat="1" ht="21" customHeight="1" thickBot="1" x14ac:dyDescent="0.2">
      <c r="A76" s="96"/>
      <c r="B76" s="91"/>
      <c r="C76" s="352" t="s">
        <v>3</v>
      </c>
      <c r="D76" s="353"/>
      <c r="E76" s="353"/>
      <c r="F76" s="353"/>
      <c r="G76" s="354"/>
      <c r="H76" s="195"/>
      <c r="I76" s="199"/>
      <c r="J76" s="84"/>
      <c r="K76" s="84"/>
      <c r="L76" s="84"/>
      <c r="M76" s="84"/>
      <c r="N76" s="168">
        <f>I76*I75+J76*J75+K76*K75+L76*L75+M76*M75</f>
        <v>0</v>
      </c>
      <c r="O76" s="44"/>
      <c r="P76" s="45"/>
      <c r="Q76" s="46"/>
      <c r="R76" s="46"/>
      <c r="S76" s="47"/>
      <c r="T76" s="70"/>
      <c r="U76" s="71"/>
      <c r="V76" s="72"/>
      <c r="W76" s="150"/>
      <c r="X76" s="85"/>
      <c r="Y76" s="151"/>
      <c r="Z76" s="85"/>
      <c r="AA76" s="74"/>
      <c r="AB76" s="75"/>
      <c r="AC76" s="72"/>
      <c r="AD76" s="71"/>
      <c r="AE76" s="71"/>
      <c r="AF76" s="152"/>
      <c r="AG76" s="86"/>
      <c r="AH76" s="77"/>
      <c r="AI76" s="87"/>
      <c r="AJ76" s="46"/>
      <c r="AK76" s="77"/>
      <c r="AL76" s="78"/>
      <c r="AM76" s="79"/>
      <c r="AN76" s="80"/>
      <c r="AO76" s="80"/>
      <c r="AP76" s="61"/>
      <c r="AQ76" s="62"/>
      <c r="AR76" s="81"/>
      <c r="AS76" s="81"/>
      <c r="AT76" s="81"/>
      <c r="AU76" s="81"/>
      <c r="AV76" s="82"/>
      <c r="AW76" s="83"/>
      <c r="AX76" s="83"/>
      <c r="AZ76" s="66">
        <f t="shared" si="12"/>
        <v>0</v>
      </c>
    </row>
    <row r="77" spans="1:52" s="66" customFormat="1" ht="39.75" customHeight="1" thickBot="1" x14ac:dyDescent="0.2">
      <c r="A77" s="108"/>
      <c r="B77" s="108"/>
      <c r="C77" s="108"/>
      <c r="D77" s="108"/>
      <c r="E77" s="108"/>
      <c r="F77" s="105"/>
      <c r="G77" s="170"/>
      <c r="H77" s="207"/>
      <c r="I77" s="92"/>
      <c r="J77" s="41"/>
      <c r="K77" s="41"/>
      <c r="L77" s="42"/>
      <c r="M77" s="68"/>
      <c r="N77" s="94">
        <f t="shared" si="75"/>
        <v>0</v>
      </c>
      <c r="O77" s="44">
        <v>1</v>
      </c>
      <c r="P77" s="45"/>
      <c r="Q77" s="46"/>
      <c r="R77" s="46"/>
      <c r="S77" s="121"/>
      <c r="T77" s="70"/>
      <c r="U77" s="71">
        <f t="shared" si="14"/>
        <v>0</v>
      </c>
      <c r="V77" s="72">
        <f t="shared" si="2"/>
        <v>0</v>
      </c>
      <c r="W77" s="99"/>
      <c r="X77" s="100"/>
      <c r="Y77" s="85"/>
      <c r="Z77" s="95"/>
      <c r="AA77" s="74"/>
      <c r="AB77" s="75" t="e">
        <f t="shared" si="3"/>
        <v>#DIV/0!</v>
      </c>
      <c r="AC77" s="72" t="e">
        <f t="shared" si="4"/>
        <v>#DIV/0!</v>
      </c>
      <c r="AD77" s="52"/>
      <c r="AE77" s="71" t="e">
        <f t="shared" si="5"/>
        <v>#DIV/0!</v>
      </c>
      <c r="AF77" s="76"/>
      <c r="AG77" s="54"/>
      <c r="AH77" s="77" t="e">
        <f t="shared" si="6"/>
        <v>#DIV/0!</v>
      </c>
      <c r="AI77" s="56">
        <v>10</v>
      </c>
      <c r="AJ77" s="56">
        <v>10</v>
      </c>
      <c r="AK77" s="56">
        <v>45</v>
      </c>
      <c r="AL77" s="57" t="e">
        <f t="shared" si="7"/>
        <v>#DIV/0!</v>
      </c>
      <c r="AM77" s="55" t="e">
        <f t="shared" si="8"/>
        <v>#DIV/0!</v>
      </c>
      <c r="AN77" s="78" t="e">
        <f t="shared" si="9"/>
        <v>#DIV/0!</v>
      </c>
      <c r="AO77" s="79"/>
      <c r="AP77" s="80">
        <f t="shared" si="76"/>
        <v>1</v>
      </c>
      <c r="AQ77" s="80">
        <f t="shared" si="76"/>
        <v>2</v>
      </c>
      <c r="AR77" s="61"/>
      <c r="AS77" s="62"/>
      <c r="AT77" s="81"/>
      <c r="AU77" s="81"/>
      <c r="AV77" s="81"/>
      <c r="AW77" s="81"/>
      <c r="AX77" s="82"/>
      <c r="AY77" s="83">
        <f t="shared" si="11"/>
        <v>0</v>
      </c>
      <c r="AZ77" s="83">
        <f t="shared" si="12"/>
        <v>0</v>
      </c>
    </row>
    <row r="78" spans="1:52" s="66" customFormat="1" ht="21" customHeight="1" thickBot="1" x14ac:dyDescent="0.2">
      <c r="A78" s="96"/>
      <c r="B78" s="91"/>
      <c r="C78" s="352" t="s">
        <v>3</v>
      </c>
      <c r="D78" s="353"/>
      <c r="E78" s="353"/>
      <c r="F78" s="353"/>
      <c r="G78" s="354"/>
      <c r="H78" s="195"/>
      <c r="I78" s="199"/>
      <c r="J78" s="84"/>
      <c r="K78" s="84"/>
      <c r="L78" s="84"/>
      <c r="M78" s="84"/>
      <c r="N78" s="168">
        <f>I78*I77+J78*J77+K78*K77+L78*L77+M78*M77</f>
        <v>0</v>
      </c>
      <c r="O78" s="44"/>
      <c r="P78" s="45"/>
      <c r="Q78" s="46"/>
      <c r="R78" s="46"/>
      <c r="S78" s="47"/>
      <c r="T78" s="70"/>
      <c r="U78" s="71"/>
      <c r="V78" s="72"/>
      <c r="W78" s="150"/>
      <c r="X78" s="85"/>
      <c r="Y78" s="151"/>
      <c r="Z78" s="85"/>
      <c r="AA78" s="74"/>
      <c r="AB78" s="75"/>
      <c r="AC78" s="72"/>
      <c r="AD78" s="71"/>
      <c r="AE78" s="71"/>
      <c r="AF78" s="152"/>
      <c r="AG78" s="86"/>
      <c r="AH78" s="77"/>
      <c r="AI78" s="87"/>
      <c r="AJ78" s="46"/>
      <c r="AK78" s="77"/>
      <c r="AL78" s="78"/>
      <c r="AM78" s="79"/>
      <c r="AN78" s="80"/>
      <c r="AO78" s="80"/>
      <c r="AP78" s="61"/>
      <c r="AQ78" s="62"/>
      <c r="AR78" s="81"/>
      <c r="AS78" s="81"/>
      <c r="AT78" s="81"/>
      <c r="AU78" s="81"/>
      <c r="AV78" s="82"/>
      <c r="AW78" s="83"/>
      <c r="AX78" s="83"/>
      <c r="AZ78" s="66">
        <f t="shared" si="12"/>
        <v>0</v>
      </c>
    </row>
    <row r="79" spans="1:52" s="66" customFormat="1" ht="39.75" customHeight="1" thickBot="1" x14ac:dyDescent="0.2">
      <c r="A79" s="108"/>
      <c r="B79" s="108"/>
      <c r="C79" s="108"/>
      <c r="D79" s="108"/>
      <c r="E79" s="108"/>
      <c r="F79" s="105"/>
      <c r="G79" s="170"/>
      <c r="H79" s="207"/>
      <c r="I79" s="92"/>
      <c r="J79" s="41"/>
      <c r="K79" s="41"/>
      <c r="L79" s="42"/>
      <c r="M79" s="68"/>
      <c r="N79" s="94">
        <f t="shared" si="75"/>
        <v>0</v>
      </c>
      <c r="O79" s="44">
        <v>1</v>
      </c>
      <c r="P79" s="45"/>
      <c r="Q79" s="46"/>
      <c r="R79" s="46"/>
      <c r="S79" s="121"/>
      <c r="T79" s="70"/>
      <c r="U79" s="71">
        <f t="shared" si="14"/>
        <v>0</v>
      </c>
      <c r="V79" s="72">
        <f t="shared" si="2"/>
        <v>0</v>
      </c>
      <c r="W79" s="99"/>
      <c r="X79" s="100"/>
      <c r="Y79" s="85"/>
      <c r="Z79" s="95"/>
      <c r="AA79" s="74"/>
      <c r="AB79" s="75" t="e">
        <f t="shared" si="3"/>
        <v>#DIV/0!</v>
      </c>
      <c r="AC79" s="72" t="e">
        <f t="shared" si="4"/>
        <v>#DIV/0!</v>
      </c>
      <c r="AD79" s="52"/>
      <c r="AE79" s="71" t="e">
        <f t="shared" si="5"/>
        <v>#DIV/0!</v>
      </c>
      <c r="AF79" s="76"/>
      <c r="AG79" s="54"/>
      <c r="AH79" s="77" t="e">
        <f t="shared" si="6"/>
        <v>#DIV/0!</v>
      </c>
      <c r="AI79" s="56">
        <v>10</v>
      </c>
      <c r="AJ79" s="56">
        <v>10</v>
      </c>
      <c r="AK79" s="56">
        <v>45</v>
      </c>
      <c r="AL79" s="57" t="e">
        <f t="shared" si="7"/>
        <v>#DIV/0!</v>
      </c>
      <c r="AM79" s="55" t="e">
        <f t="shared" si="8"/>
        <v>#DIV/0!</v>
      </c>
      <c r="AN79" s="78" t="e">
        <f t="shared" si="9"/>
        <v>#DIV/0!</v>
      </c>
      <c r="AO79" s="79"/>
      <c r="AP79" s="80">
        <f t="shared" si="76"/>
        <v>1</v>
      </c>
      <c r="AQ79" s="80">
        <f t="shared" si="76"/>
        <v>2</v>
      </c>
      <c r="AR79" s="61"/>
      <c r="AS79" s="62"/>
      <c r="AT79" s="81"/>
      <c r="AU79" s="81"/>
      <c r="AV79" s="81"/>
      <c r="AW79" s="81"/>
      <c r="AX79" s="82"/>
      <c r="AY79" s="83">
        <f t="shared" si="11"/>
        <v>0</v>
      </c>
      <c r="AZ79" s="83">
        <f t="shared" si="12"/>
        <v>0</v>
      </c>
    </row>
    <row r="80" spans="1:52" s="66" customFormat="1" ht="21" customHeight="1" thickBot="1" x14ac:dyDescent="0.2">
      <c r="A80" s="96"/>
      <c r="B80" s="91"/>
      <c r="C80" s="352" t="s">
        <v>3</v>
      </c>
      <c r="D80" s="353"/>
      <c r="E80" s="353"/>
      <c r="F80" s="353"/>
      <c r="G80" s="354"/>
      <c r="H80" s="195"/>
      <c r="I80" s="199"/>
      <c r="J80" s="84"/>
      <c r="K80" s="84"/>
      <c r="L80" s="84"/>
      <c r="M80" s="84"/>
      <c r="N80" s="168">
        <f>I80*I79+J80*J79+K80*K79+L80*L79+M80*M79</f>
        <v>0</v>
      </c>
      <c r="O80" s="44"/>
      <c r="P80" s="45"/>
      <c r="Q80" s="46"/>
      <c r="R80" s="46"/>
      <c r="S80" s="47"/>
      <c r="T80" s="70"/>
      <c r="U80" s="71"/>
      <c r="V80" s="72"/>
      <c r="W80" s="150"/>
      <c r="X80" s="85"/>
      <c r="Y80" s="151"/>
      <c r="Z80" s="85"/>
      <c r="AA80" s="74"/>
      <c r="AB80" s="75"/>
      <c r="AC80" s="72"/>
      <c r="AD80" s="71"/>
      <c r="AE80" s="71"/>
      <c r="AF80" s="152"/>
      <c r="AG80" s="86"/>
      <c r="AH80" s="77"/>
      <c r="AI80" s="87"/>
      <c r="AJ80" s="46"/>
      <c r="AK80" s="77"/>
      <c r="AL80" s="78"/>
      <c r="AM80" s="79"/>
      <c r="AN80" s="80"/>
      <c r="AO80" s="80"/>
      <c r="AP80" s="61"/>
      <c r="AQ80" s="62"/>
      <c r="AR80" s="81"/>
      <c r="AS80" s="81"/>
      <c r="AT80" s="81"/>
      <c r="AU80" s="81"/>
      <c r="AV80" s="82"/>
      <c r="AW80" s="83"/>
      <c r="AX80" s="83"/>
      <c r="AZ80" s="66">
        <f t="shared" si="12"/>
        <v>0</v>
      </c>
    </row>
    <row r="81" spans="1:52" s="66" customFormat="1" ht="39.75" customHeight="1" thickBot="1" x14ac:dyDescent="0.2">
      <c r="A81" s="106"/>
      <c r="B81" s="106"/>
      <c r="C81" s="106"/>
      <c r="D81" s="106"/>
      <c r="E81" s="106"/>
      <c r="F81" s="105"/>
      <c r="G81" s="170"/>
      <c r="H81" s="207"/>
      <c r="I81" s="92"/>
      <c r="J81" s="41"/>
      <c r="K81" s="41"/>
      <c r="L81" s="42"/>
      <c r="M81" s="68"/>
      <c r="N81" s="94">
        <f t="shared" ref="N81:N144" si="78">SUM(I81:M81)</f>
        <v>0</v>
      </c>
      <c r="O81" s="44">
        <v>1</v>
      </c>
      <c r="P81" s="45"/>
      <c r="Q81" s="46"/>
      <c r="R81" s="46"/>
      <c r="S81" s="121"/>
      <c r="T81" s="70"/>
      <c r="U81" s="71">
        <f t="shared" ref="U81:U144" si="79">ROUND(((P81*I81)+(Q81*J81)+(R81*K81)+(S81*L81)+(T81*M81))*O81,2)</f>
        <v>0</v>
      </c>
      <c r="V81" s="72">
        <f t="shared" ref="V81:V144" si="80">IF(U81&gt;=15,15,U81)</f>
        <v>0</v>
      </c>
      <c r="W81" s="99"/>
      <c r="X81" s="100"/>
      <c r="Y81" s="85"/>
      <c r="Z81" s="95"/>
      <c r="AA81" s="74"/>
      <c r="AB81" s="75" t="e">
        <f t="shared" ref="AB81:AB144" si="81">ROUND((((W81*I81)+(X81*J81)+(Y81*K81)+(Z81*L81)+(AA81*M81))/$I$2),2)*13</f>
        <v>#DIV/0!</v>
      </c>
      <c r="AC81" s="72" t="e">
        <f t="shared" ref="AC81:AC144" si="82">IF(AB81&gt;=13,13,AB81)</f>
        <v>#DIV/0!</v>
      </c>
      <c r="AD81" s="52"/>
      <c r="AE81" s="71" t="e">
        <f t="shared" ref="AE81:AE144" si="83">IF((AC81+AD81)&gt;=15,15,(AC81+AD81))</f>
        <v>#DIV/0!</v>
      </c>
      <c r="AF81" s="76"/>
      <c r="AG81" s="54"/>
      <c r="AH81" s="77" t="e">
        <f t="shared" ref="AH81:AH144" si="84">IF((V81+AE81+AF81)&gt;=30,30,(V81+AE81+AF81))</f>
        <v>#DIV/0!</v>
      </c>
      <c r="AI81" s="56">
        <v>10</v>
      </c>
      <c r="AJ81" s="56">
        <v>10</v>
      </c>
      <c r="AK81" s="56">
        <v>45</v>
      </c>
      <c r="AL81" s="57" t="e">
        <f t="shared" ref="AL81:AL144" si="85">V81+AE81+AF81+AI81+AJ81+AK81+AG81</f>
        <v>#DIV/0!</v>
      </c>
      <c r="AM81" s="55" t="e">
        <f t="shared" ref="AM81:AM144" si="86">IF(AH81+AI81+AJ81+AK81+AG81&gt;=95,95,AH81+AI81+AJ81+AK81+AG81)</f>
        <v>#DIV/0!</v>
      </c>
      <c r="AN81" s="78" t="e">
        <f t="shared" ref="AN81:AN144" si="87">-((50-((176+(45+(50-AH81)))))/200)</f>
        <v>#DIV/0!</v>
      </c>
      <c r="AO81" s="79"/>
      <c r="AP81" s="80">
        <f t="shared" si="76"/>
        <v>1</v>
      </c>
      <c r="AQ81" s="80">
        <f t="shared" si="76"/>
        <v>2</v>
      </c>
      <c r="AR81" s="61"/>
      <c r="AS81" s="62"/>
      <c r="AT81" s="81"/>
      <c r="AU81" s="81"/>
      <c r="AV81" s="81"/>
      <c r="AW81" s="81"/>
      <c r="AX81" s="82"/>
      <c r="AY81" s="83">
        <f t="shared" ref="AY81:AY144" si="88">AT81+AU81+AV81+AW81+AX81</f>
        <v>0</v>
      </c>
      <c r="AZ81" s="83">
        <f t="shared" ref="AZ81:AZ144" si="89">(AT81*I81)+(AU81*J81)+(AV81*K81)+(AW81*L81)+(AX81*M81)</f>
        <v>0</v>
      </c>
    </row>
    <row r="82" spans="1:52" s="66" customFormat="1" ht="21" customHeight="1" thickBot="1" x14ac:dyDescent="0.2">
      <c r="A82" s="96"/>
      <c r="B82" s="91"/>
      <c r="C82" s="352" t="s">
        <v>3</v>
      </c>
      <c r="D82" s="353"/>
      <c r="E82" s="353"/>
      <c r="F82" s="353"/>
      <c r="G82" s="354"/>
      <c r="H82" s="195"/>
      <c r="I82" s="199"/>
      <c r="J82" s="84"/>
      <c r="K82" s="84"/>
      <c r="L82" s="84"/>
      <c r="M82" s="84"/>
      <c r="N82" s="168">
        <f>I82*I81+J82*J81+K82*K81+L82*L81+M82*M81</f>
        <v>0</v>
      </c>
      <c r="O82" s="44"/>
      <c r="P82" s="45"/>
      <c r="Q82" s="46"/>
      <c r="R82" s="46"/>
      <c r="S82" s="47"/>
      <c r="T82" s="70"/>
      <c r="U82" s="71"/>
      <c r="V82" s="72"/>
      <c r="W82" s="150"/>
      <c r="X82" s="85"/>
      <c r="Y82" s="151"/>
      <c r="Z82" s="85"/>
      <c r="AA82" s="74"/>
      <c r="AB82" s="75"/>
      <c r="AC82" s="72"/>
      <c r="AD82" s="71"/>
      <c r="AE82" s="71"/>
      <c r="AF82" s="152"/>
      <c r="AG82" s="86"/>
      <c r="AH82" s="77"/>
      <c r="AI82" s="87"/>
      <c r="AJ82" s="46"/>
      <c r="AK82" s="77"/>
      <c r="AL82" s="78"/>
      <c r="AM82" s="79"/>
      <c r="AN82" s="80"/>
      <c r="AO82" s="80"/>
      <c r="AP82" s="61"/>
      <c r="AQ82" s="62"/>
      <c r="AR82" s="81"/>
      <c r="AS82" s="81"/>
      <c r="AT82" s="81"/>
      <c r="AU82" s="81"/>
      <c r="AV82" s="82"/>
      <c r="AW82" s="83"/>
      <c r="AX82" s="83"/>
      <c r="AZ82" s="66">
        <f t="shared" si="89"/>
        <v>0</v>
      </c>
    </row>
    <row r="83" spans="1:52" s="66" customFormat="1" ht="39.75" customHeight="1" thickBot="1" x14ac:dyDescent="0.2">
      <c r="A83" s="101"/>
      <c r="B83" s="101"/>
      <c r="C83" s="108"/>
      <c r="D83" s="108"/>
      <c r="E83" s="108"/>
      <c r="F83" s="110"/>
      <c r="G83" s="169"/>
      <c r="H83" s="207"/>
      <c r="I83" s="92"/>
      <c r="J83" s="41"/>
      <c r="K83" s="41"/>
      <c r="L83" s="42"/>
      <c r="M83" s="68"/>
      <c r="N83" s="94">
        <f t="shared" si="78"/>
        <v>0</v>
      </c>
      <c r="O83" s="44">
        <v>1</v>
      </c>
      <c r="P83" s="45"/>
      <c r="Q83" s="46"/>
      <c r="R83" s="46"/>
      <c r="S83" s="121"/>
      <c r="T83" s="70"/>
      <c r="U83" s="71">
        <f t="shared" si="79"/>
        <v>0</v>
      </c>
      <c r="V83" s="72">
        <f t="shared" si="80"/>
        <v>0</v>
      </c>
      <c r="W83" s="99"/>
      <c r="X83" s="100"/>
      <c r="Y83" s="85"/>
      <c r="Z83" s="95"/>
      <c r="AA83" s="74"/>
      <c r="AB83" s="75" t="e">
        <f t="shared" si="81"/>
        <v>#DIV/0!</v>
      </c>
      <c r="AC83" s="72" t="e">
        <f t="shared" si="82"/>
        <v>#DIV/0!</v>
      </c>
      <c r="AD83" s="52"/>
      <c r="AE83" s="71" t="e">
        <f t="shared" si="83"/>
        <v>#DIV/0!</v>
      </c>
      <c r="AF83" s="76"/>
      <c r="AG83" s="54"/>
      <c r="AH83" s="77" t="e">
        <f t="shared" si="84"/>
        <v>#DIV/0!</v>
      </c>
      <c r="AI83" s="56">
        <v>10</v>
      </c>
      <c r="AJ83" s="56">
        <v>10</v>
      </c>
      <c r="AK83" s="56">
        <v>45</v>
      </c>
      <c r="AL83" s="57" t="e">
        <f t="shared" si="85"/>
        <v>#DIV/0!</v>
      </c>
      <c r="AM83" s="55" t="e">
        <f t="shared" si="86"/>
        <v>#DIV/0!</v>
      </c>
      <c r="AN83" s="78" t="e">
        <f t="shared" si="87"/>
        <v>#DIV/0!</v>
      </c>
      <c r="AO83" s="79"/>
      <c r="AP83" s="80">
        <f t="shared" si="76"/>
        <v>1</v>
      </c>
      <c r="AQ83" s="80">
        <f t="shared" si="76"/>
        <v>2</v>
      </c>
      <c r="AR83" s="61"/>
      <c r="AS83" s="62"/>
      <c r="AT83" s="81"/>
      <c r="AU83" s="81"/>
      <c r="AV83" s="81"/>
      <c r="AW83" s="81"/>
      <c r="AX83" s="82"/>
      <c r="AY83" s="83">
        <f t="shared" si="88"/>
        <v>0</v>
      </c>
      <c r="AZ83" s="83">
        <f t="shared" si="89"/>
        <v>0</v>
      </c>
    </row>
    <row r="84" spans="1:52" s="66" customFormat="1" ht="21" customHeight="1" thickBot="1" x14ac:dyDescent="0.2">
      <c r="A84" s="96"/>
      <c r="B84" s="91"/>
      <c r="C84" s="352" t="s">
        <v>3</v>
      </c>
      <c r="D84" s="353"/>
      <c r="E84" s="353"/>
      <c r="F84" s="353"/>
      <c r="G84" s="354"/>
      <c r="H84" s="195"/>
      <c r="I84" s="199"/>
      <c r="J84" s="84"/>
      <c r="K84" s="84"/>
      <c r="L84" s="84"/>
      <c r="M84" s="84"/>
      <c r="N84" s="168">
        <f>I84*I83+J84*J83+K84*K83+L84*L83+M84*M83</f>
        <v>0</v>
      </c>
      <c r="O84" s="44"/>
      <c r="P84" s="45"/>
      <c r="Q84" s="46"/>
      <c r="R84" s="46"/>
      <c r="S84" s="47"/>
      <c r="T84" s="70"/>
      <c r="U84" s="71"/>
      <c r="V84" s="72"/>
      <c r="W84" s="150"/>
      <c r="X84" s="85"/>
      <c r="Y84" s="151"/>
      <c r="Z84" s="85"/>
      <c r="AA84" s="74"/>
      <c r="AB84" s="75"/>
      <c r="AC84" s="72"/>
      <c r="AD84" s="71"/>
      <c r="AE84" s="71"/>
      <c r="AF84" s="152"/>
      <c r="AG84" s="86"/>
      <c r="AH84" s="77"/>
      <c r="AI84" s="87"/>
      <c r="AJ84" s="46"/>
      <c r="AK84" s="77"/>
      <c r="AL84" s="78"/>
      <c r="AM84" s="79"/>
      <c r="AN84" s="80"/>
      <c r="AO84" s="80"/>
      <c r="AP84" s="61"/>
      <c r="AQ84" s="62"/>
      <c r="AR84" s="81"/>
      <c r="AS84" s="81"/>
      <c r="AT84" s="81"/>
      <c r="AU84" s="81"/>
      <c r="AV84" s="82"/>
      <c r="AW84" s="83"/>
      <c r="AX84" s="83"/>
      <c r="AZ84" s="66">
        <f t="shared" si="89"/>
        <v>0</v>
      </c>
    </row>
    <row r="85" spans="1:52" s="66" customFormat="1" ht="39.75" customHeight="1" thickBot="1" x14ac:dyDescent="0.2">
      <c r="A85" s="101"/>
      <c r="B85" s="101"/>
      <c r="C85" s="101"/>
      <c r="D85" s="101"/>
      <c r="E85" s="101"/>
      <c r="F85" s="40"/>
      <c r="G85" s="90"/>
      <c r="H85" s="207"/>
      <c r="I85" s="92"/>
      <c r="J85" s="41"/>
      <c r="K85" s="41"/>
      <c r="L85" s="42"/>
      <c r="M85" s="68"/>
      <c r="N85" s="94">
        <f t="shared" si="78"/>
        <v>0</v>
      </c>
      <c r="O85" s="44">
        <v>1</v>
      </c>
      <c r="P85" s="45"/>
      <c r="Q85" s="46"/>
      <c r="R85" s="46"/>
      <c r="S85" s="121"/>
      <c r="T85" s="70"/>
      <c r="U85" s="71">
        <f t="shared" si="79"/>
        <v>0</v>
      </c>
      <c r="V85" s="72">
        <f t="shared" si="80"/>
        <v>0</v>
      </c>
      <c r="W85" s="99"/>
      <c r="X85" s="100"/>
      <c r="Y85" s="85"/>
      <c r="Z85" s="95"/>
      <c r="AA85" s="74"/>
      <c r="AB85" s="75" t="e">
        <f t="shared" si="81"/>
        <v>#DIV/0!</v>
      </c>
      <c r="AC85" s="72" t="e">
        <f t="shared" si="82"/>
        <v>#DIV/0!</v>
      </c>
      <c r="AD85" s="52"/>
      <c r="AE85" s="71" t="e">
        <f t="shared" si="83"/>
        <v>#DIV/0!</v>
      </c>
      <c r="AF85" s="76"/>
      <c r="AG85" s="54"/>
      <c r="AH85" s="77" t="e">
        <f t="shared" si="84"/>
        <v>#DIV/0!</v>
      </c>
      <c r="AI85" s="56">
        <v>10</v>
      </c>
      <c r="AJ85" s="56">
        <v>10</v>
      </c>
      <c r="AK85" s="56">
        <v>45</v>
      </c>
      <c r="AL85" s="57" t="e">
        <f t="shared" si="85"/>
        <v>#DIV/0!</v>
      </c>
      <c r="AM85" s="55" t="e">
        <f t="shared" si="86"/>
        <v>#DIV/0!</v>
      </c>
      <c r="AN85" s="78" t="e">
        <f t="shared" si="87"/>
        <v>#DIV/0!</v>
      </c>
      <c r="AO85" s="79"/>
      <c r="AP85" s="80">
        <f t="shared" ref="AP85:AQ103" si="90">100%+AO85</f>
        <v>1</v>
      </c>
      <c r="AQ85" s="80">
        <f t="shared" si="90"/>
        <v>2</v>
      </c>
      <c r="AR85" s="61"/>
      <c r="AS85" s="62"/>
      <c r="AT85" s="81"/>
      <c r="AU85" s="81"/>
      <c r="AV85" s="81"/>
      <c r="AW85" s="81"/>
      <c r="AX85" s="82"/>
      <c r="AY85" s="83">
        <f t="shared" si="88"/>
        <v>0</v>
      </c>
      <c r="AZ85" s="83">
        <f t="shared" si="89"/>
        <v>0</v>
      </c>
    </row>
    <row r="86" spans="1:52" s="66" customFormat="1" ht="21" customHeight="1" thickBot="1" x14ac:dyDescent="0.2">
      <c r="A86" s="96"/>
      <c r="B86" s="91"/>
      <c r="C86" s="352" t="s">
        <v>3</v>
      </c>
      <c r="D86" s="353"/>
      <c r="E86" s="353"/>
      <c r="F86" s="353"/>
      <c r="G86" s="354"/>
      <c r="H86" s="195"/>
      <c r="I86" s="199"/>
      <c r="J86" s="84"/>
      <c r="K86" s="84"/>
      <c r="L86" s="84"/>
      <c r="M86" s="84"/>
      <c r="N86" s="168">
        <f>I86*I85+J86*J85+K86*K85+L86*L85+M86*M85</f>
        <v>0</v>
      </c>
      <c r="O86" s="44"/>
      <c r="P86" s="45"/>
      <c r="Q86" s="46"/>
      <c r="R86" s="46"/>
      <c r="S86" s="47"/>
      <c r="T86" s="70"/>
      <c r="U86" s="71"/>
      <c r="V86" s="72"/>
      <c r="W86" s="150"/>
      <c r="X86" s="85"/>
      <c r="Y86" s="151"/>
      <c r="Z86" s="85"/>
      <c r="AA86" s="74"/>
      <c r="AB86" s="75"/>
      <c r="AC86" s="72"/>
      <c r="AD86" s="71"/>
      <c r="AE86" s="71"/>
      <c r="AF86" s="152"/>
      <c r="AG86" s="86"/>
      <c r="AH86" s="77"/>
      <c r="AI86" s="87"/>
      <c r="AJ86" s="46"/>
      <c r="AK86" s="77"/>
      <c r="AL86" s="78"/>
      <c r="AM86" s="79"/>
      <c r="AN86" s="80"/>
      <c r="AO86" s="80"/>
      <c r="AP86" s="61"/>
      <c r="AQ86" s="62"/>
      <c r="AR86" s="81"/>
      <c r="AS86" s="81"/>
      <c r="AT86" s="81"/>
      <c r="AU86" s="81"/>
      <c r="AV86" s="82"/>
      <c r="AW86" s="83"/>
      <c r="AX86" s="83"/>
      <c r="AZ86" s="66">
        <f t="shared" si="89"/>
        <v>0</v>
      </c>
    </row>
    <row r="87" spans="1:52" s="66" customFormat="1" ht="39.75" customHeight="1" thickBot="1" x14ac:dyDescent="0.2">
      <c r="A87" s="101"/>
      <c r="B87" s="101"/>
      <c r="C87" s="101"/>
      <c r="D87" s="101"/>
      <c r="E87" s="101"/>
      <c r="F87" s="40"/>
      <c r="G87" s="90"/>
      <c r="H87" s="207"/>
      <c r="I87" s="92"/>
      <c r="J87" s="41"/>
      <c r="K87" s="41"/>
      <c r="L87" s="42"/>
      <c r="M87" s="68"/>
      <c r="N87" s="94">
        <f t="shared" si="78"/>
        <v>0</v>
      </c>
      <c r="O87" s="44">
        <v>1</v>
      </c>
      <c r="P87" s="45"/>
      <c r="Q87" s="46"/>
      <c r="R87" s="46"/>
      <c r="S87" s="121"/>
      <c r="T87" s="70"/>
      <c r="U87" s="71">
        <f t="shared" si="79"/>
        <v>0</v>
      </c>
      <c r="V87" s="72">
        <f t="shared" si="80"/>
        <v>0</v>
      </c>
      <c r="W87" s="99"/>
      <c r="X87" s="100"/>
      <c r="Y87" s="85"/>
      <c r="Z87" s="95"/>
      <c r="AA87" s="74"/>
      <c r="AB87" s="75" t="e">
        <f t="shared" si="81"/>
        <v>#DIV/0!</v>
      </c>
      <c r="AC87" s="72" t="e">
        <f t="shared" si="82"/>
        <v>#DIV/0!</v>
      </c>
      <c r="AD87" s="52"/>
      <c r="AE87" s="71" t="e">
        <f t="shared" si="83"/>
        <v>#DIV/0!</v>
      </c>
      <c r="AF87" s="76"/>
      <c r="AG87" s="54"/>
      <c r="AH87" s="77" t="e">
        <f t="shared" si="84"/>
        <v>#DIV/0!</v>
      </c>
      <c r="AI87" s="56">
        <v>10</v>
      </c>
      <c r="AJ87" s="56">
        <v>10</v>
      </c>
      <c r="AK87" s="56">
        <v>45</v>
      </c>
      <c r="AL87" s="57" t="e">
        <f t="shared" si="85"/>
        <v>#DIV/0!</v>
      </c>
      <c r="AM87" s="55" t="e">
        <f t="shared" si="86"/>
        <v>#DIV/0!</v>
      </c>
      <c r="AN87" s="78" t="e">
        <f t="shared" si="87"/>
        <v>#DIV/0!</v>
      </c>
      <c r="AO87" s="79"/>
      <c r="AP87" s="80">
        <f t="shared" si="90"/>
        <v>1</v>
      </c>
      <c r="AQ87" s="80">
        <f t="shared" si="90"/>
        <v>2</v>
      </c>
      <c r="AR87" s="61"/>
      <c r="AS87" s="62"/>
      <c r="AT87" s="81"/>
      <c r="AU87" s="81"/>
      <c r="AV87" s="81"/>
      <c r="AW87" s="81"/>
      <c r="AX87" s="82"/>
      <c r="AY87" s="83">
        <f t="shared" si="88"/>
        <v>0</v>
      </c>
      <c r="AZ87" s="83">
        <f t="shared" si="89"/>
        <v>0</v>
      </c>
    </row>
    <row r="88" spans="1:52" s="66" customFormat="1" ht="21" customHeight="1" thickBot="1" x14ac:dyDescent="0.2">
      <c r="A88" s="96"/>
      <c r="B88" s="91"/>
      <c r="C88" s="352" t="s">
        <v>3</v>
      </c>
      <c r="D88" s="353"/>
      <c r="E88" s="353"/>
      <c r="F88" s="353"/>
      <c r="G88" s="354"/>
      <c r="H88" s="195"/>
      <c r="I88" s="199"/>
      <c r="J88" s="84"/>
      <c r="K88" s="84"/>
      <c r="L88" s="84"/>
      <c r="M88" s="84"/>
      <c r="N88" s="168">
        <f>I88*I87+J88*J87+K88*K87+L88*L87+M88*M87</f>
        <v>0</v>
      </c>
      <c r="O88" s="44"/>
      <c r="P88" s="45"/>
      <c r="Q88" s="46"/>
      <c r="R88" s="46"/>
      <c r="S88" s="47"/>
      <c r="T88" s="70"/>
      <c r="U88" s="71"/>
      <c r="V88" s="72"/>
      <c r="W88" s="150"/>
      <c r="X88" s="85"/>
      <c r="Y88" s="151"/>
      <c r="Z88" s="85"/>
      <c r="AA88" s="74"/>
      <c r="AB88" s="75"/>
      <c r="AC88" s="72"/>
      <c r="AD88" s="71"/>
      <c r="AE88" s="71"/>
      <c r="AF88" s="152"/>
      <c r="AG88" s="86"/>
      <c r="AH88" s="77"/>
      <c r="AI88" s="87"/>
      <c r="AJ88" s="46"/>
      <c r="AK88" s="77"/>
      <c r="AL88" s="78"/>
      <c r="AM88" s="79"/>
      <c r="AN88" s="80"/>
      <c r="AO88" s="80"/>
      <c r="AP88" s="61"/>
      <c r="AQ88" s="62"/>
      <c r="AR88" s="81"/>
      <c r="AS88" s="81"/>
      <c r="AT88" s="81"/>
      <c r="AU88" s="81"/>
      <c r="AV88" s="82"/>
      <c r="AW88" s="83"/>
      <c r="AX88" s="83"/>
      <c r="AZ88" s="66">
        <f t="shared" si="89"/>
        <v>0</v>
      </c>
    </row>
    <row r="89" spans="1:52" s="66" customFormat="1" ht="39.75" customHeight="1" thickBot="1" x14ac:dyDescent="0.2">
      <c r="A89" s="101"/>
      <c r="B89" s="101"/>
      <c r="C89" s="101"/>
      <c r="D89" s="101"/>
      <c r="E89" s="101"/>
      <c r="F89" s="40"/>
      <c r="G89" s="90"/>
      <c r="H89" s="207"/>
      <c r="I89" s="92"/>
      <c r="J89" s="41"/>
      <c r="K89" s="41"/>
      <c r="L89" s="42"/>
      <c r="M89" s="68"/>
      <c r="N89" s="94">
        <f t="shared" si="78"/>
        <v>0</v>
      </c>
      <c r="O89" s="44">
        <v>1</v>
      </c>
      <c r="P89" s="45"/>
      <c r="Q89" s="46"/>
      <c r="R89" s="46"/>
      <c r="S89" s="121"/>
      <c r="T89" s="70"/>
      <c r="U89" s="71">
        <f t="shared" si="79"/>
        <v>0</v>
      </c>
      <c r="V89" s="72">
        <f t="shared" si="80"/>
        <v>0</v>
      </c>
      <c r="W89" s="99"/>
      <c r="X89" s="100"/>
      <c r="Y89" s="85"/>
      <c r="Z89" s="95"/>
      <c r="AA89" s="74"/>
      <c r="AB89" s="75" t="e">
        <f t="shared" si="81"/>
        <v>#DIV/0!</v>
      </c>
      <c r="AC89" s="72" t="e">
        <f t="shared" si="82"/>
        <v>#DIV/0!</v>
      </c>
      <c r="AD89" s="52"/>
      <c r="AE89" s="71" t="e">
        <f t="shared" si="83"/>
        <v>#DIV/0!</v>
      </c>
      <c r="AF89" s="76"/>
      <c r="AG89" s="54"/>
      <c r="AH89" s="77" t="e">
        <f t="shared" si="84"/>
        <v>#DIV/0!</v>
      </c>
      <c r="AI89" s="56">
        <v>10</v>
      </c>
      <c r="AJ89" s="56">
        <v>10</v>
      </c>
      <c r="AK89" s="56">
        <v>45</v>
      </c>
      <c r="AL89" s="57" t="e">
        <f t="shared" si="85"/>
        <v>#DIV/0!</v>
      </c>
      <c r="AM89" s="55" t="e">
        <f t="shared" si="86"/>
        <v>#DIV/0!</v>
      </c>
      <c r="AN89" s="78" t="e">
        <f t="shared" si="87"/>
        <v>#DIV/0!</v>
      </c>
      <c r="AO89" s="79"/>
      <c r="AP89" s="80">
        <f t="shared" si="90"/>
        <v>1</v>
      </c>
      <c r="AQ89" s="80">
        <f t="shared" si="90"/>
        <v>2</v>
      </c>
      <c r="AR89" s="61"/>
      <c r="AS89" s="62"/>
      <c r="AT89" s="81"/>
      <c r="AU89" s="81"/>
      <c r="AV89" s="81"/>
      <c r="AW89" s="81"/>
      <c r="AX89" s="82"/>
      <c r="AY89" s="83">
        <f t="shared" si="88"/>
        <v>0</v>
      </c>
      <c r="AZ89" s="83">
        <f t="shared" si="89"/>
        <v>0</v>
      </c>
    </row>
    <row r="90" spans="1:52" s="66" customFormat="1" ht="39.75" customHeight="1" thickBot="1" x14ac:dyDescent="0.2">
      <c r="A90" s="101"/>
      <c r="B90" s="101"/>
      <c r="C90" s="101"/>
      <c r="D90" s="101"/>
      <c r="E90" s="101"/>
      <c r="F90" s="40"/>
      <c r="G90" s="90"/>
      <c r="H90" s="207"/>
      <c r="I90" s="92"/>
      <c r="J90" s="41"/>
      <c r="K90" s="41"/>
      <c r="L90" s="42"/>
      <c r="M90" s="68"/>
      <c r="N90" s="94">
        <f t="shared" si="78"/>
        <v>0</v>
      </c>
      <c r="O90" s="44">
        <v>1</v>
      </c>
      <c r="P90" s="45"/>
      <c r="Q90" s="46"/>
      <c r="R90" s="46"/>
      <c r="S90" s="121"/>
      <c r="T90" s="70"/>
      <c r="U90" s="71">
        <f t="shared" si="79"/>
        <v>0</v>
      </c>
      <c r="V90" s="72">
        <f t="shared" si="80"/>
        <v>0</v>
      </c>
      <c r="W90" s="99"/>
      <c r="X90" s="100"/>
      <c r="Y90" s="85"/>
      <c r="Z90" s="95"/>
      <c r="AA90" s="74"/>
      <c r="AB90" s="75" t="e">
        <f t="shared" si="81"/>
        <v>#DIV/0!</v>
      </c>
      <c r="AC90" s="72" t="e">
        <f t="shared" si="82"/>
        <v>#DIV/0!</v>
      </c>
      <c r="AD90" s="52"/>
      <c r="AE90" s="71" t="e">
        <f t="shared" si="83"/>
        <v>#DIV/0!</v>
      </c>
      <c r="AF90" s="76"/>
      <c r="AG90" s="54"/>
      <c r="AH90" s="77" t="e">
        <f t="shared" si="84"/>
        <v>#DIV/0!</v>
      </c>
      <c r="AI90" s="56">
        <v>10</v>
      </c>
      <c r="AJ90" s="56">
        <v>10</v>
      </c>
      <c r="AK90" s="56">
        <v>45</v>
      </c>
      <c r="AL90" s="57" t="e">
        <f t="shared" si="85"/>
        <v>#DIV/0!</v>
      </c>
      <c r="AM90" s="55" t="e">
        <f t="shared" si="86"/>
        <v>#DIV/0!</v>
      </c>
      <c r="AN90" s="78" t="e">
        <f t="shared" si="87"/>
        <v>#DIV/0!</v>
      </c>
      <c r="AO90" s="79"/>
      <c r="AP90" s="80">
        <f t="shared" si="90"/>
        <v>1</v>
      </c>
      <c r="AQ90" s="80">
        <f t="shared" si="90"/>
        <v>2</v>
      </c>
      <c r="AR90" s="61"/>
      <c r="AS90" s="62"/>
      <c r="AT90" s="81"/>
      <c r="AU90" s="81"/>
      <c r="AV90" s="81"/>
      <c r="AW90" s="81"/>
      <c r="AX90" s="82"/>
      <c r="AY90" s="83">
        <f t="shared" si="88"/>
        <v>0</v>
      </c>
      <c r="AZ90" s="83">
        <f t="shared" si="89"/>
        <v>0</v>
      </c>
    </row>
    <row r="91" spans="1:52" s="66" customFormat="1" ht="39.75" customHeight="1" thickBot="1" x14ac:dyDescent="0.2">
      <c r="A91" s="101"/>
      <c r="B91" s="101"/>
      <c r="C91" s="101"/>
      <c r="D91" s="101"/>
      <c r="E91" s="101"/>
      <c r="F91" s="40"/>
      <c r="G91" s="90"/>
      <c r="H91" s="207"/>
      <c r="I91" s="92"/>
      <c r="J91" s="41"/>
      <c r="K91" s="41"/>
      <c r="L91" s="42"/>
      <c r="M91" s="68"/>
      <c r="N91" s="94">
        <f t="shared" si="78"/>
        <v>0</v>
      </c>
      <c r="O91" s="44">
        <v>1</v>
      </c>
      <c r="P91" s="45"/>
      <c r="Q91" s="46"/>
      <c r="R91" s="46"/>
      <c r="S91" s="46"/>
      <c r="T91" s="70"/>
      <c r="U91" s="71">
        <f t="shared" si="79"/>
        <v>0</v>
      </c>
      <c r="V91" s="72">
        <f t="shared" si="80"/>
        <v>0</v>
      </c>
      <c r="W91" s="99"/>
      <c r="X91" s="100"/>
      <c r="Y91" s="85"/>
      <c r="Z91" s="95"/>
      <c r="AA91" s="74"/>
      <c r="AB91" s="75" t="e">
        <f t="shared" si="81"/>
        <v>#DIV/0!</v>
      </c>
      <c r="AC91" s="72" t="e">
        <f t="shared" si="82"/>
        <v>#DIV/0!</v>
      </c>
      <c r="AD91" s="52"/>
      <c r="AE91" s="71" t="e">
        <f t="shared" si="83"/>
        <v>#DIV/0!</v>
      </c>
      <c r="AF91" s="76"/>
      <c r="AG91" s="54"/>
      <c r="AH91" s="77" t="e">
        <f t="shared" si="84"/>
        <v>#DIV/0!</v>
      </c>
      <c r="AI91" s="56">
        <v>10</v>
      </c>
      <c r="AJ91" s="56">
        <v>10</v>
      </c>
      <c r="AK91" s="56">
        <v>45</v>
      </c>
      <c r="AL91" s="57" t="e">
        <f t="shared" si="85"/>
        <v>#DIV/0!</v>
      </c>
      <c r="AM91" s="55" t="e">
        <f t="shared" si="86"/>
        <v>#DIV/0!</v>
      </c>
      <c r="AN91" s="78" t="e">
        <f t="shared" si="87"/>
        <v>#DIV/0!</v>
      </c>
      <c r="AO91" s="79"/>
      <c r="AP91" s="80">
        <f t="shared" si="90"/>
        <v>1</v>
      </c>
      <c r="AQ91" s="80">
        <f t="shared" si="90"/>
        <v>2</v>
      </c>
      <c r="AR91" s="61"/>
      <c r="AS91" s="62"/>
      <c r="AT91" s="81"/>
      <c r="AU91" s="81"/>
      <c r="AV91" s="81"/>
      <c r="AW91" s="81"/>
      <c r="AX91" s="82"/>
      <c r="AY91" s="83">
        <f t="shared" si="88"/>
        <v>0</v>
      </c>
      <c r="AZ91" s="83">
        <f t="shared" si="89"/>
        <v>0</v>
      </c>
    </row>
    <row r="92" spans="1:52" s="66" customFormat="1" ht="39.75" customHeight="1" thickBot="1" x14ac:dyDescent="0.2">
      <c r="A92" s="101"/>
      <c r="B92" s="101"/>
      <c r="C92" s="101"/>
      <c r="D92" s="101"/>
      <c r="E92" s="101"/>
      <c r="F92" s="40"/>
      <c r="G92" s="90"/>
      <c r="H92" s="207"/>
      <c r="I92" s="92"/>
      <c r="J92" s="41"/>
      <c r="K92" s="41"/>
      <c r="L92" s="42"/>
      <c r="M92" s="68"/>
      <c r="N92" s="94">
        <f t="shared" si="78"/>
        <v>0</v>
      </c>
      <c r="O92" s="44">
        <v>1</v>
      </c>
      <c r="P92" s="45"/>
      <c r="Q92" s="46"/>
      <c r="R92" s="46"/>
      <c r="S92" s="46"/>
      <c r="T92" s="70"/>
      <c r="U92" s="71">
        <f t="shared" si="79"/>
        <v>0</v>
      </c>
      <c r="V92" s="72">
        <f t="shared" si="80"/>
        <v>0</v>
      </c>
      <c r="W92" s="99"/>
      <c r="X92" s="100"/>
      <c r="Y92" s="85"/>
      <c r="Z92" s="95"/>
      <c r="AA92" s="74"/>
      <c r="AB92" s="75" t="e">
        <f t="shared" si="81"/>
        <v>#DIV/0!</v>
      </c>
      <c r="AC92" s="72" t="e">
        <f t="shared" si="82"/>
        <v>#DIV/0!</v>
      </c>
      <c r="AD92" s="52"/>
      <c r="AE92" s="71" t="e">
        <f t="shared" si="83"/>
        <v>#DIV/0!</v>
      </c>
      <c r="AF92" s="76"/>
      <c r="AG92" s="54"/>
      <c r="AH92" s="77" t="e">
        <f t="shared" si="84"/>
        <v>#DIV/0!</v>
      </c>
      <c r="AI92" s="56">
        <v>10</v>
      </c>
      <c r="AJ92" s="56">
        <v>10</v>
      </c>
      <c r="AK92" s="56">
        <v>45</v>
      </c>
      <c r="AL92" s="57" t="e">
        <f t="shared" si="85"/>
        <v>#DIV/0!</v>
      </c>
      <c r="AM92" s="55" t="e">
        <f t="shared" si="86"/>
        <v>#DIV/0!</v>
      </c>
      <c r="AN92" s="78" t="e">
        <f t="shared" si="87"/>
        <v>#DIV/0!</v>
      </c>
      <c r="AO92" s="79"/>
      <c r="AP92" s="80">
        <f t="shared" si="90"/>
        <v>1</v>
      </c>
      <c r="AQ92" s="80">
        <f t="shared" si="90"/>
        <v>2</v>
      </c>
      <c r="AR92" s="61"/>
      <c r="AS92" s="62"/>
      <c r="AT92" s="81"/>
      <c r="AU92" s="81"/>
      <c r="AV92" s="81"/>
      <c r="AW92" s="81"/>
      <c r="AX92" s="82"/>
      <c r="AY92" s="83">
        <f t="shared" si="88"/>
        <v>0</v>
      </c>
      <c r="AZ92" s="83">
        <f t="shared" si="89"/>
        <v>0</v>
      </c>
    </row>
    <row r="93" spans="1:52" s="66" customFormat="1" ht="39.75" customHeight="1" thickBot="1" x14ac:dyDescent="0.2">
      <c r="A93" s="101"/>
      <c r="B93" s="101"/>
      <c r="C93" s="101"/>
      <c r="D93" s="101"/>
      <c r="E93" s="101"/>
      <c r="F93" s="40"/>
      <c r="G93" s="90"/>
      <c r="H93" s="207"/>
      <c r="I93" s="92"/>
      <c r="J93" s="41"/>
      <c r="K93" s="41"/>
      <c r="L93" s="42"/>
      <c r="M93" s="68"/>
      <c r="N93" s="94">
        <f t="shared" si="78"/>
        <v>0</v>
      </c>
      <c r="O93" s="44">
        <v>1</v>
      </c>
      <c r="P93" s="45"/>
      <c r="Q93" s="46"/>
      <c r="R93" s="46"/>
      <c r="S93" s="46"/>
      <c r="T93" s="70"/>
      <c r="U93" s="71">
        <f t="shared" si="79"/>
        <v>0</v>
      </c>
      <c r="V93" s="72">
        <f t="shared" si="80"/>
        <v>0</v>
      </c>
      <c r="W93" s="99"/>
      <c r="X93" s="100"/>
      <c r="Y93" s="85"/>
      <c r="Z93" s="95"/>
      <c r="AA93" s="74"/>
      <c r="AB93" s="75" t="e">
        <f t="shared" si="81"/>
        <v>#DIV/0!</v>
      </c>
      <c r="AC93" s="72" t="e">
        <f t="shared" si="82"/>
        <v>#DIV/0!</v>
      </c>
      <c r="AD93" s="52"/>
      <c r="AE93" s="71" t="e">
        <f t="shared" si="83"/>
        <v>#DIV/0!</v>
      </c>
      <c r="AF93" s="76"/>
      <c r="AG93" s="86"/>
      <c r="AH93" s="77" t="e">
        <f t="shared" si="84"/>
        <v>#DIV/0!</v>
      </c>
      <c r="AI93" s="56">
        <v>10</v>
      </c>
      <c r="AJ93" s="56">
        <v>10</v>
      </c>
      <c r="AK93" s="56">
        <v>45</v>
      </c>
      <c r="AL93" s="57" t="e">
        <f t="shared" si="85"/>
        <v>#DIV/0!</v>
      </c>
      <c r="AM93" s="55" t="e">
        <f t="shared" si="86"/>
        <v>#DIV/0!</v>
      </c>
      <c r="AN93" s="78" t="e">
        <f t="shared" si="87"/>
        <v>#DIV/0!</v>
      </c>
      <c r="AO93" s="79"/>
      <c r="AP93" s="80">
        <f t="shared" si="90"/>
        <v>1</v>
      </c>
      <c r="AQ93" s="80">
        <f t="shared" si="90"/>
        <v>2</v>
      </c>
      <c r="AR93" s="61"/>
      <c r="AS93" s="62"/>
      <c r="AT93" s="81"/>
      <c r="AU93" s="81"/>
      <c r="AV93" s="81"/>
      <c r="AW93" s="81"/>
      <c r="AX93" s="82"/>
      <c r="AY93" s="83">
        <f t="shared" si="88"/>
        <v>0</v>
      </c>
      <c r="AZ93" s="83">
        <f t="shared" si="89"/>
        <v>0</v>
      </c>
    </row>
    <row r="94" spans="1:52" s="66" customFormat="1" ht="39.75" customHeight="1" thickBot="1" x14ac:dyDescent="0.2">
      <c r="A94" s="101"/>
      <c r="B94" s="101"/>
      <c r="C94" s="101"/>
      <c r="D94" s="101"/>
      <c r="E94" s="101"/>
      <c r="F94" s="40"/>
      <c r="G94" s="90"/>
      <c r="H94" s="207"/>
      <c r="I94" s="92"/>
      <c r="J94" s="41"/>
      <c r="K94" s="41"/>
      <c r="L94" s="42"/>
      <c r="M94" s="68"/>
      <c r="N94" s="94">
        <f t="shared" si="78"/>
        <v>0</v>
      </c>
      <c r="O94" s="44">
        <v>1</v>
      </c>
      <c r="P94" s="45"/>
      <c r="Q94" s="46"/>
      <c r="R94" s="46"/>
      <c r="S94" s="46"/>
      <c r="T94" s="70"/>
      <c r="U94" s="71">
        <f t="shared" si="79"/>
        <v>0</v>
      </c>
      <c r="V94" s="72">
        <f t="shared" si="80"/>
        <v>0</v>
      </c>
      <c r="W94" s="99"/>
      <c r="X94" s="100"/>
      <c r="Y94" s="85"/>
      <c r="Z94" s="95"/>
      <c r="AA94" s="74"/>
      <c r="AB94" s="75" t="e">
        <f t="shared" si="81"/>
        <v>#DIV/0!</v>
      </c>
      <c r="AC94" s="72" t="e">
        <f t="shared" si="82"/>
        <v>#DIV/0!</v>
      </c>
      <c r="AD94" s="52"/>
      <c r="AE94" s="71" t="e">
        <f t="shared" si="83"/>
        <v>#DIV/0!</v>
      </c>
      <c r="AF94" s="76"/>
      <c r="AG94" s="86"/>
      <c r="AH94" s="77" t="e">
        <f t="shared" si="84"/>
        <v>#DIV/0!</v>
      </c>
      <c r="AI94" s="56">
        <v>10</v>
      </c>
      <c r="AJ94" s="56">
        <v>10</v>
      </c>
      <c r="AK94" s="56">
        <v>45</v>
      </c>
      <c r="AL94" s="57" t="e">
        <f t="shared" si="85"/>
        <v>#DIV/0!</v>
      </c>
      <c r="AM94" s="55" t="e">
        <f t="shared" si="86"/>
        <v>#DIV/0!</v>
      </c>
      <c r="AN94" s="78" t="e">
        <f t="shared" si="87"/>
        <v>#DIV/0!</v>
      </c>
      <c r="AO94" s="79"/>
      <c r="AP94" s="80">
        <f t="shared" si="90"/>
        <v>1</v>
      </c>
      <c r="AQ94" s="80">
        <f t="shared" si="90"/>
        <v>2</v>
      </c>
      <c r="AR94" s="61"/>
      <c r="AS94" s="62"/>
      <c r="AT94" s="81"/>
      <c r="AU94" s="81"/>
      <c r="AV94" s="81"/>
      <c r="AW94" s="81"/>
      <c r="AX94" s="82"/>
      <c r="AY94" s="83">
        <f t="shared" si="88"/>
        <v>0</v>
      </c>
      <c r="AZ94" s="83">
        <f t="shared" si="89"/>
        <v>0</v>
      </c>
    </row>
    <row r="95" spans="1:52" s="66" customFormat="1" ht="39.75" customHeight="1" thickBot="1" x14ac:dyDescent="0.2">
      <c r="A95" s="101"/>
      <c r="B95" s="101"/>
      <c r="C95" s="101"/>
      <c r="D95" s="101"/>
      <c r="E95" s="101"/>
      <c r="F95" s="40"/>
      <c r="G95" s="90"/>
      <c r="H95" s="207"/>
      <c r="I95" s="92"/>
      <c r="J95" s="41"/>
      <c r="K95" s="41"/>
      <c r="L95" s="88"/>
      <c r="M95" s="68"/>
      <c r="N95" s="94">
        <f t="shared" si="78"/>
        <v>0</v>
      </c>
      <c r="O95" s="44">
        <v>1</v>
      </c>
      <c r="P95" s="45"/>
      <c r="Q95" s="46"/>
      <c r="R95" s="46"/>
      <c r="S95" s="46"/>
      <c r="T95" s="70"/>
      <c r="U95" s="71">
        <f t="shared" si="79"/>
        <v>0</v>
      </c>
      <c r="V95" s="72">
        <f t="shared" si="80"/>
        <v>0</v>
      </c>
      <c r="W95" s="99"/>
      <c r="X95" s="100"/>
      <c r="Y95" s="85"/>
      <c r="Z95" s="95"/>
      <c r="AA95" s="74"/>
      <c r="AB95" s="75" t="e">
        <f t="shared" si="81"/>
        <v>#DIV/0!</v>
      </c>
      <c r="AC95" s="72" t="e">
        <f t="shared" si="82"/>
        <v>#DIV/0!</v>
      </c>
      <c r="AD95" s="52"/>
      <c r="AE95" s="71" t="e">
        <f t="shared" si="83"/>
        <v>#DIV/0!</v>
      </c>
      <c r="AF95" s="76"/>
      <c r="AG95" s="86"/>
      <c r="AH95" s="77" t="e">
        <f t="shared" si="84"/>
        <v>#DIV/0!</v>
      </c>
      <c r="AI95" s="56">
        <v>10</v>
      </c>
      <c r="AJ95" s="56">
        <v>10</v>
      </c>
      <c r="AK95" s="56">
        <v>45</v>
      </c>
      <c r="AL95" s="57" t="e">
        <f t="shared" si="85"/>
        <v>#DIV/0!</v>
      </c>
      <c r="AM95" s="55" t="e">
        <f t="shared" si="86"/>
        <v>#DIV/0!</v>
      </c>
      <c r="AN95" s="78" t="e">
        <f t="shared" si="87"/>
        <v>#DIV/0!</v>
      </c>
      <c r="AO95" s="79"/>
      <c r="AP95" s="80">
        <f t="shared" si="90"/>
        <v>1</v>
      </c>
      <c r="AQ95" s="80">
        <f t="shared" si="90"/>
        <v>2</v>
      </c>
      <c r="AR95" s="61"/>
      <c r="AS95" s="62"/>
      <c r="AT95" s="81"/>
      <c r="AU95" s="81"/>
      <c r="AV95" s="81"/>
      <c r="AW95" s="81"/>
      <c r="AX95" s="82"/>
      <c r="AY95" s="83">
        <f t="shared" si="88"/>
        <v>0</v>
      </c>
      <c r="AZ95" s="83">
        <f t="shared" si="89"/>
        <v>0</v>
      </c>
    </row>
    <row r="96" spans="1:52" s="66" customFormat="1" ht="39.75" customHeight="1" thickBot="1" x14ac:dyDescent="0.2">
      <c r="A96" s="101"/>
      <c r="B96" s="101"/>
      <c r="C96" s="101"/>
      <c r="D96" s="101"/>
      <c r="E96" s="101"/>
      <c r="F96" s="40"/>
      <c r="G96" s="90"/>
      <c r="H96" s="207"/>
      <c r="I96" s="92"/>
      <c r="J96" s="41"/>
      <c r="K96" s="41"/>
      <c r="L96" s="88"/>
      <c r="M96" s="68"/>
      <c r="N96" s="94">
        <f t="shared" si="78"/>
        <v>0</v>
      </c>
      <c r="O96" s="44">
        <v>1</v>
      </c>
      <c r="P96" s="45"/>
      <c r="Q96" s="46"/>
      <c r="R96" s="46"/>
      <c r="S96" s="46"/>
      <c r="T96" s="70"/>
      <c r="U96" s="71">
        <f t="shared" si="79"/>
        <v>0</v>
      </c>
      <c r="V96" s="72">
        <f t="shared" si="80"/>
        <v>0</v>
      </c>
      <c r="W96" s="99"/>
      <c r="X96" s="100"/>
      <c r="Y96" s="85"/>
      <c r="Z96" s="95"/>
      <c r="AA96" s="74"/>
      <c r="AB96" s="75" t="e">
        <f t="shared" si="81"/>
        <v>#DIV/0!</v>
      </c>
      <c r="AC96" s="72" t="e">
        <f t="shared" si="82"/>
        <v>#DIV/0!</v>
      </c>
      <c r="AD96" s="52"/>
      <c r="AE96" s="71" t="e">
        <f t="shared" si="83"/>
        <v>#DIV/0!</v>
      </c>
      <c r="AF96" s="76"/>
      <c r="AG96" s="86"/>
      <c r="AH96" s="77" t="e">
        <f t="shared" si="84"/>
        <v>#DIV/0!</v>
      </c>
      <c r="AI96" s="56">
        <v>10</v>
      </c>
      <c r="AJ96" s="56">
        <v>10</v>
      </c>
      <c r="AK96" s="56">
        <v>45</v>
      </c>
      <c r="AL96" s="57" t="e">
        <f t="shared" si="85"/>
        <v>#DIV/0!</v>
      </c>
      <c r="AM96" s="55" t="e">
        <f t="shared" si="86"/>
        <v>#DIV/0!</v>
      </c>
      <c r="AN96" s="78" t="e">
        <f t="shared" si="87"/>
        <v>#DIV/0!</v>
      </c>
      <c r="AO96" s="79"/>
      <c r="AP96" s="80">
        <f t="shared" si="90"/>
        <v>1</v>
      </c>
      <c r="AQ96" s="80">
        <f t="shared" si="90"/>
        <v>2</v>
      </c>
      <c r="AR96" s="61"/>
      <c r="AS96" s="62"/>
      <c r="AT96" s="81"/>
      <c r="AU96" s="81"/>
      <c r="AV96" s="81"/>
      <c r="AW96" s="81"/>
      <c r="AX96" s="82"/>
      <c r="AY96" s="83">
        <f t="shared" si="88"/>
        <v>0</v>
      </c>
      <c r="AZ96" s="83">
        <f t="shared" si="89"/>
        <v>0</v>
      </c>
    </row>
    <row r="97" spans="1:52" s="66" customFormat="1" ht="39.75" customHeight="1" thickBot="1" x14ac:dyDescent="0.2">
      <c r="A97" s="101"/>
      <c r="B97" s="101"/>
      <c r="C97" s="101"/>
      <c r="D97" s="101"/>
      <c r="E97" s="101"/>
      <c r="F97" s="40"/>
      <c r="G97" s="90"/>
      <c r="H97" s="207"/>
      <c r="I97" s="92"/>
      <c r="J97" s="41"/>
      <c r="K97" s="41"/>
      <c r="L97" s="88"/>
      <c r="M97" s="68"/>
      <c r="N97" s="94">
        <f t="shared" si="78"/>
        <v>0</v>
      </c>
      <c r="O97" s="44">
        <v>1</v>
      </c>
      <c r="P97" s="45"/>
      <c r="Q97" s="46"/>
      <c r="R97" s="46"/>
      <c r="S97" s="46"/>
      <c r="T97" s="70"/>
      <c r="U97" s="71">
        <f t="shared" si="79"/>
        <v>0</v>
      </c>
      <c r="V97" s="72">
        <f t="shared" si="80"/>
        <v>0</v>
      </c>
      <c r="W97" s="99"/>
      <c r="X97" s="100"/>
      <c r="Y97" s="85"/>
      <c r="Z97" s="95"/>
      <c r="AA97" s="74"/>
      <c r="AB97" s="75" t="e">
        <f t="shared" si="81"/>
        <v>#DIV/0!</v>
      </c>
      <c r="AC97" s="72" t="e">
        <f t="shared" si="82"/>
        <v>#DIV/0!</v>
      </c>
      <c r="AD97" s="52"/>
      <c r="AE97" s="71" t="e">
        <f t="shared" si="83"/>
        <v>#DIV/0!</v>
      </c>
      <c r="AF97" s="76"/>
      <c r="AG97" s="86"/>
      <c r="AH97" s="77" t="e">
        <f t="shared" si="84"/>
        <v>#DIV/0!</v>
      </c>
      <c r="AI97" s="56">
        <v>10</v>
      </c>
      <c r="AJ97" s="56">
        <v>10</v>
      </c>
      <c r="AK97" s="56">
        <v>45</v>
      </c>
      <c r="AL97" s="57" t="e">
        <f t="shared" si="85"/>
        <v>#DIV/0!</v>
      </c>
      <c r="AM97" s="55" t="e">
        <f t="shared" si="86"/>
        <v>#DIV/0!</v>
      </c>
      <c r="AN97" s="78" t="e">
        <f t="shared" si="87"/>
        <v>#DIV/0!</v>
      </c>
      <c r="AO97" s="79"/>
      <c r="AP97" s="80">
        <f t="shared" si="90"/>
        <v>1</v>
      </c>
      <c r="AQ97" s="80">
        <f t="shared" si="90"/>
        <v>2</v>
      </c>
      <c r="AR97" s="61"/>
      <c r="AS97" s="62"/>
      <c r="AT97" s="81"/>
      <c r="AU97" s="81"/>
      <c r="AV97" s="81"/>
      <c r="AW97" s="81"/>
      <c r="AX97" s="82"/>
      <c r="AY97" s="83">
        <f t="shared" si="88"/>
        <v>0</v>
      </c>
      <c r="AZ97" s="83">
        <f t="shared" si="89"/>
        <v>0</v>
      </c>
    </row>
    <row r="98" spans="1:52" s="66" customFormat="1" ht="39.75" customHeight="1" thickBot="1" x14ac:dyDescent="0.2">
      <c r="A98" s="101"/>
      <c r="B98" s="101"/>
      <c r="C98" s="101"/>
      <c r="D98" s="101"/>
      <c r="E98" s="101"/>
      <c r="F98" s="40"/>
      <c r="G98" s="90"/>
      <c r="H98" s="207"/>
      <c r="I98" s="92"/>
      <c r="J98" s="41"/>
      <c r="K98" s="41"/>
      <c r="L98" s="88"/>
      <c r="M98" s="68"/>
      <c r="N98" s="94">
        <f t="shared" si="78"/>
        <v>0</v>
      </c>
      <c r="O98" s="44">
        <v>1</v>
      </c>
      <c r="P98" s="45"/>
      <c r="Q98" s="46"/>
      <c r="R98" s="46"/>
      <c r="S98" s="46"/>
      <c r="T98" s="70"/>
      <c r="U98" s="71">
        <f t="shared" si="79"/>
        <v>0</v>
      </c>
      <c r="V98" s="72">
        <f t="shared" si="80"/>
        <v>0</v>
      </c>
      <c r="W98" s="99"/>
      <c r="X98" s="100"/>
      <c r="Y98" s="85"/>
      <c r="Z98" s="95"/>
      <c r="AA98" s="74"/>
      <c r="AB98" s="75" t="e">
        <f t="shared" si="81"/>
        <v>#DIV/0!</v>
      </c>
      <c r="AC98" s="72" t="e">
        <f t="shared" si="82"/>
        <v>#DIV/0!</v>
      </c>
      <c r="AD98" s="52"/>
      <c r="AE98" s="71" t="e">
        <f t="shared" si="83"/>
        <v>#DIV/0!</v>
      </c>
      <c r="AF98" s="76"/>
      <c r="AG98" s="86"/>
      <c r="AH98" s="77" t="e">
        <f t="shared" si="84"/>
        <v>#DIV/0!</v>
      </c>
      <c r="AI98" s="56">
        <v>10</v>
      </c>
      <c r="AJ98" s="56">
        <v>10</v>
      </c>
      <c r="AK98" s="56">
        <v>45</v>
      </c>
      <c r="AL98" s="57" t="e">
        <f t="shared" si="85"/>
        <v>#DIV/0!</v>
      </c>
      <c r="AM98" s="55" t="e">
        <f t="shared" si="86"/>
        <v>#DIV/0!</v>
      </c>
      <c r="AN98" s="78" t="e">
        <f t="shared" si="87"/>
        <v>#DIV/0!</v>
      </c>
      <c r="AO98" s="79"/>
      <c r="AP98" s="80">
        <f t="shared" si="90"/>
        <v>1</v>
      </c>
      <c r="AQ98" s="80">
        <f t="shared" si="90"/>
        <v>2</v>
      </c>
      <c r="AR98" s="61"/>
      <c r="AS98" s="62"/>
      <c r="AT98" s="81"/>
      <c r="AU98" s="81"/>
      <c r="AV98" s="81"/>
      <c r="AW98" s="81"/>
      <c r="AX98" s="82"/>
      <c r="AY98" s="83">
        <f t="shared" si="88"/>
        <v>0</v>
      </c>
      <c r="AZ98" s="83">
        <f t="shared" si="89"/>
        <v>0</v>
      </c>
    </row>
    <row r="99" spans="1:52" s="66" customFormat="1" ht="39.75" customHeight="1" thickBot="1" x14ac:dyDescent="0.2">
      <c r="A99" s="101"/>
      <c r="B99" s="101"/>
      <c r="C99" s="101"/>
      <c r="D99" s="101"/>
      <c r="E99" s="101"/>
      <c r="F99" s="40"/>
      <c r="G99" s="90"/>
      <c r="H99" s="207"/>
      <c r="I99" s="92"/>
      <c r="J99" s="41"/>
      <c r="K99" s="41"/>
      <c r="L99" s="88"/>
      <c r="M99" s="68"/>
      <c r="N99" s="94">
        <f t="shared" si="78"/>
        <v>0</v>
      </c>
      <c r="O99" s="44">
        <v>1</v>
      </c>
      <c r="P99" s="45"/>
      <c r="Q99" s="46"/>
      <c r="R99" s="46"/>
      <c r="S99" s="46"/>
      <c r="T99" s="70"/>
      <c r="U99" s="71">
        <f t="shared" si="79"/>
        <v>0</v>
      </c>
      <c r="V99" s="72">
        <f t="shared" si="80"/>
        <v>0</v>
      </c>
      <c r="W99" s="99"/>
      <c r="X99" s="100"/>
      <c r="Y99" s="85"/>
      <c r="Z99" s="95"/>
      <c r="AA99" s="74"/>
      <c r="AB99" s="75" t="e">
        <f t="shared" si="81"/>
        <v>#DIV/0!</v>
      </c>
      <c r="AC99" s="72" t="e">
        <f t="shared" si="82"/>
        <v>#DIV/0!</v>
      </c>
      <c r="AD99" s="52"/>
      <c r="AE99" s="71" t="e">
        <f t="shared" si="83"/>
        <v>#DIV/0!</v>
      </c>
      <c r="AF99" s="76"/>
      <c r="AG99" s="86"/>
      <c r="AH99" s="77" t="e">
        <f t="shared" si="84"/>
        <v>#DIV/0!</v>
      </c>
      <c r="AI99" s="56">
        <v>10</v>
      </c>
      <c r="AJ99" s="56">
        <v>10</v>
      </c>
      <c r="AK99" s="56">
        <v>45</v>
      </c>
      <c r="AL99" s="57" t="e">
        <f t="shared" si="85"/>
        <v>#DIV/0!</v>
      </c>
      <c r="AM99" s="55" t="e">
        <f t="shared" si="86"/>
        <v>#DIV/0!</v>
      </c>
      <c r="AN99" s="78" t="e">
        <f t="shared" si="87"/>
        <v>#DIV/0!</v>
      </c>
      <c r="AO99" s="79"/>
      <c r="AP99" s="80">
        <f t="shared" si="90"/>
        <v>1</v>
      </c>
      <c r="AQ99" s="80">
        <f t="shared" si="90"/>
        <v>2</v>
      </c>
      <c r="AR99" s="61"/>
      <c r="AS99" s="62"/>
      <c r="AT99" s="81"/>
      <c r="AU99" s="81"/>
      <c r="AV99" s="81"/>
      <c r="AW99" s="81"/>
      <c r="AX99" s="82"/>
      <c r="AY99" s="83">
        <f t="shared" si="88"/>
        <v>0</v>
      </c>
      <c r="AZ99" s="83">
        <f t="shared" si="89"/>
        <v>0</v>
      </c>
    </row>
    <row r="100" spans="1:52" s="66" customFormat="1" ht="39.75" customHeight="1" thickBot="1" x14ac:dyDescent="0.2">
      <c r="A100" s="101"/>
      <c r="B100" s="101"/>
      <c r="C100" s="101"/>
      <c r="D100" s="101"/>
      <c r="E100" s="101"/>
      <c r="F100" s="40"/>
      <c r="G100" s="90"/>
      <c r="H100" s="158"/>
      <c r="I100" s="92"/>
      <c r="J100" s="41"/>
      <c r="K100" s="41"/>
      <c r="L100" s="88"/>
      <c r="M100" s="68"/>
      <c r="N100" s="94">
        <f t="shared" si="78"/>
        <v>0</v>
      </c>
      <c r="O100" s="44">
        <v>1</v>
      </c>
      <c r="P100" s="45"/>
      <c r="Q100" s="46"/>
      <c r="R100" s="46"/>
      <c r="S100" s="46"/>
      <c r="T100" s="70"/>
      <c r="U100" s="71">
        <f t="shared" si="79"/>
        <v>0</v>
      </c>
      <c r="V100" s="72">
        <f t="shared" si="80"/>
        <v>0</v>
      </c>
      <c r="W100" s="99"/>
      <c r="X100" s="100"/>
      <c r="Y100" s="85"/>
      <c r="Z100" s="73"/>
      <c r="AA100" s="74"/>
      <c r="AB100" s="75" t="e">
        <f t="shared" si="81"/>
        <v>#DIV/0!</v>
      </c>
      <c r="AC100" s="72" t="e">
        <f t="shared" si="82"/>
        <v>#DIV/0!</v>
      </c>
      <c r="AD100" s="52"/>
      <c r="AE100" s="71" t="e">
        <f t="shared" si="83"/>
        <v>#DIV/0!</v>
      </c>
      <c r="AF100" s="76"/>
      <c r="AG100" s="86"/>
      <c r="AH100" s="77" t="e">
        <f t="shared" si="84"/>
        <v>#DIV/0!</v>
      </c>
      <c r="AI100" s="56">
        <v>10</v>
      </c>
      <c r="AJ100" s="56">
        <v>10</v>
      </c>
      <c r="AK100" s="56">
        <v>45</v>
      </c>
      <c r="AL100" s="57" t="e">
        <f t="shared" si="85"/>
        <v>#DIV/0!</v>
      </c>
      <c r="AM100" s="55" t="e">
        <f t="shared" si="86"/>
        <v>#DIV/0!</v>
      </c>
      <c r="AN100" s="78" t="e">
        <f t="shared" si="87"/>
        <v>#DIV/0!</v>
      </c>
      <c r="AO100" s="79"/>
      <c r="AP100" s="80">
        <f t="shared" si="90"/>
        <v>1</v>
      </c>
      <c r="AQ100" s="80">
        <f t="shared" si="90"/>
        <v>2</v>
      </c>
      <c r="AR100" s="61"/>
      <c r="AS100" s="62"/>
      <c r="AT100" s="81"/>
      <c r="AU100" s="81"/>
      <c r="AV100" s="81"/>
      <c r="AW100" s="81"/>
      <c r="AX100" s="82"/>
      <c r="AY100" s="83">
        <f t="shared" si="88"/>
        <v>0</v>
      </c>
      <c r="AZ100" s="83">
        <f t="shared" si="89"/>
        <v>0</v>
      </c>
    </row>
    <row r="101" spans="1:52" s="66" customFormat="1" ht="39.75" customHeight="1" thickBot="1" x14ac:dyDescent="0.2">
      <c r="A101" s="101"/>
      <c r="B101" s="101"/>
      <c r="C101" s="101"/>
      <c r="D101" s="101"/>
      <c r="E101" s="101"/>
      <c r="F101" s="40"/>
      <c r="G101" s="90"/>
      <c r="H101" s="158"/>
      <c r="I101" s="92"/>
      <c r="J101" s="41"/>
      <c r="K101" s="41"/>
      <c r="L101" s="88"/>
      <c r="M101" s="68"/>
      <c r="N101" s="94">
        <f t="shared" si="78"/>
        <v>0</v>
      </c>
      <c r="O101" s="44">
        <v>1</v>
      </c>
      <c r="P101" s="45"/>
      <c r="Q101" s="46"/>
      <c r="R101" s="46"/>
      <c r="S101" s="46"/>
      <c r="T101" s="70"/>
      <c r="U101" s="71">
        <f t="shared" si="79"/>
        <v>0</v>
      </c>
      <c r="V101" s="72">
        <f t="shared" si="80"/>
        <v>0</v>
      </c>
      <c r="W101" s="99"/>
      <c r="X101" s="100"/>
      <c r="Y101" s="85"/>
      <c r="Z101" s="73"/>
      <c r="AA101" s="74"/>
      <c r="AB101" s="75" t="e">
        <f t="shared" si="81"/>
        <v>#DIV/0!</v>
      </c>
      <c r="AC101" s="72" t="e">
        <f t="shared" si="82"/>
        <v>#DIV/0!</v>
      </c>
      <c r="AD101" s="52"/>
      <c r="AE101" s="71" t="e">
        <f t="shared" si="83"/>
        <v>#DIV/0!</v>
      </c>
      <c r="AF101" s="76"/>
      <c r="AG101" s="86"/>
      <c r="AH101" s="77" t="e">
        <f t="shared" si="84"/>
        <v>#DIV/0!</v>
      </c>
      <c r="AI101" s="56">
        <v>10</v>
      </c>
      <c r="AJ101" s="56">
        <v>10</v>
      </c>
      <c r="AK101" s="56">
        <v>45</v>
      </c>
      <c r="AL101" s="57" t="e">
        <f t="shared" si="85"/>
        <v>#DIV/0!</v>
      </c>
      <c r="AM101" s="55" t="e">
        <f t="shared" si="86"/>
        <v>#DIV/0!</v>
      </c>
      <c r="AN101" s="78" t="e">
        <f t="shared" si="87"/>
        <v>#DIV/0!</v>
      </c>
      <c r="AO101" s="79"/>
      <c r="AP101" s="80">
        <f t="shared" si="90"/>
        <v>1</v>
      </c>
      <c r="AQ101" s="80">
        <f t="shared" si="90"/>
        <v>2</v>
      </c>
      <c r="AR101" s="61"/>
      <c r="AS101" s="62"/>
      <c r="AT101" s="81"/>
      <c r="AU101" s="81"/>
      <c r="AV101" s="81"/>
      <c r="AW101" s="81"/>
      <c r="AX101" s="82"/>
      <c r="AY101" s="83">
        <f t="shared" si="88"/>
        <v>0</v>
      </c>
      <c r="AZ101" s="83">
        <f t="shared" si="89"/>
        <v>0</v>
      </c>
    </row>
    <row r="102" spans="1:52" s="66" customFormat="1" ht="39.75" customHeight="1" thickBot="1" x14ac:dyDescent="0.2">
      <c r="A102" s="101"/>
      <c r="B102" s="101"/>
      <c r="C102" s="101"/>
      <c r="D102" s="101"/>
      <c r="E102" s="101"/>
      <c r="F102" s="40"/>
      <c r="G102" s="90"/>
      <c r="H102" s="158"/>
      <c r="I102" s="92"/>
      <c r="J102" s="41"/>
      <c r="K102" s="41"/>
      <c r="L102" s="88"/>
      <c r="M102" s="68"/>
      <c r="N102" s="94">
        <f t="shared" si="78"/>
        <v>0</v>
      </c>
      <c r="O102" s="44">
        <v>1</v>
      </c>
      <c r="P102" s="45"/>
      <c r="Q102" s="46"/>
      <c r="R102" s="46"/>
      <c r="S102" s="46"/>
      <c r="T102" s="70"/>
      <c r="U102" s="71">
        <f t="shared" si="79"/>
        <v>0</v>
      </c>
      <c r="V102" s="72">
        <f t="shared" si="80"/>
        <v>0</v>
      </c>
      <c r="W102" s="99"/>
      <c r="X102" s="100"/>
      <c r="Y102" s="85"/>
      <c r="Z102" s="73"/>
      <c r="AA102" s="74"/>
      <c r="AB102" s="75" t="e">
        <f t="shared" si="81"/>
        <v>#DIV/0!</v>
      </c>
      <c r="AC102" s="72" t="e">
        <f t="shared" si="82"/>
        <v>#DIV/0!</v>
      </c>
      <c r="AD102" s="52"/>
      <c r="AE102" s="71" t="e">
        <f t="shared" si="83"/>
        <v>#DIV/0!</v>
      </c>
      <c r="AF102" s="76"/>
      <c r="AG102" s="86"/>
      <c r="AH102" s="77" t="e">
        <f t="shared" si="84"/>
        <v>#DIV/0!</v>
      </c>
      <c r="AI102" s="56">
        <v>10</v>
      </c>
      <c r="AJ102" s="56">
        <v>10</v>
      </c>
      <c r="AK102" s="56">
        <v>45</v>
      </c>
      <c r="AL102" s="57" t="e">
        <f t="shared" si="85"/>
        <v>#DIV/0!</v>
      </c>
      <c r="AM102" s="55" t="e">
        <f t="shared" si="86"/>
        <v>#DIV/0!</v>
      </c>
      <c r="AN102" s="78" t="e">
        <f t="shared" si="87"/>
        <v>#DIV/0!</v>
      </c>
      <c r="AO102" s="79"/>
      <c r="AP102" s="80">
        <f t="shared" si="90"/>
        <v>1</v>
      </c>
      <c r="AQ102" s="80">
        <f t="shared" si="90"/>
        <v>2</v>
      </c>
      <c r="AR102" s="61"/>
      <c r="AS102" s="62"/>
      <c r="AT102" s="81"/>
      <c r="AU102" s="81"/>
      <c r="AV102" s="81"/>
      <c r="AW102" s="81"/>
      <c r="AX102" s="82"/>
      <c r="AY102" s="83">
        <f t="shared" si="88"/>
        <v>0</v>
      </c>
      <c r="AZ102" s="83">
        <f t="shared" si="89"/>
        <v>0</v>
      </c>
    </row>
    <row r="103" spans="1:52" s="66" customFormat="1" ht="39.75" customHeight="1" thickBot="1" x14ac:dyDescent="0.2">
      <c r="A103" s="101"/>
      <c r="B103" s="101"/>
      <c r="C103" s="101"/>
      <c r="D103" s="101"/>
      <c r="E103" s="101"/>
      <c r="F103" s="40"/>
      <c r="G103" s="90"/>
      <c r="H103" s="158"/>
      <c r="I103" s="92"/>
      <c r="J103" s="41"/>
      <c r="K103" s="41"/>
      <c r="L103" s="88"/>
      <c r="M103" s="68"/>
      <c r="N103" s="94">
        <f t="shared" si="78"/>
        <v>0</v>
      </c>
      <c r="O103" s="44">
        <v>1</v>
      </c>
      <c r="P103" s="45"/>
      <c r="Q103" s="46"/>
      <c r="R103" s="46"/>
      <c r="S103" s="46"/>
      <c r="T103" s="70"/>
      <c r="U103" s="71">
        <f t="shared" si="79"/>
        <v>0</v>
      </c>
      <c r="V103" s="72">
        <f t="shared" si="80"/>
        <v>0</v>
      </c>
      <c r="W103" s="99"/>
      <c r="X103" s="100"/>
      <c r="Y103" s="85"/>
      <c r="Z103" s="73"/>
      <c r="AA103" s="74"/>
      <c r="AB103" s="75" t="e">
        <f t="shared" si="81"/>
        <v>#DIV/0!</v>
      </c>
      <c r="AC103" s="72" t="e">
        <f t="shared" si="82"/>
        <v>#DIV/0!</v>
      </c>
      <c r="AD103" s="52"/>
      <c r="AE103" s="71" t="e">
        <f t="shared" si="83"/>
        <v>#DIV/0!</v>
      </c>
      <c r="AF103" s="76"/>
      <c r="AG103" s="86"/>
      <c r="AH103" s="77" t="e">
        <f t="shared" si="84"/>
        <v>#DIV/0!</v>
      </c>
      <c r="AI103" s="56">
        <v>10</v>
      </c>
      <c r="AJ103" s="56">
        <v>10</v>
      </c>
      <c r="AK103" s="56">
        <v>45</v>
      </c>
      <c r="AL103" s="57" t="e">
        <f t="shared" si="85"/>
        <v>#DIV/0!</v>
      </c>
      <c r="AM103" s="55" t="e">
        <f t="shared" si="86"/>
        <v>#DIV/0!</v>
      </c>
      <c r="AN103" s="78" t="e">
        <f t="shared" si="87"/>
        <v>#DIV/0!</v>
      </c>
      <c r="AO103" s="79"/>
      <c r="AP103" s="80">
        <f t="shared" si="90"/>
        <v>1</v>
      </c>
      <c r="AQ103" s="80">
        <f t="shared" si="90"/>
        <v>2</v>
      </c>
      <c r="AR103" s="61"/>
      <c r="AS103" s="62"/>
      <c r="AT103" s="81"/>
      <c r="AU103" s="81"/>
      <c r="AV103" s="81"/>
      <c r="AW103" s="81"/>
      <c r="AX103" s="82"/>
      <c r="AY103" s="83">
        <f t="shared" si="88"/>
        <v>0</v>
      </c>
      <c r="AZ103" s="83">
        <f t="shared" si="89"/>
        <v>0</v>
      </c>
    </row>
    <row r="104" spans="1:52" s="66" customFormat="1" ht="39.75" customHeight="1" thickBot="1" x14ac:dyDescent="0.2">
      <c r="A104" s="101"/>
      <c r="B104" s="101"/>
      <c r="C104" s="101"/>
      <c r="D104" s="101"/>
      <c r="E104" s="101"/>
      <c r="F104" s="40"/>
      <c r="G104" s="90"/>
      <c r="H104" s="158"/>
      <c r="I104" s="92"/>
      <c r="J104" s="41"/>
      <c r="K104" s="41"/>
      <c r="L104" s="88"/>
      <c r="M104" s="68"/>
      <c r="N104" s="94">
        <f t="shared" si="78"/>
        <v>0</v>
      </c>
      <c r="O104" s="44">
        <v>1</v>
      </c>
      <c r="P104" s="45"/>
      <c r="Q104" s="46"/>
      <c r="R104" s="46"/>
      <c r="S104" s="46"/>
      <c r="T104" s="70"/>
      <c r="U104" s="71">
        <f t="shared" si="79"/>
        <v>0</v>
      </c>
      <c r="V104" s="72">
        <f t="shared" si="80"/>
        <v>0</v>
      </c>
      <c r="W104" s="99"/>
      <c r="X104" s="100"/>
      <c r="Y104" s="85"/>
      <c r="Z104" s="73"/>
      <c r="AA104" s="74"/>
      <c r="AB104" s="75" t="e">
        <f t="shared" si="81"/>
        <v>#DIV/0!</v>
      </c>
      <c r="AC104" s="72" t="e">
        <f t="shared" si="82"/>
        <v>#DIV/0!</v>
      </c>
      <c r="AD104" s="52"/>
      <c r="AE104" s="71" t="e">
        <f t="shared" si="83"/>
        <v>#DIV/0!</v>
      </c>
      <c r="AF104" s="76"/>
      <c r="AG104" s="86"/>
      <c r="AH104" s="77" t="e">
        <f t="shared" si="84"/>
        <v>#DIV/0!</v>
      </c>
      <c r="AI104" s="56">
        <v>10</v>
      </c>
      <c r="AJ104" s="56">
        <v>10</v>
      </c>
      <c r="AK104" s="56">
        <v>45</v>
      </c>
      <c r="AL104" s="57" t="e">
        <f t="shared" si="85"/>
        <v>#DIV/0!</v>
      </c>
      <c r="AM104" s="55" t="e">
        <f t="shared" si="86"/>
        <v>#DIV/0!</v>
      </c>
      <c r="AN104" s="78" t="e">
        <f t="shared" si="87"/>
        <v>#DIV/0!</v>
      </c>
      <c r="AO104" s="79"/>
      <c r="AP104" s="80">
        <f t="shared" ref="AP104:AQ123" si="91">100%+AO104</f>
        <v>1</v>
      </c>
      <c r="AQ104" s="80">
        <f t="shared" si="91"/>
        <v>2</v>
      </c>
      <c r="AR104" s="61"/>
      <c r="AS104" s="62"/>
      <c r="AT104" s="81"/>
      <c r="AU104" s="81"/>
      <c r="AV104" s="81"/>
      <c r="AW104" s="81"/>
      <c r="AX104" s="82"/>
      <c r="AY104" s="83">
        <f t="shared" si="88"/>
        <v>0</v>
      </c>
      <c r="AZ104" s="83">
        <f t="shared" si="89"/>
        <v>0</v>
      </c>
    </row>
    <row r="105" spans="1:52" s="66" customFormat="1" ht="39.75" customHeight="1" thickBot="1" x14ac:dyDescent="0.2">
      <c r="A105" s="101"/>
      <c r="B105" s="101"/>
      <c r="C105" s="101"/>
      <c r="D105" s="101"/>
      <c r="E105" s="101"/>
      <c r="F105" s="40"/>
      <c r="G105" s="90"/>
      <c r="H105" s="158"/>
      <c r="I105" s="92"/>
      <c r="J105" s="41"/>
      <c r="K105" s="41"/>
      <c r="L105" s="88"/>
      <c r="M105" s="68"/>
      <c r="N105" s="94">
        <f t="shared" si="78"/>
        <v>0</v>
      </c>
      <c r="O105" s="44">
        <v>1</v>
      </c>
      <c r="P105" s="45"/>
      <c r="Q105" s="46"/>
      <c r="R105" s="46"/>
      <c r="S105" s="46"/>
      <c r="T105" s="70"/>
      <c r="U105" s="71">
        <f t="shared" si="79"/>
        <v>0</v>
      </c>
      <c r="V105" s="72">
        <f t="shared" si="80"/>
        <v>0</v>
      </c>
      <c r="W105" s="99"/>
      <c r="X105" s="100"/>
      <c r="Y105" s="85"/>
      <c r="Z105" s="73"/>
      <c r="AA105" s="74"/>
      <c r="AB105" s="75" t="e">
        <f t="shared" si="81"/>
        <v>#DIV/0!</v>
      </c>
      <c r="AC105" s="72" t="e">
        <f t="shared" si="82"/>
        <v>#DIV/0!</v>
      </c>
      <c r="AD105" s="52"/>
      <c r="AE105" s="71" t="e">
        <f t="shared" si="83"/>
        <v>#DIV/0!</v>
      </c>
      <c r="AF105" s="76"/>
      <c r="AG105" s="86"/>
      <c r="AH105" s="77" t="e">
        <f t="shared" si="84"/>
        <v>#DIV/0!</v>
      </c>
      <c r="AI105" s="56">
        <v>10</v>
      </c>
      <c r="AJ105" s="56">
        <v>10</v>
      </c>
      <c r="AK105" s="56">
        <v>45</v>
      </c>
      <c r="AL105" s="57" t="e">
        <f t="shared" si="85"/>
        <v>#DIV/0!</v>
      </c>
      <c r="AM105" s="55" t="e">
        <f t="shared" si="86"/>
        <v>#DIV/0!</v>
      </c>
      <c r="AN105" s="78" t="e">
        <f t="shared" si="87"/>
        <v>#DIV/0!</v>
      </c>
      <c r="AO105" s="79"/>
      <c r="AP105" s="80">
        <f t="shared" si="91"/>
        <v>1</v>
      </c>
      <c r="AQ105" s="80">
        <f t="shared" si="91"/>
        <v>2</v>
      </c>
      <c r="AR105" s="61"/>
      <c r="AS105" s="62"/>
      <c r="AT105" s="81"/>
      <c r="AU105" s="81"/>
      <c r="AV105" s="81"/>
      <c r="AW105" s="81"/>
      <c r="AX105" s="82"/>
      <c r="AY105" s="83">
        <f t="shared" si="88"/>
        <v>0</v>
      </c>
      <c r="AZ105" s="83">
        <f t="shared" si="89"/>
        <v>0</v>
      </c>
    </row>
    <row r="106" spans="1:52" s="66" customFormat="1" ht="39.75" customHeight="1" thickBot="1" x14ac:dyDescent="0.2">
      <c r="A106" s="101"/>
      <c r="B106" s="101"/>
      <c r="C106" s="101"/>
      <c r="D106" s="101"/>
      <c r="E106" s="101"/>
      <c r="F106" s="40"/>
      <c r="G106" s="90"/>
      <c r="H106" s="158"/>
      <c r="I106" s="92"/>
      <c r="J106" s="41"/>
      <c r="K106" s="41"/>
      <c r="L106" s="88"/>
      <c r="M106" s="68"/>
      <c r="N106" s="94">
        <f t="shared" si="78"/>
        <v>0</v>
      </c>
      <c r="O106" s="44">
        <v>1</v>
      </c>
      <c r="P106" s="45"/>
      <c r="Q106" s="46"/>
      <c r="R106" s="46"/>
      <c r="S106" s="46"/>
      <c r="T106" s="70"/>
      <c r="U106" s="71">
        <f t="shared" si="79"/>
        <v>0</v>
      </c>
      <c r="V106" s="72">
        <f t="shared" si="80"/>
        <v>0</v>
      </c>
      <c r="W106" s="99"/>
      <c r="X106" s="100"/>
      <c r="Y106" s="85"/>
      <c r="Z106" s="73"/>
      <c r="AA106" s="74"/>
      <c r="AB106" s="75" t="e">
        <f t="shared" si="81"/>
        <v>#DIV/0!</v>
      </c>
      <c r="AC106" s="72" t="e">
        <f t="shared" si="82"/>
        <v>#DIV/0!</v>
      </c>
      <c r="AD106" s="52"/>
      <c r="AE106" s="71" t="e">
        <f t="shared" si="83"/>
        <v>#DIV/0!</v>
      </c>
      <c r="AF106" s="76"/>
      <c r="AG106" s="86"/>
      <c r="AH106" s="77" t="e">
        <f t="shared" si="84"/>
        <v>#DIV/0!</v>
      </c>
      <c r="AI106" s="56">
        <v>10</v>
      </c>
      <c r="AJ106" s="56">
        <v>10</v>
      </c>
      <c r="AK106" s="56">
        <v>45</v>
      </c>
      <c r="AL106" s="57" t="e">
        <f t="shared" si="85"/>
        <v>#DIV/0!</v>
      </c>
      <c r="AM106" s="55" t="e">
        <f t="shared" si="86"/>
        <v>#DIV/0!</v>
      </c>
      <c r="AN106" s="78" t="e">
        <f t="shared" si="87"/>
        <v>#DIV/0!</v>
      </c>
      <c r="AO106" s="79"/>
      <c r="AP106" s="80">
        <f t="shared" si="91"/>
        <v>1</v>
      </c>
      <c r="AQ106" s="80">
        <f t="shared" si="91"/>
        <v>2</v>
      </c>
      <c r="AR106" s="61"/>
      <c r="AS106" s="62"/>
      <c r="AT106" s="81"/>
      <c r="AU106" s="81"/>
      <c r="AV106" s="81"/>
      <c r="AW106" s="81"/>
      <c r="AX106" s="82"/>
      <c r="AY106" s="83">
        <f t="shared" si="88"/>
        <v>0</v>
      </c>
      <c r="AZ106" s="83">
        <f t="shared" si="89"/>
        <v>0</v>
      </c>
    </row>
    <row r="107" spans="1:52" s="23" customFormat="1" ht="39.75" customHeight="1" thickBot="1" x14ac:dyDescent="0.2">
      <c r="A107" s="101"/>
      <c r="B107" s="101"/>
      <c r="C107" s="101"/>
      <c r="D107" s="101"/>
      <c r="E107" s="101"/>
      <c r="F107" s="40"/>
      <c r="G107" s="90"/>
      <c r="H107" s="158"/>
      <c r="I107" s="92"/>
      <c r="J107" s="41"/>
      <c r="K107" s="41"/>
      <c r="L107" s="88"/>
      <c r="M107" s="68"/>
      <c r="N107" s="94">
        <f t="shared" si="78"/>
        <v>0</v>
      </c>
      <c r="O107" s="44">
        <v>1</v>
      </c>
      <c r="P107" s="45"/>
      <c r="Q107" s="46"/>
      <c r="R107" s="46"/>
      <c r="S107" s="46"/>
      <c r="T107" s="70"/>
      <c r="U107" s="71">
        <f t="shared" si="79"/>
        <v>0</v>
      </c>
      <c r="V107" s="72">
        <f t="shared" si="80"/>
        <v>0</v>
      </c>
      <c r="W107" s="99"/>
      <c r="X107" s="100"/>
      <c r="Y107" s="85"/>
      <c r="Z107" s="73"/>
      <c r="AA107" s="74"/>
      <c r="AB107" s="75" t="e">
        <f t="shared" si="81"/>
        <v>#DIV/0!</v>
      </c>
      <c r="AC107" s="72" t="e">
        <f t="shared" si="82"/>
        <v>#DIV/0!</v>
      </c>
      <c r="AD107" s="52"/>
      <c r="AE107" s="71" t="e">
        <f t="shared" si="83"/>
        <v>#DIV/0!</v>
      </c>
      <c r="AF107" s="76"/>
      <c r="AG107" s="86"/>
      <c r="AH107" s="77" t="e">
        <f t="shared" si="84"/>
        <v>#DIV/0!</v>
      </c>
      <c r="AI107" s="56">
        <v>10</v>
      </c>
      <c r="AJ107" s="56">
        <v>10</v>
      </c>
      <c r="AK107" s="56">
        <v>45</v>
      </c>
      <c r="AL107" s="57" t="e">
        <f t="shared" si="85"/>
        <v>#DIV/0!</v>
      </c>
      <c r="AM107" s="55" t="e">
        <f t="shared" si="86"/>
        <v>#DIV/0!</v>
      </c>
      <c r="AN107" s="78" t="e">
        <f t="shared" si="87"/>
        <v>#DIV/0!</v>
      </c>
      <c r="AO107" s="79"/>
      <c r="AP107" s="80">
        <f t="shared" si="91"/>
        <v>1</v>
      </c>
      <c r="AQ107" s="80">
        <f t="shared" si="91"/>
        <v>2</v>
      </c>
      <c r="AR107" s="61"/>
      <c r="AS107" s="62"/>
      <c r="AT107" s="81"/>
      <c r="AU107" s="81"/>
      <c r="AV107" s="81"/>
      <c r="AW107" s="81"/>
      <c r="AX107" s="82"/>
      <c r="AY107" s="83">
        <f t="shared" si="88"/>
        <v>0</v>
      </c>
      <c r="AZ107" s="83">
        <f t="shared" si="89"/>
        <v>0</v>
      </c>
    </row>
    <row r="108" spans="1:52" s="66" customFormat="1" ht="39.75" customHeight="1" thickBot="1" x14ac:dyDescent="0.2">
      <c r="A108" s="101"/>
      <c r="B108" s="101"/>
      <c r="C108" s="101"/>
      <c r="D108" s="101"/>
      <c r="E108" s="101"/>
      <c r="F108" s="40"/>
      <c r="G108" s="90"/>
      <c r="H108" s="158"/>
      <c r="I108" s="92"/>
      <c r="J108" s="41"/>
      <c r="K108" s="41"/>
      <c r="L108" s="88"/>
      <c r="M108" s="68"/>
      <c r="N108" s="94">
        <f t="shared" si="78"/>
        <v>0</v>
      </c>
      <c r="O108" s="44">
        <v>1</v>
      </c>
      <c r="P108" s="45"/>
      <c r="Q108" s="46"/>
      <c r="R108" s="46"/>
      <c r="S108" s="46"/>
      <c r="T108" s="70"/>
      <c r="U108" s="71">
        <f t="shared" si="79"/>
        <v>0</v>
      </c>
      <c r="V108" s="72">
        <f t="shared" si="80"/>
        <v>0</v>
      </c>
      <c r="W108" s="99"/>
      <c r="X108" s="100"/>
      <c r="Y108" s="85"/>
      <c r="Z108" s="73"/>
      <c r="AA108" s="74"/>
      <c r="AB108" s="75" t="e">
        <f t="shared" si="81"/>
        <v>#DIV/0!</v>
      </c>
      <c r="AC108" s="72" t="e">
        <f t="shared" si="82"/>
        <v>#DIV/0!</v>
      </c>
      <c r="AD108" s="52"/>
      <c r="AE108" s="71" t="e">
        <f t="shared" si="83"/>
        <v>#DIV/0!</v>
      </c>
      <c r="AF108" s="76"/>
      <c r="AG108" s="86"/>
      <c r="AH108" s="77" t="e">
        <f t="shared" si="84"/>
        <v>#DIV/0!</v>
      </c>
      <c r="AI108" s="56">
        <v>10</v>
      </c>
      <c r="AJ108" s="56">
        <v>10</v>
      </c>
      <c r="AK108" s="56">
        <v>45</v>
      </c>
      <c r="AL108" s="57" t="e">
        <f t="shared" si="85"/>
        <v>#DIV/0!</v>
      </c>
      <c r="AM108" s="55" t="e">
        <f t="shared" si="86"/>
        <v>#DIV/0!</v>
      </c>
      <c r="AN108" s="78" t="e">
        <f t="shared" si="87"/>
        <v>#DIV/0!</v>
      </c>
      <c r="AO108" s="79"/>
      <c r="AP108" s="80">
        <f t="shared" si="91"/>
        <v>1</v>
      </c>
      <c r="AQ108" s="80">
        <f t="shared" si="91"/>
        <v>2</v>
      </c>
      <c r="AR108" s="61"/>
      <c r="AS108" s="62"/>
      <c r="AT108" s="81"/>
      <c r="AU108" s="81"/>
      <c r="AV108" s="81"/>
      <c r="AW108" s="81"/>
      <c r="AX108" s="82"/>
      <c r="AY108" s="83">
        <f t="shared" si="88"/>
        <v>0</v>
      </c>
      <c r="AZ108" s="83">
        <f t="shared" si="89"/>
        <v>0</v>
      </c>
    </row>
    <row r="109" spans="1:52" s="66" customFormat="1" ht="39.75" customHeight="1" thickBot="1" x14ac:dyDescent="0.2">
      <c r="A109" s="101"/>
      <c r="B109" s="101"/>
      <c r="C109" s="101"/>
      <c r="D109" s="101"/>
      <c r="E109" s="101"/>
      <c r="F109" s="40"/>
      <c r="G109" s="90"/>
      <c r="H109" s="158"/>
      <c r="I109" s="92"/>
      <c r="J109" s="41"/>
      <c r="K109" s="41"/>
      <c r="L109" s="88"/>
      <c r="M109" s="68"/>
      <c r="N109" s="94">
        <f t="shared" si="78"/>
        <v>0</v>
      </c>
      <c r="O109" s="44">
        <v>1</v>
      </c>
      <c r="P109" s="45"/>
      <c r="Q109" s="46"/>
      <c r="R109" s="46"/>
      <c r="S109" s="46"/>
      <c r="T109" s="70"/>
      <c r="U109" s="71">
        <f t="shared" si="79"/>
        <v>0</v>
      </c>
      <c r="V109" s="72">
        <f t="shared" si="80"/>
        <v>0</v>
      </c>
      <c r="W109" s="99"/>
      <c r="X109" s="100"/>
      <c r="Y109" s="85"/>
      <c r="Z109" s="73"/>
      <c r="AA109" s="74"/>
      <c r="AB109" s="75" t="e">
        <f t="shared" si="81"/>
        <v>#DIV/0!</v>
      </c>
      <c r="AC109" s="72" t="e">
        <f t="shared" si="82"/>
        <v>#DIV/0!</v>
      </c>
      <c r="AD109" s="52"/>
      <c r="AE109" s="71" t="e">
        <f t="shared" si="83"/>
        <v>#DIV/0!</v>
      </c>
      <c r="AF109" s="76"/>
      <c r="AG109" s="86"/>
      <c r="AH109" s="77" t="e">
        <f t="shared" si="84"/>
        <v>#DIV/0!</v>
      </c>
      <c r="AI109" s="56">
        <v>10</v>
      </c>
      <c r="AJ109" s="56">
        <v>10</v>
      </c>
      <c r="AK109" s="56">
        <v>45</v>
      </c>
      <c r="AL109" s="57" t="e">
        <f t="shared" si="85"/>
        <v>#DIV/0!</v>
      </c>
      <c r="AM109" s="55" t="e">
        <f t="shared" si="86"/>
        <v>#DIV/0!</v>
      </c>
      <c r="AN109" s="78" t="e">
        <f t="shared" si="87"/>
        <v>#DIV/0!</v>
      </c>
      <c r="AO109" s="79"/>
      <c r="AP109" s="80">
        <f t="shared" si="91"/>
        <v>1</v>
      </c>
      <c r="AQ109" s="80">
        <f t="shared" si="91"/>
        <v>2</v>
      </c>
      <c r="AR109" s="61"/>
      <c r="AS109" s="62"/>
      <c r="AT109" s="81"/>
      <c r="AU109" s="81"/>
      <c r="AV109" s="81"/>
      <c r="AW109" s="81"/>
      <c r="AX109" s="82"/>
      <c r="AY109" s="83">
        <f t="shared" si="88"/>
        <v>0</v>
      </c>
      <c r="AZ109" s="83">
        <f t="shared" si="89"/>
        <v>0</v>
      </c>
    </row>
    <row r="110" spans="1:52" s="66" customFormat="1" ht="39.75" customHeight="1" thickBot="1" x14ac:dyDescent="0.2">
      <c r="A110" s="101"/>
      <c r="B110" s="101"/>
      <c r="C110" s="101"/>
      <c r="D110" s="101"/>
      <c r="E110" s="101"/>
      <c r="F110" s="40"/>
      <c r="G110" s="90"/>
      <c r="H110" s="158"/>
      <c r="I110" s="92"/>
      <c r="J110" s="41"/>
      <c r="K110" s="41"/>
      <c r="L110" s="88"/>
      <c r="M110" s="68"/>
      <c r="N110" s="94">
        <f t="shared" si="78"/>
        <v>0</v>
      </c>
      <c r="O110" s="44">
        <v>1</v>
      </c>
      <c r="P110" s="45"/>
      <c r="Q110" s="46"/>
      <c r="R110" s="46"/>
      <c r="S110" s="46"/>
      <c r="T110" s="70"/>
      <c r="U110" s="71">
        <f t="shared" si="79"/>
        <v>0</v>
      </c>
      <c r="V110" s="72">
        <f t="shared" si="80"/>
        <v>0</v>
      </c>
      <c r="W110" s="99"/>
      <c r="X110" s="100"/>
      <c r="Y110" s="85"/>
      <c r="Z110" s="73"/>
      <c r="AA110" s="74"/>
      <c r="AB110" s="75" t="e">
        <f t="shared" si="81"/>
        <v>#DIV/0!</v>
      </c>
      <c r="AC110" s="72" t="e">
        <f t="shared" si="82"/>
        <v>#DIV/0!</v>
      </c>
      <c r="AD110" s="52"/>
      <c r="AE110" s="71" t="e">
        <f t="shared" si="83"/>
        <v>#DIV/0!</v>
      </c>
      <c r="AF110" s="76"/>
      <c r="AG110" s="86"/>
      <c r="AH110" s="77" t="e">
        <f t="shared" si="84"/>
        <v>#DIV/0!</v>
      </c>
      <c r="AI110" s="56">
        <v>10</v>
      </c>
      <c r="AJ110" s="56">
        <v>10</v>
      </c>
      <c r="AK110" s="56">
        <v>45</v>
      </c>
      <c r="AL110" s="57" t="e">
        <f t="shared" si="85"/>
        <v>#DIV/0!</v>
      </c>
      <c r="AM110" s="55" t="e">
        <f t="shared" si="86"/>
        <v>#DIV/0!</v>
      </c>
      <c r="AN110" s="78" t="e">
        <f t="shared" si="87"/>
        <v>#DIV/0!</v>
      </c>
      <c r="AO110" s="79"/>
      <c r="AP110" s="80">
        <f t="shared" si="91"/>
        <v>1</v>
      </c>
      <c r="AQ110" s="80">
        <f t="shared" si="91"/>
        <v>2</v>
      </c>
      <c r="AR110" s="61"/>
      <c r="AS110" s="62"/>
      <c r="AT110" s="81"/>
      <c r="AU110" s="81"/>
      <c r="AV110" s="81"/>
      <c r="AW110" s="81"/>
      <c r="AX110" s="82"/>
      <c r="AY110" s="83">
        <f t="shared" si="88"/>
        <v>0</v>
      </c>
      <c r="AZ110" s="83">
        <f t="shared" si="89"/>
        <v>0</v>
      </c>
    </row>
    <row r="111" spans="1:52" s="66" customFormat="1" ht="39.75" customHeight="1" thickBot="1" x14ac:dyDescent="0.2">
      <c r="A111" s="101"/>
      <c r="B111" s="101"/>
      <c r="C111" s="101"/>
      <c r="D111" s="101"/>
      <c r="E111" s="101"/>
      <c r="F111" s="40"/>
      <c r="G111" s="90"/>
      <c r="H111" s="158"/>
      <c r="I111" s="92"/>
      <c r="J111" s="41"/>
      <c r="K111" s="41"/>
      <c r="L111" s="88"/>
      <c r="M111" s="68"/>
      <c r="N111" s="94">
        <f t="shared" si="78"/>
        <v>0</v>
      </c>
      <c r="O111" s="44">
        <v>1</v>
      </c>
      <c r="P111" s="45"/>
      <c r="Q111" s="46"/>
      <c r="R111" s="46"/>
      <c r="S111" s="46"/>
      <c r="T111" s="70"/>
      <c r="U111" s="71">
        <f t="shared" si="79"/>
        <v>0</v>
      </c>
      <c r="V111" s="72">
        <f t="shared" si="80"/>
        <v>0</v>
      </c>
      <c r="W111" s="99"/>
      <c r="X111" s="100"/>
      <c r="Y111" s="85"/>
      <c r="Z111" s="73"/>
      <c r="AA111" s="74"/>
      <c r="AB111" s="75" t="e">
        <f t="shared" si="81"/>
        <v>#DIV/0!</v>
      </c>
      <c r="AC111" s="72" t="e">
        <f t="shared" si="82"/>
        <v>#DIV/0!</v>
      </c>
      <c r="AD111" s="52"/>
      <c r="AE111" s="71" t="e">
        <f t="shared" si="83"/>
        <v>#DIV/0!</v>
      </c>
      <c r="AF111" s="76"/>
      <c r="AG111" s="86"/>
      <c r="AH111" s="77" t="e">
        <f t="shared" si="84"/>
        <v>#DIV/0!</v>
      </c>
      <c r="AI111" s="56">
        <v>10</v>
      </c>
      <c r="AJ111" s="56">
        <v>10</v>
      </c>
      <c r="AK111" s="56">
        <v>45</v>
      </c>
      <c r="AL111" s="57" t="e">
        <f t="shared" si="85"/>
        <v>#DIV/0!</v>
      </c>
      <c r="AM111" s="55" t="e">
        <f t="shared" si="86"/>
        <v>#DIV/0!</v>
      </c>
      <c r="AN111" s="78" t="e">
        <f t="shared" si="87"/>
        <v>#DIV/0!</v>
      </c>
      <c r="AO111" s="79"/>
      <c r="AP111" s="80">
        <f t="shared" si="91"/>
        <v>1</v>
      </c>
      <c r="AQ111" s="80">
        <f t="shared" si="91"/>
        <v>2</v>
      </c>
      <c r="AR111" s="61"/>
      <c r="AS111" s="62"/>
      <c r="AT111" s="81"/>
      <c r="AU111" s="81"/>
      <c r="AV111" s="81"/>
      <c r="AW111" s="81"/>
      <c r="AX111" s="82"/>
      <c r="AY111" s="83">
        <f t="shared" si="88"/>
        <v>0</v>
      </c>
      <c r="AZ111" s="83">
        <f t="shared" si="89"/>
        <v>0</v>
      </c>
    </row>
    <row r="112" spans="1:52" s="66" customFormat="1" ht="39.75" customHeight="1" thickBot="1" x14ac:dyDescent="0.2">
      <c r="A112" s="101"/>
      <c r="B112" s="101"/>
      <c r="C112" s="101"/>
      <c r="D112" s="101"/>
      <c r="E112" s="101"/>
      <c r="F112" s="40"/>
      <c r="G112" s="90"/>
      <c r="H112" s="158"/>
      <c r="I112" s="92"/>
      <c r="J112" s="41"/>
      <c r="K112" s="41"/>
      <c r="L112" s="88"/>
      <c r="M112" s="68"/>
      <c r="N112" s="94">
        <f t="shared" si="78"/>
        <v>0</v>
      </c>
      <c r="O112" s="44">
        <v>1</v>
      </c>
      <c r="P112" s="45"/>
      <c r="Q112" s="46"/>
      <c r="R112" s="46"/>
      <c r="S112" s="46"/>
      <c r="T112" s="70"/>
      <c r="U112" s="71">
        <f t="shared" si="79"/>
        <v>0</v>
      </c>
      <c r="V112" s="72">
        <f t="shared" si="80"/>
        <v>0</v>
      </c>
      <c r="W112" s="99"/>
      <c r="X112" s="100"/>
      <c r="Y112" s="85"/>
      <c r="Z112" s="73"/>
      <c r="AA112" s="74"/>
      <c r="AB112" s="75" t="e">
        <f t="shared" si="81"/>
        <v>#DIV/0!</v>
      </c>
      <c r="AC112" s="72" t="e">
        <f t="shared" si="82"/>
        <v>#DIV/0!</v>
      </c>
      <c r="AD112" s="52"/>
      <c r="AE112" s="71" t="e">
        <f t="shared" si="83"/>
        <v>#DIV/0!</v>
      </c>
      <c r="AF112" s="76"/>
      <c r="AG112" s="86"/>
      <c r="AH112" s="77" t="e">
        <f t="shared" si="84"/>
        <v>#DIV/0!</v>
      </c>
      <c r="AI112" s="56">
        <v>10</v>
      </c>
      <c r="AJ112" s="56">
        <v>10</v>
      </c>
      <c r="AK112" s="56">
        <v>45</v>
      </c>
      <c r="AL112" s="57" t="e">
        <f t="shared" si="85"/>
        <v>#DIV/0!</v>
      </c>
      <c r="AM112" s="55" t="e">
        <f t="shared" si="86"/>
        <v>#DIV/0!</v>
      </c>
      <c r="AN112" s="78" t="e">
        <f t="shared" si="87"/>
        <v>#DIV/0!</v>
      </c>
      <c r="AO112" s="79"/>
      <c r="AP112" s="80">
        <f t="shared" si="91"/>
        <v>1</v>
      </c>
      <c r="AQ112" s="80">
        <f t="shared" si="91"/>
        <v>2</v>
      </c>
      <c r="AR112" s="61"/>
      <c r="AS112" s="62"/>
      <c r="AT112" s="81"/>
      <c r="AU112" s="81"/>
      <c r="AV112" s="81"/>
      <c r="AW112" s="81"/>
      <c r="AX112" s="82"/>
      <c r="AY112" s="83">
        <f t="shared" si="88"/>
        <v>0</v>
      </c>
      <c r="AZ112" s="83">
        <f t="shared" si="89"/>
        <v>0</v>
      </c>
    </row>
    <row r="113" spans="1:52" s="66" customFormat="1" ht="39.75" customHeight="1" thickBot="1" x14ac:dyDescent="0.2">
      <c r="A113" s="101"/>
      <c r="B113" s="101"/>
      <c r="C113" s="101"/>
      <c r="D113" s="101"/>
      <c r="E113" s="101"/>
      <c r="F113" s="40"/>
      <c r="G113" s="90"/>
      <c r="H113" s="158"/>
      <c r="I113" s="92"/>
      <c r="J113" s="41"/>
      <c r="K113" s="41"/>
      <c r="L113" s="88"/>
      <c r="M113" s="68"/>
      <c r="N113" s="94">
        <f t="shared" si="78"/>
        <v>0</v>
      </c>
      <c r="O113" s="44">
        <v>1</v>
      </c>
      <c r="P113" s="45"/>
      <c r="Q113" s="46"/>
      <c r="R113" s="46"/>
      <c r="S113" s="46"/>
      <c r="T113" s="70"/>
      <c r="U113" s="71">
        <f t="shared" si="79"/>
        <v>0</v>
      </c>
      <c r="V113" s="72">
        <f t="shared" si="80"/>
        <v>0</v>
      </c>
      <c r="W113" s="99"/>
      <c r="X113" s="100"/>
      <c r="Y113" s="85"/>
      <c r="Z113" s="73"/>
      <c r="AA113" s="74"/>
      <c r="AB113" s="75" t="e">
        <f t="shared" si="81"/>
        <v>#DIV/0!</v>
      </c>
      <c r="AC113" s="72" t="e">
        <f t="shared" si="82"/>
        <v>#DIV/0!</v>
      </c>
      <c r="AD113" s="52"/>
      <c r="AE113" s="71" t="e">
        <f t="shared" si="83"/>
        <v>#DIV/0!</v>
      </c>
      <c r="AF113" s="76"/>
      <c r="AG113" s="86"/>
      <c r="AH113" s="77" t="e">
        <f t="shared" si="84"/>
        <v>#DIV/0!</v>
      </c>
      <c r="AI113" s="56">
        <v>10</v>
      </c>
      <c r="AJ113" s="56">
        <v>10</v>
      </c>
      <c r="AK113" s="56">
        <v>45</v>
      </c>
      <c r="AL113" s="57" t="e">
        <f t="shared" si="85"/>
        <v>#DIV/0!</v>
      </c>
      <c r="AM113" s="55" t="e">
        <f t="shared" si="86"/>
        <v>#DIV/0!</v>
      </c>
      <c r="AN113" s="78" t="e">
        <f t="shared" si="87"/>
        <v>#DIV/0!</v>
      </c>
      <c r="AO113" s="79"/>
      <c r="AP113" s="80">
        <f t="shared" si="91"/>
        <v>1</v>
      </c>
      <c r="AQ113" s="80">
        <f t="shared" si="91"/>
        <v>2</v>
      </c>
      <c r="AR113" s="61"/>
      <c r="AS113" s="62"/>
      <c r="AT113" s="81"/>
      <c r="AU113" s="81"/>
      <c r="AV113" s="81"/>
      <c r="AW113" s="81"/>
      <c r="AX113" s="82"/>
      <c r="AY113" s="83">
        <f t="shared" si="88"/>
        <v>0</v>
      </c>
      <c r="AZ113" s="83">
        <f t="shared" si="89"/>
        <v>0</v>
      </c>
    </row>
    <row r="114" spans="1:52" s="66" customFormat="1" ht="39.75" customHeight="1" thickBot="1" x14ac:dyDescent="0.2">
      <c r="A114" s="101"/>
      <c r="B114" s="101"/>
      <c r="C114" s="101"/>
      <c r="D114" s="101"/>
      <c r="E114" s="101"/>
      <c r="F114" s="101"/>
      <c r="G114" s="90"/>
      <c r="H114" s="158"/>
      <c r="I114" s="92"/>
      <c r="J114" s="41"/>
      <c r="K114" s="41"/>
      <c r="L114" s="88"/>
      <c r="M114" s="68"/>
      <c r="N114" s="94">
        <f t="shared" si="78"/>
        <v>0</v>
      </c>
      <c r="O114" s="44">
        <v>1</v>
      </c>
      <c r="P114" s="45"/>
      <c r="Q114" s="46"/>
      <c r="R114" s="46"/>
      <c r="S114" s="46"/>
      <c r="T114" s="70"/>
      <c r="U114" s="71">
        <f t="shared" si="79"/>
        <v>0</v>
      </c>
      <c r="V114" s="72">
        <f t="shared" si="80"/>
        <v>0</v>
      </c>
      <c r="W114" s="99"/>
      <c r="X114" s="100"/>
      <c r="Y114" s="85"/>
      <c r="Z114" s="73"/>
      <c r="AA114" s="74"/>
      <c r="AB114" s="75" t="e">
        <f t="shared" si="81"/>
        <v>#DIV/0!</v>
      </c>
      <c r="AC114" s="72" t="e">
        <f t="shared" si="82"/>
        <v>#DIV/0!</v>
      </c>
      <c r="AD114" s="52"/>
      <c r="AE114" s="71" t="e">
        <f t="shared" si="83"/>
        <v>#DIV/0!</v>
      </c>
      <c r="AF114" s="76"/>
      <c r="AG114" s="86"/>
      <c r="AH114" s="77" t="e">
        <f t="shared" si="84"/>
        <v>#DIV/0!</v>
      </c>
      <c r="AI114" s="56">
        <v>10</v>
      </c>
      <c r="AJ114" s="56">
        <v>10</v>
      </c>
      <c r="AK114" s="56">
        <v>45</v>
      </c>
      <c r="AL114" s="57" t="e">
        <f t="shared" si="85"/>
        <v>#DIV/0!</v>
      </c>
      <c r="AM114" s="55" t="e">
        <f t="shared" si="86"/>
        <v>#DIV/0!</v>
      </c>
      <c r="AN114" s="78" t="e">
        <f t="shared" si="87"/>
        <v>#DIV/0!</v>
      </c>
      <c r="AO114" s="79"/>
      <c r="AP114" s="80">
        <f t="shared" si="91"/>
        <v>1</v>
      </c>
      <c r="AQ114" s="80">
        <f t="shared" si="91"/>
        <v>2</v>
      </c>
      <c r="AR114" s="61"/>
      <c r="AS114" s="62"/>
      <c r="AT114" s="81"/>
      <c r="AU114" s="81"/>
      <c r="AV114" s="81"/>
      <c r="AW114" s="81"/>
      <c r="AX114" s="82"/>
      <c r="AY114" s="83">
        <f t="shared" si="88"/>
        <v>0</v>
      </c>
      <c r="AZ114" s="83">
        <f t="shared" si="89"/>
        <v>0</v>
      </c>
    </row>
    <row r="115" spans="1:52" s="66" customFormat="1" ht="39.75" customHeight="1" thickBot="1" x14ac:dyDescent="0.2">
      <c r="A115" s="101"/>
      <c r="B115" s="101"/>
      <c r="C115" s="101"/>
      <c r="D115" s="101"/>
      <c r="E115" s="101"/>
      <c r="F115" s="101"/>
      <c r="G115" s="90"/>
      <c r="H115" s="158"/>
      <c r="I115" s="92"/>
      <c r="J115" s="41"/>
      <c r="K115" s="41"/>
      <c r="L115" s="88"/>
      <c r="M115" s="68"/>
      <c r="N115" s="94">
        <f t="shared" si="78"/>
        <v>0</v>
      </c>
      <c r="O115" s="44">
        <v>1</v>
      </c>
      <c r="P115" s="45"/>
      <c r="Q115" s="46"/>
      <c r="R115" s="46"/>
      <c r="S115" s="46"/>
      <c r="T115" s="70"/>
      <c r="U115" s="71">
        <f t="shared" si="79"/>
        <v>0</v>
      </c>
      <c r="V115" s="72">
        <f t="shared" si="80"/>
        <v>0</v>
      </c>
      <c r="W115" s="99"/>
      <c r="X115" s="100"/>
      <c r="Y115" s="85"/>
      <c r="Z115" s="73"/>
      <c r="AA115" s="74"/>
      <c r="AB115" s="75" t="e">
        <f t="shared" si="81"/>
        <v>#DIV/0!</v>
      </c>
      <c r="AC115" s="72" t="e">
        <f t="shared" si="82"/>
        <v>#DIV/0!</v>
      </c>
      <c r="AD115" s="52"/>
      <c r="AE115" s="71" t="e">
        <f t="shared" si="83"/>
        <v>#DIV/0!</v>
      </c>
      <c r="AF115" s="76"/>
      <c r="AG115" s="86"/>
      <c r="AH115" s="77" t="e">
        <f t="shared" si="84"/>
        <v>#DIV/0!</v>
      </c>
      <c r="AI115" s="56">
        <v>10</v>
      </c>
      <c r="AJ115" s="56">
        <v>10</v>
      </c>
      <c r="AK115" s="56">
        <v>45</v>
      </c>
      <c r="AL115" s="57" t="e">
        <f t="shared" si="85"/>
        <v>#DIV/0!</v>
      </c>
      <c r="AM115" s="55" t="e">
        <f t="shared" si="86"/>
        <v>#DIV/0!</v>
      </c>
      <c r="AN115" s="78" t="e">
        <f t="shared" si="87"/>
        <v>#DIV/0!</v>
      </c>
      <c r="AO115" s="79"/>
      <c r="AP115" s="80">
        <f t="shared" si="91"/>
        <v>1</v>
      </c>
      <c r="AQ115" s="80">
        <f t="shared" si="91"/>
        <v>2</v>
      </c>
      <c r="AR115" s="61"/>
      <c r="AS115" s="62"/>
      <c r="AT115" s="81"/>
      <c r="AU115" s="81"/>
      <c r="AV115" s="81"/>
      <c r="AW115" s="81"/>
      <c r="AX115" s="82"/>
      <c r="AY115" s="83">
        <f t="shared" si="88"/>
        <v>0</v>
      </c>
      <c r="AZ115" s="83">
        <f t="shared" si="89"/>
        <v>0</v>
      </c>
    </row>
    <row r="116" spans="1:52" s="23" customFormat="1" ht="39.75" customHeight="1" thickBot="1" x14ac:dyDescent="0.2">
      <c r="A116" s="101"/>
      <c r="B116" s="101"/>
      <c r="C116" s="101"/>
      <c r="D116" s="101"/>
      <c r="E116" s="101"/>
      <c r="F116" s="101"/>
      <c r="G116" s="90"/>
      <c r="H116" s="158"/>
      <c r="I116" s="92"/>
      <c r="J116" s="41"/>
      <c r="K116" s="41"/>
      <c r="L116" s="88"/>
      <c r="M116" s="68"/>
      <c r="N116" s="94">
        <f t="shared" si="78"/>
        <v>0</v>
      </c>
      <c r="O116" s="44">
        <v>1</v>
      </c>
      <c r="P116" s="45"/>
      <c r="Q116" s="46"/>
      <c r="R116" s="46"/>
      <c r="S116" s="46"/>
      <c r="T116" s="70"/>
      <c r="U116" s="71">
        <f t="shared" si="79"/>
        <v>0</v>
      </c>
      <c r="V116" s="72">
        <f t="shared" si="80"/>
        <v>0</v>
      </c>
      <c r="W116" s="99"/>
      <c r="X116" s="100"/>
      <c r="Y116" s="85"/>
      <c r="Z116" s="73"/>
      <c r="AA116" s="74"/>
      <c r="AB116" s="75" t="e">
        <f t="shared" si="81"/>
        <v>#DIV/0!</v>
      </c>
      <c r="AC116" s="72" t="e">
        <f t="shared" si="82"/>
        <v>#DIV/0!</v>
      </c>
      <c r="AD116" s="52"/>
      <c r="AE116" s="71" t="e">
        <f t="shared" si="83"/>
        <v>#DIV/0!</v>
      </c>
      <c r="AF116" s="76"/>
      <c r="AG116" s="86"/>
      <c r="AH116" s="77" t="e">
        <f t="shared" si="84"/>
        <v>#DIV/0!</v>
      </c>
      <c r="AI116" s="56">
        <v>10</v>
      </c>
      <c r="AJ116" s="56">
        <v>10</v>
      </c>
      <c r="AK116" s="56">
        <v>45</v>
      </c>
      <c r="AL116" s="57" t="e">
        <f t="shared" si="85"/>
        <v>#DIV/0!</v>
      </c>
      <c r="AM116" s="55" t="e">
        <f t="shared" si="86"/>
        <v>#DIV/0!</v>
      </c>
      <c r="AN116" s="78" t="e">
        <f t="shared" si="87"/>
        <v>#DIV/0!</v>
      </c>
      <c r="AO116" s="79"/>
      <c r="AP116" s="80">
        <f t="shared" si="91"/>
        <v>1</v>
      </c>
      <c r="AQ116" s="80">
        <f t="shared" si="91"/>
        <v>2</v>
      </c>
      <c r="AR116" s="61"/>
      <c r="AS116" s="62"/>
      <c r="AT116" s="81"/>
      <c r="AU116" s="81"/>
      <c r="AV116" s="81"/>
      <c r="AW116" s="81"/>
      <c r="AX116" s="82"/>
      <c r="AY116" s="83">
        <f t="shared" si="88"/>
        <v>0</v>
      </c>
      <c r="AZ116" s="83">
        <f t="shared" si="89"/>
        <v>0</v>
      </c>
    </row>
    <row r="117" spans="1:52" s="66" customFormat="1" ht="39.75" customHeight="1" thickBot="1" x14ac:dyDescent="0.2">
      <c r="A117" s="101"/>
      <c r="B117" s="101"/>
      <c r="C117" s="101"/>
      <c r="D117" s="101"/>
      <c r="E117" s="101"/>
      <c r="F117" s="101"/>
      <c r="G117" s="90"/>
      <c r="H117" s="158"/>
      <c r="I117" s="92"/>
      <c r="J117" s="41"/>
      <c r="K117" s="41"/>
      <c r="L117" s="88"/>
      <c r="M117" s="68"/>
      <c r="N117" s="94">
        <f t="shared" si="78"/>
        <v>0</v>
      </c>
      <c r="O117" s="44">
        <v>1</v>
      </c>
      <c r="P117" s="45"/>
      <c r="Q117" s="46"/>
      <c r="R117" s="46"/>
      <c r="S117" s="46"/>
      <c r="T117" s="70"/>
      <c r="U117" s="71">
        <f t="shared" si="79"/>
        <v>0</v>
      </c>
      <c r="V117" s="72">
        <f t="shared" si="80"/>
        <v>0</v>
      </c>
      <c r="W117" s="99"/>
      <c r="X117" s="100"/>
      <c r="Y117" s="85"/>
      <c r="Z117" s="73"/>
      <c r="AA117" s="74"/>
      <c r="AB117" s="75" t="e">
        <f t="shared" si="81"/>
        <v>#DIV/0!</v>
      </c>
      <c r="AC117" s="72" t="e">
        <f t="shared" si="82"/>
        <v>#DIV/0!</v>
      </c>
      <c r="AD117" s="52"/>
      <c r="AE117" s="71" t="e">
        <f t="shared" si="83"/>
        <v>#DIV/0!</v>
      </c>
      <c r="AF117" s="76"/>
      <c r="AG117" s="86"/>
      <c r="AH117" s="77" t="e">
        <f t="shared" si="84"/>
        <v>#DIV/0!</v>
      </c>
      <c r="AI117" s="56">
        <v>10</v>
      </c>
      <c r="AJ117" s="56">
        <v>10</v>
      </c>
      <c r="AK117" s="56">
        <v>45</v>
      </c>
      <c r="AL117" s="57" t="e">
        <f t="shared" si="85"/>
        <v>#DIV/0!</v>
      </c>
      <c r="AM117" s="55" t="e">
        <f t="shared" si="86"/>
        <v>#DIV/0!</v>
      </c>
      <c r="AN117" s="78" t="e">
        <f t="shared" si="87"/>
        <v>#DIV/0!</v>
      </c>
      <c r="AO117" s="79"/>
      <c r="AP117" s="80">
        <f t="shared" si="91"/>
        <v>1</v>
      </c>
      <c r="AQ117" s="80">
        <f t="shared" si="91"/>
        <v>2</v>
      </c>
      <c r="AR117" s="61"/>
      <c r="AS117" s="62"/>
      <c r="AT117" s="81"/>
      <c r="AU117" s="81"/>
      <c r="AV117" s="81"/>
      <c r="AW117" s="81"/>
      <c r="AX117" s="82"/>
      <c r="AY117" s="83">
        <f t="shared" si="88"/>
        <v>0</v>
      </c>
      <c r="AZ117" s="83">
        <f t="shared" si="89"/>
        <v>0</v>
      </c>
    </row>
    <row r="118" spans="1:52" s="66" customFormat="1" ht="39.75" customHeight="1" thickBot="1" x14ac:dyDescent="0.2">
      <c r="A118" s="101"/>
      <c r="B118" s="101"/>
      <c r="C118" s="101"/>
      <c r="D118" s="101"/>
      <c r="E118" s="101"/>
      <c r="F118" s="101"/>
      <c r="G118" s="90"/>
      <c r="H118" s="158"/>
      <c r="I118" s="92"/>
      <c r="J118" s="41"/>
      <c r="K118" s="41"/>
      <c r="L118" s="88"/>
      <c r="M118" s="68"/>
      <c r="N118" s="94">
        <f t="shared" si="78"/>
        <v>0</v>
      </c>
      <c r="O118" s="44">
        <v>1</v>
      </c>
      <c r="P118" s="45"/>
      <c r="Q118" s="46"/>
      <c r="R118" s="46"/>
      <c r="S118" s="46"/>
      <c r="T118" s="70"/>
      <c r="U118" s="71">
        <f t="shared" si="79"/>
        <v>0</v>
      </c>
      <c r="V118" s="72">
        <f t="shared" si="80"/>
        <v>0</v>
      </c>
      <c r="W118" s="99"/>
      <c r="X118" s="100"/>
      <c r="Y118" s="85"/>
      <c r="Z118" s="73"/>
      <c r="AA118" s="74"/>
      <c r="AB118" s="75" t="e">
        <f t="shared" si="81"/>
        <v>#DIV/0!</v>
      </c>
      <c r="AC118" s="72" t="e">
        <f t="shared" si="82"/>
        <v>#DIV/0!</v>
      </c>
      <c r="AD118" s="52"/>
      <c r="AE118" s="71" t="e">
        <f t="shared" si="83"/>
        <v>#DIV/0!</v>
      </c>
      <c r="AF118" s="76"/>
      <c r="AG118" s="86"/>
      <c r="AH118" s="77" t="e">
        <f t="shared" si="84"/>
        <v>#DIV/0!</v>
      </c>
      <c r="AI118" s="56">
        <v>10</v>
      </c>
      <c r="AJ118" s="56">
        <v>10</v>
      </c>
      <c r="AK118" s="56">
        <v>45</v>
      </c>
      <c r="AL118" s="57" t="e">
        <f t="shared" si="85"/>
        <v>#DIV/0!</v>
      </c>
      <c r="AM118" s="55" t="e">
        <f t="shared" si="86"/>
        <v>#DIV/0!</v>
      </c>
      <c r="AN118" s="78" t="e">
        <f t="shared" si="87"/>
        <v>#DIV/0!</v>
      </c>
      <c r="AO118" s="79"/>
      <c r="AP118" s="80">
        <f t="shared" si="91"/>
        <v>1</v>
      </c>
      <c r="AQ118" s="80">
        <f t="shared" si="91"/>
        <v>2</v>
      </c>
      <c r="AR118" s="61"/>
      <c r="AS118" s="62"/>
      <c r="AT118" s="81"/>
      <c r="AU118" s="81"/>
      <c r="AV118" s="81"/>
      <c r="AW118" s="81"/>
      <c r="AX118" s="82"/>
      <c r="AY118" s="83">
        <f t="shared" si="88"/>
        <v>0</v>
      </c>
      <c r="AZ118" s="83">
        <f t="shared" si="89"/>
        <v>0</v>
      </c>
    </row>
    <row r="119" spans="1:52" s="23" customFormat="1" ht="39.75" customHeight="1" thickBot="1" x14ac:dyDescent="0.2">
      <c r="A119" s="101"/>
      <c r="B119" s="101"/>
      <c r="C119" s="101"/>
      <c r="D119" s="101"/>
      <c r="E119" s="101"/>
      <c r="F119" s="101"/>
      <c r="G119" s="90"/>
      <c r="H119" s="158"/>
      <c r="I119" s="92"/>
      <c r="J119" s="41"/>
      <c r="K119" s="41"/>
      <c r="L119" s="88"/>
      <c r="M119" s="68"/>
      <c r="N119" s="94">
        <f t="shared" si="78"/>
        <v>0</v>
      </c>
      <c r="O119" s="44">
        <v>1</v>
      </c>
      <c r="P119" s="45"/>
      <c r="Q119" s="46"/>
      <c r="R119" s="46"/>
      <c r="S119" s="46"/>
      <c r="T119" s="70"/>
      <c r="U119" s="71">
        <f t="shared" si="79"/>
        <v>0</v>
      </c>
      <c r="V119" s="72">
        <f t="shared" si="80"/>
        <v>0</v>
      </c>
      <c r="W119" s="99"/>
      <c r="X119" s="100"/>
      <c r="Y119" s="85"/>
      <c r="Z119" s="73"/>
      <c r="AA119" s="74"/>
      <c r="AB119" s="75" t="e">
        <f t="shared" si="81"/>
        <v>#DIV/0!</v>
      </c>
      <c r="AC119" s="72" t="e">
        <f t="shared" si="82"/>
        <v>#DIV/0!</v>
      </c>
      <c r="AD119" s="52"/>
      <c r="AE119" s="71" t="e">
        <f t="shared" si="83"/>
        <v>#DIV/0!</v>
      </c>
      <c r="AF119" s="76"/>
      <c r="AG119" s="86"/>
      <c r="AH119" s="77" t="e">
        <f t="shared" si="84"/>
        <v>#DIV/0!</v>
      </c>
      <c r="AI119" s="56">
        <v>10</v>
      </c>
      <c r="AJ119" s="56">
        <v>10</v>
      </c>
      <c r="AK119" s="56">
        <v>45</v>
      </c>
      <c r="AL119" s="57" t="e">
        <f t="shared" si="85"/>
        <v>#DIV/0!</v>
      </c>
      <c r="AM119" s="55" t="e">
        <f t="shared" si="86"/>
        <v>#DIV/0!</v>
      </c>
      <c r="AN119" s="78" t="e">
        <f t="shared" si="87"/>
        <v>#DIV/0!</v>
      </c>
      <c r="AO119" s="79"/>
      <c r="AP119" s="80">
        <f t="shared" si="91"/>
        <v>1</v>
      </c>
      <c r="AQ119" s="80">
        <f t="shared" si="91"/>
        <v>2</v>
      </c>
      <c r="AR119" s="61"/>
      <c r="AS119" s="62"/>
      <c r="AT119" s="81"/>
      <c r="AU119" s="81"/>
      <c r="AV119" s="81"/>
      <c r="AW119" s="81"/>
      <c r="AX119" s="82"/>
      <c r="AY119" s="83">
        <f t="shared" si="88"/>
        <v>0</v>
      </c>
      <c r="AZ119" s="83">
        <f t="shared" si="89"/>
        <v>0</v>
      </c>
    </row>
    <row r="120" spans="1:52" s="66" customFormat="1" ht="39.75" customHeight="1" thickBot="1" x14ac:dyDescent="0.2">
      <c r="A120" s="101"/>
      <c r="B120" s="101"/>
      <c r="C120" s="101"/>
      <c r="D120" s="101"/>
      <c r="E120" s="101"/>
      <c r="F120" s="101"/>
      <c r="G120" s="90"/>
      <c r="H120" s="158"/>
      <c r="I120" s="92"/>
      <c r="J120" s="41"/>
      <c r="K120" s="41"/>
      <c r="L120" s="88"/>
      <c r="M120" s="68"/>
      <c r="N120" s="94">
        <f t="shared" si="78"/>
        <v>0</v>
      </c>
      <c r="O120" s="44">
        <v>1</v>
      </c>
      <c r="P120" s="45"/>
      <c r="Q120" s="46"/>
      <c r="R120" s="46"/>
      <c r="S120" s="46"/>
      <c r="T120" s="70"/>
      <c r="U120" s="71">
        <f t="shared" si="79"/>
        <v>0</v>
      </c>
      <c r="V120" s="72">
        <f t="shared" si="80"/>
        <v>0</v>
      </c>
      <c r="W120" s="99"/>
      <c r="X120" s="100"/>
      <c r="Y120" s="85"/>
      <c r="Z120" s="73"/>
      <c r="AA120" s="74"/>
      <c r="AB120" s="75" t="e">
        <f t="shared" si="81"/>
        <v>#DIV/0!</v>
      </c>
      <c r="AC120" s="72" t="e">
        <f t="shared" si="82"/>
        <v>#DIV/0!</v>
      </c>
      <c r="AD120" s="52"/>
      <c r="AE120" s="71" t="e">
        <f t="shared" si="83"/>
        <v>#DIV/0!</v>
      </c>
      <c r="AF120" s="76"/>
      <c r="AG120" s="86"/>
      <c r="AH120" s="77" t="e">
        <f t="shared" si="84"/>
        <v>#DIV/0!</v>
      </c>
      <c r="AI120" s="56">
        <v>10</v>
      </c>
      <c r="AJ120" s="56">
        <v>10</v>
      </c>
      <c r="AK120" s="56">
        <v>45</v>
      </c>
      <c r="AL120" s="57" t="e">
        <f t="shared" si="85"/>
        <v>#DIV/0!</v>
      </c>
      <c r="AM120" s="55" t="e">
        <f t="shared" si="86"/>
        <v>#DIV/0!</v>
      </c>
      <c r="AN120" s="78" t="e">
        <f t="shared" si="87"/>
        <v>#DIV/0!</v>
      </c>
      <c r="AO120" s="79"/>
      <c r="AP120" s="80">
        <f t="shared" si="91"/>
        <v>1</v>
      </c>
      <c r="AQ120" s="80">
        <f t="shared" si="91"/>
        <v>2</v>
      </c>
      <c r="AR120" s="61"/>
      <c r="AS120" s="62"/>
      <c r="AT120" s="81"/>
      <c r="AU120" s="81"/>
      <c r="AV120" s="81"/>
      <c r="AW120" s="81"/>
      <c r="AX120" s="82"/>
      <c r="AY120" s="83">
        <f t="shared" si="88"/>
        <v>0</v>
      </c>
      <c r="AZ120" s="83">
        <f t="shared" si="89"/>
        <v>0</v>
      </c>
    </row>
    <row r="121" spans="1:52" s="66" customFormat="1" ht="39.75" customHeight="1" thickBot="1" x14ac:dyDescent="0.2">
      <c r="A121" s="101"/>
      <c r="B121" s="101"/>
      <c r="C121" s="101"/>
      <c r="D121" s="101"/>
      <c r="E121" s="101"/>
      <c r="F121" s="101"/>
      <c r="G121" s="90"/>
      <c r="H121" s="158"/>
      <c r="I121" s="92"/>
      <c r="J121" s="41"/>
      <c r="K121" s="41"/>
      <c r="L121" s="88"/>
      <c r="M121" s="68"/>
      <c r="N121" s="94">
        <f t="shared" si="78"/>
        <v>0</v>
      </c>
      <c r="O121" s="44">
        <v>1</v>
      </c>
      <c r="P121" s="45"/>
      <c r="Q121" s="46"/>
      <c r="R121" s="46"/>
      <c r="S121" s="46"/>
      <c r="T121" s="70"/>
      <c r="U121" s="71">
        <f t="shared" si="79"/>
        <v>0</v>
      </c>
      <c r="V121" s="72">
        <f t="shared" si="80"/>
        <v>0</v>
      </c>
      <c r="W121" s="99"/>
      <c r="X121" s="100"/>
      <c r="Y121" s="85"/>
      <c r="Z121" s="73"/>
      <c r="AA121" s="74"/>
      <c r="AB121" s="75" t="e">
        <f t="shared" si="81"/>
        <v>#DIV/0!</v>
      </c>
      <c r="AC121" s="72" t="e">
        <f t="shared" si="82"/>
        <v>#DIV/0!</v>
      </c>
      <c r="AD121" s="52"/>
      <c r="AE121" s="71" t="e">
        <f t="shared" si="83"/>
        <v>#DIV/0!</v>
      </c>
      <c r="AF121" s="76"/>
      <c r="AG121" s="86"/>
      <c r="AH121" s="77" t="e">
        <f t="shared" si="84"/>
        <v>#DIV/0!</v>
      </c>
      <c r="AI121" s="56">
        <v>10</v>
      </c>
      <c r="AJ121" s="56">
        <v>10</v>
      </c>
      <c r="AK121" s="56">
        <v>45</v>
      </c>
      <c r="AL121" s="57" t="e">
        <f t="shared" si="85"/>
        <v>#DIV/0!</v>
      </c>
      <c r="AM121" s="55" t="e">
        <f t="shared" si="86"/>
        <v>#DIV/0!</v>
      </c>
      <c r="AN121" s="78" t="e">
        <f t="shared" si="87"/>
        <v>#DIV/0!</v>
      </c>
      <c r="AO121" s="79"/>
      <c r="AP121" s="80">
        <f t="shared" si="91"/>
        <v>1</v>
      </c>
      <c r="AQ121" s="80">
        <f t="shared" si="91"/>
        <v>2</v>
      </c>
      <c r="AR121" s="61"/>
      <c r="AS121" s="62"/>
      <c r="AT121" s="81"/>
      <c r="AU121" s="81"/>
      <c r="AV121" s="81"/>
      <c r="AW121" s="81"/>
      <c r="AX121" s="82"/>
      <c r="AY121" s="83">
        <f t="shared" si="88"/>
        <v>0</v>
      </c>
      <c r="AZ121" s="83">
        <f t="shared" si="89"/>
        <v>0</v>
      </c>
    </row>
    <row r="122" spans="1:52" s="66" customFormat="1" ht="39.75" customHeight="1" thickBot="1" x14ac:dyDescent="0.2">
      <c r="A122" s="101"/>
      <c r="B122" s="101"/>
      <c r="C122" s="101"/>
      <c r="D122" s="101"/>
      <c r="E122" s="101"/>
      <c r="F122" s="101"/>
      <c r="G122" s="90"/>
      <c r="H122" s="158"/>
      <c r="I122" s="92"/>
      <c r="J122" s="41"/>
      <c r="K122" s="41"/>
      <c r="L122" s="88"/>
      <c r="M122" s="68"/>
      <c r="N122" s="94">
        <f t="shared" si="78"/>
        <v>0</v>
      </c>
      <c r="O122" s="44">
        <v>1</v>
      </c>
      <c r="P122" s="45"/>
      <c r="Q122" s="46"/>
      <c r="R122" s="46"/>
      <c r="S122" s="46"/>
      <c r="T122" s="70"/>
      <c r="U122" s="71">
        <f t="shared" si="79"/>
        <v>0</v>
      </c>
      <c r="V122" s="72">
        <f t="shared" si="80"/>
        <v>0</v>
      </c>
      <c r="W122" s="99"/>
      <c r="X122" s="100"/>
      <c r="Y122" s="85"/>
      <c r="Z122" s="73"/>
      <c r="AA122" s="74"/>
      <c r="AB122" s="75" t="e">
        <f t="shared" si="81"/>
        <v>#DIV/0!</v>
      </c>
      <c r="AC122" s="72" t="e">
        <f t="shared" si="82"/>
        <v>#DIV/0!</v>
      </c>
      <c r="AD122" s="52"/>
      <c r="AE122" s="71" t="e">
        <f t="shared" si="83"/>
        <v>#DIV/0!</v>
      </c>
      <c r="AF122" s="76"/>
      <c r="AG122" s="86"/>
      <c r="AH122" s="77" t="e">
        <f t="shared" si="84"/>
        <v>#DIV/0!</v>
      </c>
      <c r="AI122" s="56">
        <v>10</v>
      </c>
      <c r="AJ122" s="56">
        <v>10</v>
      </c>
      <c r="AK122" s="56">
        <v>45</v>
      </c>
      <c r="AL122" s="57" t="e">
        <f t="shared" si="85"/>
        <v>#DIV/0!</v>
      </c>
      <c r="AM122" s="55" t="e">
        <f t="shared" si="86"/>
        <v>#DIV/0!</v>
      </c>
      <c r="AN122" s="78" t="e">
        <f t="shared" si="87"/>
        <v>#DIV/0!</v>
      </c>
      <c r="AO122" s="79"/>
      <c r="AP122" s="80">
        <f t="shared" si="91"/>
        <v>1</v>
      </c>
      <c r="AQ122" s="80">
        <f t="shared" si="91"/>
        <v>2</v>
      </c>
      <c r="AR122" s="61"/>
      <c r="AS122" s="62"/>
      <c r="AT122" s="81"/>
      <c r="AU122" s="81"/>
      <c r="AV122" s="81"/>
      <c r="AW122" s="81"/>
      <c r="AX122" s="82"/>
      <c r="AY122" s="83">
        <f t="shared" si="88"/>
        <v>0</v>
      </c>
      <c r="AZ122" s="83">
        <f t="shared" si="89"/>
        <v>0</v>
      </c>
    </row>
    <row r="123" spans="1:52" s="66" customFormat="1" ht="39.75" customHeight="1" thickBot="1" x14ac:dyDescent="0.2">
      <c r="A123" s="101"/>
      <c r="B123" s="101"/>
      <c r="C123" s="101"/>
      <c r="D123" s="101"/>
      <c r="E123" s="101"/>
      <c r="F123" s="101"/>
      <c r="G123" s="90"/>
      <c r="H123" s="158"/>
      <c r="I123" s="92"/>
      <c r="J123" s="41"/>
      <c r="K123" s="41"/>
      <c r="L123" s="88"/>
      <c r="M123" s="68"/>
      <c r="N123" s="94">
        <f t="shared" si="78"/>
        <v>0</v>
      </c>
      <c r="O123" s="44">
        <v>1</v>
      </c>
      <c r="P123" s="45"/>
      <c r="Q123" s="46"/>
      <c r="R123" s="46"/>
      <c r="S123" s="46"/>
      <c r="T123" s="70"/>
      <c r="U123" s="71">
        <f t="shared" si="79"/>
        <v>0</v>
      </c>
      <c r="V123" s="72">
        <f t="shared" si="80"/>
        <v>0</v>
      </c>
      <c r="W123" s="99"/>
      <c r="X123" s="100"/>
      <c r="Y123" s="85"/>
      <c r="Z123" s="73"/>
      <c r="AA123" s="74"/>
      <c r="AB123" s="75" t="e">
        <f t="shared" si="81"/>
        <v>#DIV/0!</v>
      </c>
      <c r="AC123" s="72" t="e">
        <f t="shared" si="82"/>
        <v>#DIV/0!</v>
      </c>
      <c r="AD123" s="52"/>
      <c r="AE123" s="71" t="e">
        <f t="shared" si="83"/>
        <v>#DIV/0!</v>
      </c>
      <c r="AF123" s="76"/>
      <c r="AG123" s="86"/>
      <c r="AH123" s="77" t="e">
        <f t="shared" si="84"/>
        <v>#DIV/0!</v>
      </c>
      <c r="AI123" s="56">
        <v>10</v>
      </c>
      <c r="AJ123" s="56">
        <v>10</v>
      </c>
      <c r="AK123" s="56">
        <v>45</v>
      </c>
      <c r="AL123" s="57" t="e">
        <f t="shared" si="85"/>
        <v>#DIV/0!</v>
      </c>
      <c r="AM123" s="55" t="e">
        <f t="shared" si="86"/>
        <v>#DIV/0!</v>
      </c>
      <c r="AN123" s="78" t="e">
        <f t="shared" si="87"/>
        <v>#DIV/0!</v>
      </c>
      <c r="AO123" s="79"/>
      <c r="AP123" s="80">
        <f t="shared" si="91"/>
        <v>1</v>
      </c>
      <c r="AQ123" s="80">
        <f t="shared" si="91"/>
        <v>2</v>
      </c>
      <c r="AR123" s="61"/>
      <c r="AS123" s="62"/>
      <c r="AT123" s="81"/>
      <c r="AU123" s="81"/>
      <c r="AV123" s="81"/>
      <c r="AW123" s="81"/>
      <c r="AX123" s="82"/>
      <c r="AY123" s="83">
        <f t="shared" si="88"/>
        <v>0</v>
      </c>
      <c r="AZ123" s="83">
        <f t="shared" si="89"/>
        <v>0</v>
      </c>
    </row>
    <row r="124" spans="1:52" s="66" customFormat="1" ht="39.75" customHeight="1" thickBot="1" x14ac:dyDescent="0.2">
      <c r="A124" s="101"/>
      <c r="B124" s="101"/>
      <c r="C124" s="101"/>
      <c r="D124" s="101"/>
      <c r="E124" s="101"/>
      <c r="F124" s="101"/>
      <c r="G124" s="90"/>
      <c r="H124" s="158"/>
      <c r="I124" s="92"/>
      <c r="J124" s="41"/>
      <c r="K124" s="41"/>
      <c r="L124" s="88"/>
      <c r="M124" s="68"/>
      <c r="N124" s="94">
        <f t="shared" si="78"/>
        <v>0</v>
      </c>
      <c r="O124" s="44">
        <v>1</v>
      </c>
      <c r="P124" s="45"/>
      <c r="Q124" s="46"/>
      <c r="R124" s="46"/>
      <c r="S124" s="46"/>
      <c r="T124" s="70"/>
      <c r="U124" s="71">
        <f t="shared" si="79"/>
        <v>0</v>
      </c>
      <c r="V124" s="72">
        <f t="shared" si="80"/>
        <v>0</v>
      </c>
      <c r="W124" s="99"/>
      <c r="X124" s="100"/>
      <c r="Y124" s="85"/>
      <c r="Z124" s="73"/>
      <c r="AA124" s="74"/>
      <c r="AB124" s="75" t="e">
        <f t="shared" si="81"/>
        <v>#DIV/0!</v>
      </c>
      <c r="AC124" s="72" t="e">
        <f t="shared" si="82"/>
        <v>#DIV/0!</v>
      </c>
      <c r="AD124" s="52"/>
      <c r="AE124" s="71" t="e">
        <f t="shared" si="83"/>
        <v>#DIV/0!</v>
      </c>
      <c r="AF124" s="76"/>
      <c r="AG124" s="86"/>
      <c r="AH124" s="77" t="e">
        <f t="shared" si="84"/>
        <v>#DIV/0!</v>
      </c>
      <c r="AI124" s="56">
        <v>10</v>
      </c>
      <c r="AJ124" s="56">
        <v>10</v>
      </c>
      <c r="AK124" s="56">
        <v>45</v>
      </c>
      <c r="AL124" s="57" t="e">
        <f t="shared" si="85"/>
        <v>#DIV/0!</v>
      </c>
      <c r="AM124" s="55" t="e">
        <f t="shared" si="86"/>
        <v>#DIV/0!</v>
      </c>
      <c r="AN124" s="78" t="e">
        <f t="shared" si="87"/>
        <v>#DIV/0!</v>
      </c>
      <c r="AO124" s="79"/>
      <c r="AP124" s="80">
        <f t="shared" ref="AP124:AQ143" si="92">100%+AO124</f>
        <v>1</v>
      </c>
      <c r="AQ124" s="80">
        <f t="shared" si="92"/>
        <v>2</v>
      </c>
      <c r="AR124" s="61"/>
      <c r="AS124" s="62"/>
      <c r="AT124" s="81"/>
      <c r="AU124" s="81"/>
      <c r="AV124" s="81"/>
      <c r="AW124" s="81"/>
      <c r="AX124" s="82"/>
      <c r="AY124" s="83">
        <f t="shared" si="88"/>
        <v>0</v>
      </c>
      <c r="AZ124" s="83">
        <f t="shared" si="89"/>
        <v>0</v>
      </c>
    </row>
    <row r="125" spans="1:52" s="66" customFormat="1" ht="39.75" customHeight="1" thickBot="1" x14ac:dyDescent="0.2">
      <c r="A125" s="101"/>
      <c r="B125" s="101"/>
      <c r="C125" s="101"/>
      <c r="D125" s="101"/>
      <c r="E125" s="101"/>
      <c r="F125" s="101"/>
      <c r="G125" s="90"/>
      <c r="H125" s="158"/>
      <c r="I125" s="92"/>
      <c r="J125" s="41"/>
      <c r="K125" s="41"/>
      <c r="L125" s="41"/>
      <c r="M125" s="93"/>
      <c r="N125" s="94">
        <f t="shared" si="78"/>
        <v>0</v>
      </c>
      <c r="O125" s="44">
        <v>1</v>
      </c>
      <c r="P125" s="45"/>
      <c r="Q125" s="46"/>
      <c r="R125" s="46"/>
      <c r="S125" s="46"/>
      <c r="T125" s="70"/>
      <c r="U125" s="71">
        <f t="shared" si="79"/>
        <v>0</v>
      </c>
      <c r="V125" s="72">
        <f t="shared" si="80"/>
        <v>0</v>
      </c>
      <c r="W125" s="99"/>
      <c r="X125" s="100"/>
      <c r="Y125" s="85"/>
      <c r="Z125" s="73"/>
      <c r="AA125" s="74"/>
      <c r="AB125" s="75" t="e">
        <f t="shared" si="81"/>
        <v>#DIV/0!</v>
      </c>
      <c r="AC125" s="72" t="e">
        <f t="shared" si="82"/>
        <v>#DIV/0!</v>
      </c>
      <c r="AD125" s="52"/>
      <c r="AE125" s="71" t="e">
        <f t="shared" si="83"/>
        <v>#DIV/0!</v>
      </c>
      <c r="AF125" s="76"/>
      <c r="AG125" s="86"/>
      <c r="AH125" s="77" t="e">
        <f t="shared" si="84"/>
        <v>#DIV/0!</v>
      </c>
      <c r="AI125" s="56">
        <v>10</v>
      </c>
      <c r="AJ125" s="56">
        <v>10</v>
      </c>
      <c r="AK125" s="56">
        <v>45</v>
      </c>
      <c r="AL125" s="57" t="e">
        <f t="shared" si="85"/>
        <v>#DIV/0!</v>
      </c>
      <c r="AM125" s="55" t="e">
        <f t="shared" si="86"/>
        <v>#DIV/0!</v>
      </c>
      <c r="AN125" s="78" t="e">
        <f t="shared" si="87"/>
        <v>#DIV/0!</v>
      </c>
      <c r="AO125" s="79"/>
      <c r="AP125" s="80">
        <f t="shared" si="92"/>
        <v>1</v>
      </c>
      <c r="AQ125" s="80">
        <f t="shared" si="92"/>
        <v>2</v>
      </c>
      <c r="AR125" s="61"/>
      <c r="AS125" s="62"/>
      <c r="AT125" s="81"/>
      <c r="AU125" s="81"/>
      <c r="AV125" s="81"/>
      <c r="AW125" s="81"/>
      <c r="AX125" s="82"/>
      <c r="AY125" s="83">
        <f t="shared" si="88"/>
        <v>0</v>
      </c>
      <c r="AZ125" s="83">
        <f t="shared" si="89"/>
        <v>0</v>
      </c>
    </row>
    <row r="126" spans="1:52" s="66" customFormat="1" ht="39.75" customHeight="1" thickBot="1" x14ac:dyDescent="0.2">
      <c r="A126" s="101"/>
      <c r="B126" s="101"/>
      <c r="C126" s="101"/>
      <c r="D126" s="101"/>
      <c r="E126" s="101"/>
      <c r="F126" s="101"/>
      <c r="G126" s="90"/>
      <c r="H126" s="158"/>
      <c r="I126" s="92"/>
      <c r="J126" s="41"/>
      <c r="K126" s="41"/>
      <c r="L126" s="41"/>
      <c r="M126" s="93"/>
      <c r="N126" s="94">
        <f t="shared" si="78"/>
        <v>0</v>
      </c>
      <c r="O126" s="44">
        <v>1</v>
      </c>
      <c r="P126" s="45"/>
      <c r="Q126" s="46"/>
      <c r="R126" s="46"/>
      <c r="S126" s="46"/>
      <c r="T126" s="70"/>
      <c r="U126" s="71">
        <f t="shared" si="79"/>
        <v>0</v>
      </c>
      <c r="V126" s="72">
        <f t="shared" si="80"/>
        <v>0</v>
      </c>
      <c r="W126" s="99"/>
      <c r="X126" s="100"/>
      <c r="Y126" s="85"/>
      <c r="Z126" s="73"/>
      <c r="AA126" s="74"/>
      <c r="AB126" s="75" t="e">
        <f t="shared" si="81"/>
        <v>#DIV/0!</v>
      </c>
      <c r="AC126" s="72" t="e">
        <f t="shared" si="82"/>
        <v>#DIV/0!</v>
      </c>
      <c r="AD126" s="52"/>
      <c r="AE126" s="71" t="e">
        <f t="shared" si="83"/>
        <v>#DIV/0!</v>
      </c>
      <c r="AF126" s="76"/>
      <c r="AG126" s="86"/>
      <c r="AH126" s="77" t="e">
        <f t="shared" si="84"/>
        <v>#DIV/0!</v>
      </c>
      <c r="AI126" s="56">
        <v>10</v>
      </c>
      <c r="AJ126" s="56">
        <v>10</v>
      </c>
      <c r="AK126" s="56">
        <v>45</v>
      </c>
      <c r="AL126" s="57" t="e">
        <f t="shared" si="85"/>
        <v>#DIV/0!</v>
      </c>
      <c r="AM126" s="55" t="e">
        <f t="shared" si="86"/>
        <v>#DIV/0!</v>
      </c>
      <c r="AN126" s="78" t="e">
        <f t="shared" si="87"/>
        <v>#DIV/0!</v>
      </c>
      <c r="AO126" s="79"/>
      <c r="AP126" s="80">
        <f t="shared" si="92"/>
        <v>1</v>
      </c>
      <c r="AQ126" s="80">
        <f t="shared" si="92"/>
        <v>2</v>
      </c>
      <c r="AR126" s="61"/>
      <c r="AS126" s="62"/>
      <c r="AT126" s="81"/>
      <c r="AU126" s="81"/>
      <c r="AV126" s="81"/>
      <c r="AW126" s="81"/>
      <c r="AX126" s="82"/>
      <c r="AY126" s="83">
        <f t="shared" si="88"/>
        <v>0</v>
      </c>
      <c r="AZ126" s="83">
        <f t="shared" si="89"/>
        <v>0</v>
      </c>
    </row>
    <row r="127" spans="1:52" s="23" customFormat="1" ht="39.75" customHeight="1" thickBot="1" x14ac:dyDescent="0.2">
      <c r="A127" s="101"/>
      <c r="B127" s="101"/>
      <c r="C127" s="101"/>
      <c r="D127" s="101"/>
      <c r="E127" s="101"/>
      <c r="F127" s="101"/>
      <c r="G127" s="90"/>
      <c r="H127" s="158"/>
      <c r="I127" s="92"/>
      <c r="J127" s="41"/>
      <c r="K127" s="41"/>
      <c r="L127" s="41"/>
      <c r="M127" s="93"/>
      <c r="N127" s="94">
        <f t="shared" si="78"/>
        <v>0</v>
      </c>
      <c r="O127" s="44">
        <v>1</v>
      </c>
      <c r="P127" s="45"/>
      <c r="Q127" s="46"/>
      <c r="R127" s="46"/>
      <c r="S127" s="46"/>
      <c r="T127" s="70"/>
      <c r="U127" s="71">
        <f t="shared" si="79"/>
        <v>0</v>
      </c>
      <c r="V127" s="72">
        <f t="shared" si="80"/>
        <v>0</v>
      </c>
      <c r="W127" s="99"/>
      <c r="X127" s="100"/>
      <c r="Y127" s="85"/>
      <c r="Z127" s="73"/>
      <c r="AA127" s="74"/>
      <c r="AB127" s="75" t="e">
        <f t="shared" si="81"/>
        <v>#DIV/0!</v>
      </c>
      <c r="AC127" s="72" t="e">
        <f t="shared" si="82"/>
        <v>#DIV/0!</v>
      </c>
      <c r="AD127" s="52"/>
      <c r="AE127" s="71" t="e">
        <f t="shared" si="83"/>
        <v>#DIV/0!</v>
      </c>
      <c r="AF127" s="76"/>
      <c r="AG127" s="86"/>
      <c r="AH127" s="77" t="e">
        <f t="shared" si="84"/>
        <v>#DIV/0!</v>
      </c>
      <c r="AI127" s="56">
        <v>10</v>
      </c>
      <c r="AJ127" s="56">
        <v>10</v>
      </c>
      <c r="AK127" s="56">
        <v>45</v>
      </c>
      <c r="AL127" s="57" t="e">
        <f t="shared" si="85"/>
        <v>#DIV/0!</v>
      </c>
      <c r="AM127" s="55" t="e">
        <f t="shared" si="86"/>
        <v>#DIV/0!</v>
      </c>
      <c r="AN127" s="78" t="e">
        <f t="shared" si="87"/>
        <v>#DIV/0!</v>
      </c>
      <c r="AO127" s="79"/>
      <c r="AP127" s="80">
        <f t="shared" si="92"/>
        <v>1</v>
      </c>
      <c r="AQ127" s="80">
        <f t="shared" si="92"/>
        <v>2</v>
      </c>
      <c r="AR127" s="61"/>
      <c r="AS127" s="62"/>
      <c r="AT127" s="81"/>
      <c r="AU127" s="81"/>
      <c r="AV127" s="81"/>
      <c r="AW127" s="81"/>
      <c r="AX127" s="82"/>
      <c r="AY127" s="83">
        <f t="shared" si="88"/>
        <v>0</v>
      </c>
      <c r="AZ127" s="83">
        <f t="shared" si="89"/>
        <v>0</v>
      </c>
    </row>
    <row r="128" spans="1:52" s="23" customFormat="1" ht="39.75" customHeight="1" thickBot="1" x14ac:dyDescent="0.2">
      <c r="A128" s="101"/>
      <c r="B128" s="101"/>
      <c r="C128" s="101"/>
      <c r="D128" s="101"/>
      <c r="E128" s="101"/>
      <c r="F128" s="101"/>
      <c r="G128" s="90"/>
      <c r="H128" s="158"/>
      <c r="I128" s="92"/>
      <c r="J128" s="41"/>
      <c r="K128" s="41"/>
      <c r="L128" s="41"/>
      <c r="M128" s="93"/>
      <c r="N128" s="94">
        <f t="shared" si="78"/>
        <v>0</v>
      </c>
      <c r="O128" s="44">
        <v>1</v>
      </c>
      <c r="P128" s="45"/>
      <c r="Q128" s="46"/>
      <c r="R128" s="46"/>
      <c r="S128" s="46"/>
      <c r="T128" s="70"/>
      <c r="U128" s="71">
        <f t="shared" si="79"/>
        <v>0</v>
      </c>
      <c r="V128" s="72">
        <f t="shared" si="80"/>
        <v>0</v>
      </c>
      <c r="W128" s="99"/>
      <c r="X128" s="100"/>
      <c r="Y128" s="85"/>
      <c r="Z128" s="73"/>
      <c r="AA128" s="74"/>
      <c r="AB128" s="75" t="e">
        <f t="shared" si="81"/>
        <v>#DIV/0!</v>
      </c>
      <c r="AC128" s="72" t="e">
        <f t="shared" si="82"/>
        <v>#DIV/0!</v>
      </c>
      <c r="AD128" s="52"/>
      <c r="AE128" s="71" t="e">
        <f t="shared" si="83"/>
        <v>#DIV/0!</v>
      </c>
      <c r="AF128" s="76"/>
      <c r="AG128" s="86"/>
      <c r="AH128" s="77" t="e">
        <f t="shared" si="84"/>
        <v>#DIV/0!</v>
      </c>
      <c r="AI128" s="56">
        <v>10</v>
      </c>
      <c r="AJ128" s="56">
        <v>10</v>
      </c>
      <c r="AK128" s="56">
        <v>45</v>
      </c>
      <c r="AL128" s="57" t="e">
        <f t="shared" si="85"/>
        <v>#DIV/0!</v>
      </c>
      <c r="AM128" s="55" t="e">
        <f t="shared" si="86"/>
        <v>#DIV/0!</v>
      </c>
      <c r="AN128" s="78" t="e">
        <f t="shared" si="87"/>
        <v>#DIV/0!</v>
      </c>
      <c r="AO128" s="79"/>
      <c r="AP128" s="80">
        <f t="shared" si="92"/>
        <v>1</v>
      </c>
      <c r="AQ128" s="80">
        <f t="shared" si="92"/>
        <v>2</v>
      </c>
      <c r="AR128" s="61"/>
      <c r="AS128" s="62"/>
      <c r="AT128" s="81"/>
      <c r="AU128" s="81"/>
      <c r="AV128" s="81"/>
      <c r="AW128" s="81"/>
      <c r="AX128" s="82"/>
      <c r="AY128" s="83">
        <f t="shared" si="88"/>
        <v>0</v>
      </c>
      <c r="AZ128" s="83">
        <f t="shared" si="89"/>
        <v>0</v>
      </c>
    </row>
    <row r="129" spans="1:52" s="66" customFormat="1" ht="39.75" customHeight="1" thickBot="1" x14ac:dyDescent="0.2">
      <c r="A129" s="101"/>
      <c r="B129" s="101"/>
      <c r="C129" s="101"/>
      <c r="D129" s="101"/>
      <c r="E129" s="101"/>
      <c r="F129" s="101"/>
      <c r="G129" s="90"/>
      <c r="H129" s="158"/>
      <c r="I129" s="92"/>
      <c r="J129" s="41"/>
      <c r="K129" s="41"/>
      <c r="L129" s="41"/>
      <c r="M129" s="93"/>
      <c r="N129" s="94">
        <f t="shared" si="78"/>
        <v>0</v>
      </c>
      <c r="O129" s="44">
        <v>1</v>
      </c>
      <c r="P129" s="45"/>
      <c r="Q129" s="46"/>
      <c r="R129" s="46"/>
      <c r="S129" s="46"/>
      <c r="T129" s="70"/>
      <c r="U129" s="71">
        <f t="shared" si="79"/>
        <v>0</v>
      </c>
      <c r="V129" s="72">
        <f t="shared" si="80"/>
        <v>0</v>
      </c>
      <c r="W129" s="99"/>
      <c r="X129" s="100"/>
      <c r="Y129" s="85"/>
      <c r="Z129" s="73"/>
      <c r="AA129" s="74"/>
      <c r="AB129" s="75" t="e">
        <f t="shared" si="81"/>
        <v>#DIV/0!</v>
      </c>
      <c r="AC129" s="72" t="e">
        <f t="shared" si="82"/>
        <v>#DIV/0!</v>
      </c>
      <c r="AD129" s="52"/>
      <c r="AE129" s="71" t="e">
        <f t="shared" si="83"/>
        <v>#DIV/0!</v>
      </c>
      <c r="AF129" s="76"/>
      <c r="AG129" s="86"/>
      <c r="AH129" s="77" t="e">
        <f t="shared" si="84"/>
        <v>#DIV/0!</v>
      </c>
      <c r="AI129" s="56">
        <v>10</v>
      </c>
      <c r="AJ129" s="56">
        <v>10</v>
      </c>
      <c r="AK129" s="56">
        <v>45</v>
      </c>
      <c r="AL129" s="57" t="e">
        <f t="shared" si="85"/>
        <v>#DIV/0!</v>
      </c>
      <c r="AM129" s="55" t="e">
        <f t="shared" si="86"/>
        <v>#DIV/0!</v>
      </c>
      <c r="AN129" s="78" t="e">
        <f t="shared" si="87"/>
        <v>#DIV/0!</v>
      </c>
      <c r="AO129" s="79"/>
      <c r="AP129" s="80">
        <f t="shared" si="92"/>
        <v>1</v>
      </c>
      <c r="AQ129" s="80">
        <f t="shared" si="92"/>
        <v>2</v>
      </c>
      <c r="AR129" s="61"/>
      <c r="AS129" s="62"/>
      <c r="AT129" s="81"/>
      <c r="AU129" s="81"/>
      <c r="AV129" s="81"/>
      <c r="AW129" s="81"/>
      <c r="AX129" s="82"/>
      <c r="AY129" s="83">
        <f t="shared" si="88"/>
        <v>0</v>
      </c>
      <c r="AZ129" s="83">
        <f t="shared" si="89"/>
        <v>0</v>
      </c>
    </row>
    <row r="130" spans="1:52" s="23" customFormat="1" ht="39.75" customHeight="1" thickBot="1" x14ac:dyDescent="0.2">
      <c r="A130" s="101"/>
      <c r="B130" s="101"/>
      <c r="C130" s="101"/>
      <c r="D130" s="101"/>
      <c r="E130" s="101"/>
      <c r="F130" s="101"/>
      <c r="G130" s="90"/>
      <c r="H130" s="158"/>
      <c r="I130" s="92"/>
      <c r="J130" s="41"/>
      <c r="K130" s="41"/>
      <c r="L130" s="41"/>
      <c r="M130" s="93"/>
      <c r="N130" s="94">
        <f t="shared" si="78"/>
        <v>0</v>
      </c>
      <c r="O130" s="44">
        <v>1</v>
      </c>
      <c r="P130" s="45"/>
      <c r="Q130" s="46"/>
      <c r="R130" s="46"/>
      <c r="S130" s="46"/>
      <c r="T130" s="70"/>
      <c r="U130" s="71">
        <f t="shared" si="79"/>
        <v>0</v>
      </c>
      <c r="V130" s="72">
        <f t="shared" si="80"/>
        <v>0</v>
      </c>
      <c r="W130" s="99"/>
      <c r="X130" s="100"/>
      <c r="Y130" s="85"/>
      <c r="Z130" s="73"/>
      <c r="AA130" s="74"/>
      <c r="AB130" s="75" t="e">
        <f t="shared" si="81"/>
        <v>#DIV/0!</v>
      </c>
      <c r="AC130" s="72" t="e">
        <f t="shared" si="82"/>
        <v>#DIV/0!</v>
      </c>
      <c r="AD130" s="52"/>
      <c r="AE130" s="71" t="e">
        <f t="shared" si="83"/>
        <v>#DIV/0!</v>
      </c>
      <c r="AF130" s="76"/>
      <c r="AG130" s="86"/>
      <c r="AH130" s="77" t="e">
        <f t="shared" si="84"/>
        <v>#DIV/0!</v>
      </c>
      <c r="AI130" s="56">
        <v>10</v>
      </c>
      <c r="AJ130" s="56">
        <v>10</v>
      </c>
      <c r="AK130" s="56">
        <v>45</v>
      </c>
      <c r="AL130" s="57" t="e">
        <f t="shared" si="85"/>
        <v>#DIV/0!</v>
      </c>
      <c r="AM130" s="55" t="e">
        <f t="shared" si="86"/>
        <v>#DIV/0!</v>
      </c>
      <c r="AN130" s="78" t="e">
        <f t="shared" si="87"/>
        <v>#DIV/0!</v>
      </c>
      <c r="AO130" s="79"/>
      <c r="AP130" s="80">
        <f t="shared" si="92"/>
        <v>1</v>
      </c>
      <c r="AQ130" s="80">
        <f t="shared" si="92"/>
        <v>2</v>
      </c>
      <c r="AR130" s="61"/>
      <c r="AS130" s="62"/>
      <c r="AT130" s="81"/>
      <c r="AU130" s="81"/>
      <c r="AV130" s="81"/>
      <c r="AW130" s="81"/>
      <c r="AX130" s="82"/>
      <c r="AY130" s="83">
        <f t="shared" si="88"/>
        <v>0</v>
      </c>
      <c r="AZ130" s="83">
        <f t="shared" si="89"/>
        <v>0</v>
      </c>
    </row>
    <row r="131" spans="1:52" s="66" customFormat="1" ht="39.75" customHeight="1" thickBot="1" x14ac:dyDescent="0.2">
      <c r="A131" s="101"/>
      <c r="B131" s="101"/>
      <c r="C131" s="101"/>
      <c r="D131" s="101"/>
      <c r="E131" s="101"/>
      <c r="F131" s="101"/>
      <c r="G131" s="90"/>
      <c r="H131" s="158"/>
      <c r="I131" s="92"/>
      <c r="J131" s="41"/>
      <c r="K131" s="41"/>
      <c r="L131" s="41"/>
      <c r="M131" s="93"/>
      <c r="N131" s="94">
        <f t="shared" si="78"/>
        <v>0</v>
      </c>
      <c r="O131" s="44">
        <v>1</v>
      </c>
      <c r="P131" s="45"/>
      <c r="Q131" s="46"/>
      <c r="R131" s="46"/>
      <c r="S131" s="46"/>
      <c r="T131" s="70"/>
      <c r="U131" s="71">
        <f t="shared" si="79"/>
        <v>0</v>
      </c>
      <c r="V131" s="72">
        <f t="shared" si="80"/>
        <v>0</v>
      </c>
      <c r="W131" s="99"/>
      <c r="X131" s="100"/>
      <c r="Y131" s="85"/>
      <c r="Z131" s="73"/>
      <c r="AA131" s="74"/>
      <c r="AB131" s="75" t="e">
        <f t="shared" si="81"/>
        <v>#DIV/0!</v>
      </c>
      <c r="AC131" s="72" t="e">
        <f t="shared" si="82"/>
        <v>#DIV/0!</v>
      </c>
      <c r="AD131" s="52"/>
      <c r="AE131" s="71" t="e">
        <f t="shared" si="83"/>
        <v>#DIV/0!</v>
      </c>
      <c r="AF131" s="76"/>
      <c r="AG131" s="86"/>
      <c r="AH131" s="77" t="e">
        <f t="shared" si="84"/>
        <v>#DIV/0!</v>
      </c>
      <c r="AI131" s="56">
        <v>10</v>
      </c>
      <c r="AJ131" s="56">
        <v>10</v>
      </c>
      <c r="AK131" s="56">
        <v>45</v>
      </c>
      <c r="AL131" s="57" t="e">
        <f t="shared" si="85"/>
        <v>#DIV/0!</v>
      </c>
      <c r="AM131" s="55" t="e">
        <f t="shared" si="86"/>
        <v>#DIV/0!</v>
      </c>
      <c r="AN131" s="78" t="e">
        <f t="shared" si="87"/>
        <v>#DIV/0!</v>
      </c>
      <c r="AO131" s="79"/>
      <c r="AP131" s="80">
        <f t="shared" si="92"/>
        <v>1</v>
      </c>
      <c r="AQ131" s="80">
        <f t="shared" si="92"/>
        <v>2</v>
      </c>
      <c r="AR131" s="61"/>
      <c r="AS131" s="62"/>
      <c r="AT131" s="81"/>
      <c r="AU131" s="81"/>
      <c r="AV131" s="81"/>
      <c r="AW131" s="81"/>
      <c r="AX131" s="82"/>
      <c r="AY131" s="83">
        <f t="shared" si="88"/>
        <v>0</v>
      </c>
      <c r="AZ131" s="83">
        <f t="shared" si="89"/>
        <v>0</v>
      </c>
    </row>
    <row r="132" spans="1:52" s="66" customFormat="1" ht="39.75" customHeight="1" thickBot="1" x14ac:dyDescent="0.2">
      <c r="A132" s="101"/>
      <c r="B132" s="101"/>
      <c r="C132" s="101"/>
      <c r="D132" s="101"/>
      <c r="E132" s="101"/>
      <c r="F132" s="101"/>
      <c r="G132" s="90"/>
      <c r="H132" s="158"/>
      <c r="I132" s="92"/>
      <c r="J132" s="41"/>
      <c r="K132" s="41"/>
      <c r="L132" s="41"/>
      <c r="M132" s="93"/>
      <c r="N132" s="94">
        <f t="shared" si="78"/>
        <v>0</v>
      </c>
      <c r="O132" s="44">
        <v>1</v>
      </c>
      <c r="P132" s="45"/>
      <c r="Q132" s="46"/>
      <c r="R132" s="46"/>
      <c r="S132" s="46"/>
      <c r="T132" s="70"/>
      <c r="U132" s="71">
        <f t="shared" si="79"/>
        <v>0</v>
      </c>
      <c r="V132" s="72">
        <f t="shared" si="80"/>
        <v>0</v>
      </c>
      <c r="W132" s="99"/>
      <c r="X132" s="100"/>
      <c r="Y132" s="85"/>
      <c r="Z132" s="73"/>
      <c r="AA132" s="74"/>
      <c r="AB132" s="75" t="e">
        <f t="shared" si="81"/>
        <v>#DIV/0!</v>
      </c>
      <c r="AC132" s="72" t="e">
        <f t="shared" si="82"/>
        <v>#DIV/0!</v>
      </c>
      <c r="AD132" s="52"/>
      <c r="AE132" s="71" t="e">
        <f t="shared" si="83"/>
        <v>#DIV/0!</v>
      </c>
      <c r="AF132" s="76"/>
      <c r="AG132" s="86"/>
      <c r="AH132" s="77" t="e">
        <f t="shared" si="84"/>
        <v>#DIV/0!</v>
      </c>
      <c r="AI132" s="56">
        <v>10</v>
      </c>
      <c r="AJ132" s="56">
        <v>10</v>
      </c>
      <c r="AK132" s="56">
        <v>45</v>
      </c>
      <c r="AL132" s="57" t="e">
        <f t="shared" si="85"/>
        <v>#DIV/0!</v>
      </c>
      <c r="AM132" s="55" t="e">
        <f t="shared" si="86"/>
        <v>#DIV/0!</v>
      </c>
      <c r="AN132" s="78" t="e">
        <f t="shared" si="87"/>
        <v>#DIV/0!</v>
      </c>
      <c r="AO132" s="79"/>
      <c r="AP132" s="80">
        <f t="shared" si="92"/>
        <v>1</v>
      </c>
      <c r="AQ132" s="80">
        <f t="shared" si="92"/>
        <v>2</v>
      </c>
      <c r="AR132" s="61"/>
      <c r="AS132" s="62"/>
      <c r="AT132" s="81"/>
      <c r="AU132" s="81"/>
      <c r="AV132" s="81"/>
      <c r="AW132" s="81"/>
      <c r="AX132" s="82"/>
      <c r="AY132" s="83">
        <f t="shared" si="88"/>
        <v>0</v>
      </c>
      <c r="AZ132" s="83">
        <f t="shared" si="89"/>
        <v>0</v>
      </c>
    </row>
    <row r="133" spans="1:52" s="66" customFormat="1" ht="39.75" customHeight="1" thickBot="1" x14ac:dyDescent="0.2">
      <c r="A133" s="101"/>
      <c r="B133" s="101"/>
      <c r="C133" s="101"/>
      <c r="D133" s="101"/>
      <c r="E133" s="101"/>
      <c r="F133" s="101"/>
      <c r="G133" s="90"/>
      <c r="H133" s="158"/>
      <c r="I133" s="92"/>
      <c r="J133" s="41"/>
      <c r="K133" s="41"/>
      <c r="L133" s="41"/>
      <c r="M133" s="93"/>
      <c r="N133" s="94">
        <f t="shared" si="78"/>
        <v>0</v>
      </c>
      <c r="O133" s="44">
        <v>1</v>
      </c>
      <c r="P133" s="45"/>
      <c r="Q133" s="46"/>
      <c r="R133" s="46"/>
      <c r="S133" s="46"/>
      <c r="T133" s="47"/>
      <c r="U133" s="71">
        <f t="shared" si="79"/>
        <v>0</v>
      </c>
      <c r="V133" s="72">
        <f t="shared" si="80"/>
        <v>0</v>
      </c>
      <c r="W133" s="99"/>
      <c r="X133" s="100"/>
      <c r="Y133" s="85"/>
      <c r="Z133" s="73"/>
      <c r="AA133" s="74"/>
      <c r="AB133" s="75" t="e">
        <f t="shared" si="81"/>
        <v>#DIV/0!</v>
      </c>
      <c r="AC133" s="72" t="e">
        <f t="shared" si="82"/>
        <v>#DIV/0!</v>
      </c>
      <c r="AD133" s="52"/>
      <c r="AE133" s="71" t="e">
        <f t="shared" si="83"/>
        <v>#DIV/0!</v>
      </c>
      <c r="AF133" s="76"/>
      <c r="AG133" s="86"/>
      <c r="AH133" s="77" t="e">
        <f t="shared" si="84"/>
        <v>#DIV/0!</v>
      </c>
      <c r="AI133" s="56">
        <v>10</v>
      </c>
      <c r="AJ133" s="56">
        <v>10</v>
      </c>
      <c r="AK133" s="56">
        <v>45</v>
      </c>
      <c r="AL133" s="57" t="e">
        <f t="shared" si="85"/>
        <v>#DIV/0!</v>
      </c>
      <c r="AM133" s="55" t="e">
        <f t="shared" si="86"/>
        <v>#DIV/0!</v>
      </c>
      <c r="AN133" s="78" t="e">
        <f t="shared" si="87"/>
        <v>#DIV/0!</v>
      </c>
      <c r="AO133" s="79"/>
      <c r="AP133" s="80">
        <f t="shared" si="92"/>
        <v>1</v>
      </c>
      <c r="AQ133" s="80">
        <f t="shared" si="92"/>
        <v>2</v>
      </c>
      <c r="AR133" s="61"/>
      <c r="AS133" s="62"/>
      <c r="AT133" s="81"/>
      <c r="AU133" s="81"/>
      <c r="AV133" s="81"/>
      <c r="AW133" s="81"/>
      <c r="AX133" s="82"/>
      <c r="AY133" s="83">
        <f t="shared" si="88"/>
        <v>0</v>
      </c>
      <c r="AZ133" s="83">
        <f t="shared" si="89"/>
        <v>0</v>
      </c>
    </row>
    <row r="134" spans="1:52" s="66" customFormat="1" ht="39.75" customHeight="1" thickBot="1" x14ac:dyDescent="0.2">
      <c r="A134" s="101"/>
      <c r="B134" s="101"/>
      <c r="C134" s="101"/>
      <c r="D134" s="101"/>
      <c r="E134" s="101"/>
      <c r="F134" s="101"/>
      <c r="G134" s="90"/>
      <c r="H134" s="158"/>
      <c r="I134" s="92"/>
      <c r="J134" s="41"/>
      <c r="K134" s="41"/>
      <c r="L134" s="41"/>
      <c r="M134" s="93"/>
      <c r="N134" s="94">
        <f t="shared" si="78"/>
        <v>0</v>
      </c>
      <c r="O134" s="44">
        <v>1</v>
      </c>
      <c r="P134" s="45"/>
      <c r="Q134" s="46"/>
      <c r="R134" s="46"/>
      <c r="S134" s="46"/>
      <c r="T134" s="47"/>
      <c r="U134" s="71">
        <f t="shared" si="79"/>
        <v>0</v>
      </c>
      <c r="V134" s="72">
        <f t="shared" si="80"/>
        <v>0</v>
      </c>
      <c r="W134" s="99"/>
      <c r="X134" s="100"/>
      <c r="Y134" s="85"/>
      <c r="Z134" s="73"/>
      <c r="AA134" s="74"/>
      <c r="AB134" s="75" t="e">
        <f t="shared" si="81"/>
        <v>#DIV/0!</v>
      </c>
      <c r="AC134" s="72" t="e">
        <f t="shared" si="82"/>
        <v>#DIV/0!</v>
      </c>
      <c r="AD134" s="52"/>
      <c r="AE134" s="71" t="e">
        <f t="shared" si="83"/>
        <v>#DIV/0!</v>
      </c>
      <c r="AF134" s="76"/>
      <c r="AG134" s="86"/>
      <c r="AH134" s="77" t="e">
        <f t="shared" si="84"/>
        <v>#DIV/0!</v>
      </c>
      <c r="AI134" s="56">
        <v>10</v>
      </c>
      <c r="AJ134" s="56">
        <v>10</v>
      </c>
      <c r="AK134" s="56">
        <v>45</v>
      </c>
      <c r="AL134" s="57" t="e">
        <f t="shared" si="85"/>
        <v>#DIV/0!</v>
      </c>
      <c r="AM134" s="55" t="e">
        <f t="shared" si="86"/>
        <v>#DIV/0!</v>
      </c>
      <c r="AN134" s="78" t="e">
        <f t="shared" si="87"/>
        <v>#DIV/0!</v>
      </c>
      <c r="AO134" s="79"/>
      <c r="AP134" s="80">
        <f t="shared" si="92"/>
        <v>1</v>
      </c>
      <c r="AQ134" s="80">
        <f t="shared" si="92"/>
        <v>2</v>
      </c>
      <c r="AR134" s="61"/>
      <c r="AS134" s="62"/>
      <c r="AT134" s="81"/>
      <c r="AU134" s="81"/>
      <c r="AV134" s="81"/>
      <c r="AW134" s="81"/>
      <c r="AX134" s="82"/>
      <c r="AY134" s="83">
        <f t="shared" si="88"/>
        <v>0</v>
      </c>
      <c r="AZ134" s="83">
        <f t="shared" si="89"/>
        <v>0</v>
      </c>
    </row>
    <row r="135" spans="1:52" s="23" customFormat="1" ht="39.75" customHeight="1" thickBot="1" x14ac:dyDescent="0.2">
      <c r="A135" s="101"/>
      <c r="B135" s="101"/>
      <c r="C135" s="101"/>
      <c r="D135" s="101"/>
      <c r="E135" s="101"/>
      <c r="F135" s="101"/>
      <c r="G135" s="90"/>
      <c r="H135" s="158"/>
      <c r="I135" s="92"/>
      <c r="J135" s="41"/>
      <c r="K135" s="41"/>
      <c r="L135" s="41"/>
      <c r="M135" s="93"/>
      <c r="N135" s="94">
        <f t="shared" si="78"/>
        <v>0</v>
      </c>
      <c r="O135" s="44">
        <v>1</v>
      </c>
      <c r="P135" s="45"/>
      <c r="Q135" s="46"/>
      <c r="R135" s="46"/>
      <c r="S135" s="46"/>
      <c r="T135" s="47"/>
      <c r="U135" s="71">
        <f t="shared" si="79"/>
        <v>0</v>
      </c>
      <c r="V135" s="72">
        <f t="shared" si="80"/>
        <v>0</v>
      </c>
      <c r="W135" s="99"/>
      <c r="X135" s="100"/>
      <c r="Y135" s="85"/>
      <c r="Z135" s="73"/>
      <c r="AA135" s="74"/>
      <c r="AB135" s="75" t="e">
        <f t="shared" si="81"/>
        <v>#DIV/0!</v>
      </c>
      <c r="AC135" s="72" t="e">
        <f t="shared" si="82"/>
        <v>#DIV/0!</v>
      </c>
      <c r="AD135" s="52"/>
      <c r="AE135" s="71" t="e">
        <f t="shared" si="83"/>
        <v>#DIV/0!</v>
      </c>
      <c r="AF135" s="76"/>
      <c r="AG135" s="86"/>
      <c r="AH135" s="77" t="e">
        <f t="shared" si="84"/>
        <v>#DIV/0!</v>
      </c>
      <c r="AI135" s="56">
        <v>10</v>
      </c>
      <c r="AJ135" s="56">
        <v>10</v>
      </c>
      <c r="AK135" s="56">
        <v>45</v>
      </c>
      <c r="AL135" s="57" t="e">
        <f t="shared" si="85"/>
        <v>#DIV/0!</v>
      </c>
      <c r="AM135" s="55" t="e">
        <f t="shared" si="86"/>
        <v>#DIV/0!</v>
      </c>
      <c r="AN135" s="78" t="e">
        <f t="shared" si="87"/>
        <v>#DIV/0!</v>
      </c>
      <c r="AO135" s="79"/>
      <c r="AP135" s="80">
        <f t="shared" si="92"/>
        <v>1</v>
      </c>
      <c r="AQ135" s="80">
        <f t="shared" si="92"/>
        <v>2</v>
      </c>
      <c r="AR135" s="61"/>
      <c r="AS135" s="62"/>
      <c r="AT135" s="81"/>
      <c r="AU135" s="81"/>
      <c r="AV135" s="81"/>
      <c r="AW135" s="81"/>
      <c r="AX135" s="82"/>
      <c r="AY135" s="83">
        <f t="shared" si="88"/>
        <v>0</v>
      </c>
      <c r="AZ135" s="83">
        <f t="shared" si="89"/>
        <v>0</v>
      </c>
    </row>
    <row r="136" spans="1:52" s="66" customFormat="1" ht="39.75" customHeight="1" thickBot="1" x14ac:dyDescent="0.2">
      <c r="A136" s="101"/>
      <c r="B136" s="101"/>
      <c r="C136" s="101"/>
      <c r="D136" s="101"/>
      <c r="E136" s="101"/>
      <c r="F136" s="101"/>
      <c r="G136" s="90"/>
      <c r="H136" s="158"/>
      <c r="I136" s="92"/>
      <c r="J136" s="41"/>
      <c r="K136" s="41"/>
      <c r="L136" s="41"/>
      <c r="M136" s="93"/>
      <c r="N136" s="94">
        <f t="shared" si="78"/>
        <v>0</v>
      </c>
      <c r="O136" s="44">
        <v>1</v>
      </c>
      <c r="P136" s="45"/>
      <c r="Q136" s="46"/>
      <c r="R136" s="46"/>
      <c r="S136" s="46"/>
      <c r="T136" s="47"/>
      <c r="U136" s="71">
        <f t="shared" si="79"/>
        <v>0</v>
      </c>
      <c r="V136" s="72">
        <f t="shared" si="80"/>
        <v>0</v>
      </c>
      <c r="W136" s="99"/>
      <c r="X136" s="100"/>
      <c r="Y136" s="85"/>
      <c r="Z136" s="73"/>
      <c r="AA136" s="74"/>
      <c r="AB136" s="75" t="e">
        <f t="shared" si="81"/>
        <v>#DIV/0!</v>
      </c>
      <c r="AC136" s="72" t="e">
        <f t="shared" si="82"/>
        <v>#DIV/0!</v>
      </c>
      <c r="AD136" s="52"/>
      <c r="AE136" s="71" t="e">
        <f t="shared" si="83"/>
        <v>#DIV/0!</v>
      </c>
      <c r="AF136" s="76"/>
      <c r="AG136" s="86"/>
      <c r="AH136" s="77" t="e">
        <f t="shared" si="84"/>
        <v>#DIV/0!</v>
      </c>
      <c r="AI136" s="56">
        <v>10</v>
      </c>
      <c r="AJ136" s="56">
        <v>10</v>
      </c>
      <c r="AK136" s="56">
        <v>45</v>
      </c>
      <c r="AL136" s="57" t="e">
        <f t="shared" si="85"/>
        <v>#DIV/0!</v>
      </c>
      <c r="AM136" s="55" t="e">
        <f t="shared" si="86"/>
        <v>#DIV/0!</v>
      </c>
      <c r="AN136" s="78" t="e">
        <f t="shared" si="87"/>
        <v>#DIV/0!</v>
      </c>
      <c r="AO136" s="79"/>
      <c r="AP136" s="80">
        <f t="shared" si="92"/>
        <v>1</v>
      </c>
      <c r="AQ136" s="80">
        <f t="shared" si="92"/>
        <v>2</v>
      </c>
      <c r="AR136" s="61"/>
      <c r="AS136" s="62"/>
      <c r="AT136" s="81"/>
      <c r="AU136" s="81"/>
      <c r="AV136" s="81"/>
      <c r="AW136" s="81"/>
      <c r="AX136" s="82"/>
      <c r="AY136" s="83">
        <f t="shared" si="88"/>
        <v>0</v>
      </c>
      <c r="AZ136" s="83">
        <f t="shared" si="89"/>
        <v>0</v>
      </c>
    </row>
    <row r="137" spans="1:52" s="23" customFormat="1" ht="39.75" customHeight="1" thickBot="1" x14ac:dyDescent="0.2">
      <c r="A137" s="101"/>
      <c r="B137" s="101"/>
      <c r="C137" s="101"/>
      <c r="D137" s="101"/>
      <c r="E137" s="101"/>
      <c r="F137" s="101"/>
      <c r="G137" s="90"/>
      <c r="H137" s="158"/>
      <c r="I137" s="92"/>
      <c r="J137" s="41"/>
      <c r="K137" s="41"/>
      <c r="L137" s="41"/>
      <c r="M137" s="93"/>
      <c r="N137" s="94">
        <f t="shared" si="78"/>
        <v>0</v>
      </c>
      <c r="O137" s="44">
        <v>1</v>
      </c>
      <c r="P137" s="45"/>
      <c r="Q137" s="46"/>
      <c r="R137" s="46"/>
      <c r="S137" s="46"/>
      <c r="T137" s="47"/>
      <c r="U137" s="71">
        <f t="shared" si="79"/>
        <v>0</v>
      </c>
      <c r="V137" s="72">
        <f t="shared" si="80"/>
        <v>0</v>
      </c>
      <c r="W137" s="99"/>
      <c r="X137" s="100"/>
      <c r="Y137" s="85"/>
      <c r="Z137" s="73"/>
      <c r="AA137" s="74"/>
      <c r="AB137" s="75" t="e">
        <f t="shared" si="81"/>
        <v>#DIV/0!</v>
      </c>
      <c r="AC137" s="72" t="e">
        <f t="shared" si="82"/>
        <v>#DIV/0!</v>
      </c>
      <c r="AD137" s="52"/>
      <c r="AE137" s="71" t="e">
        <f t="shared" si="83"/>
        <v>#DIV/0!</v>
      </c>
      <c r="AF137" s="76"/>
      <c r="AG137" s="86"/>
      <c r="AH137" s="77" t="e">
        <f t="shared" si="84"/>
        <v>#DIV/0!</v>
      </c>
      <c r="AI137" s="56">
        <v>10</v>
      </c>
      <c r="AJ137" s="56">
        <v>10</v>
      </c>
      <c r="AK137" s="56">
        <v>45</v>
      </c>
      <c r="AL137" s="57" t="e">
        <f t="shared" si="85"/>
        <v>#DIV/0!</v>
      </c>
      <c r="AM137" s="55" t="e">
        <f t="shared" si="86"/>
        <v>#DIV/0!</v>
      </c>
      <c r="AN137" s="78" t="e">
        <f t="shared" si="87"/>
        <v>#DIV/0!</v>
      </c>
      <c r="AO137" s="79"/>
      <c r="AP137" s="80">
        <f t="shared" si="92"/>
        <v>1</v>
      </c>
      <c r="AQ137" s="80">
        <f t="shared" si="92"/>
        <v>2</v>
      </c>
      <c r="AR137" s="61"/>
      <c r="AS137" s="62"/>
      <c r="AT137" s="81"/>
      <c r="AU137" s="81"/>
      <c r="AV137" s="81"/>
      <c r="AW137" s="81"/>
      <c r="AX137" s="82"/>
      <c r="AY137" s="83">
        <f t="shared" si="88"/>
        <v>0</v>
      </c>
      <c r="AZ137" s="83">
        <f t="shared" si="89"/>
        <v>0</v>
      </c>
    </row>
    <row r="138" spans="1:52" s="66" customFormat="1" ht="39.75" customHeight="1" thickBot="1" x14ac:dyDescent="0.2">
      <c r="A138" s="101"/>
      <c r="B138" s="101"/>
      <c r="C138" s="101"/>
      <c r="D138" s="101"/>
      <c r="E138" s="101"/>
      <c r="F138" s="101"/>
      <c r="G138" s="90"/>
      <c r="H138" s="158"/>
      <c r="I138" s="92"/>
      <c r="J138" s="41"/>
      <c r="K138" s="41"/>
      <c r="L138" s="41"/>
      <c r="M138" s="93"/>
      <c r="N138" s="94">
        <f t="shared" si="78"/>
        <v>0</v>
      </c>
      <c r="O138" s="44">
        <v>1</v>
      </c>
      <c r="P138" s="45"/>
      <c r="Q138" s="46"/>
      <c r="R138" s="46"/>
      <c r="S138" s="46"/>
      <c r="T138" s="47"/>
      <c r="U138" s="71">
        <f t="shared" si="79"/>
        <v>0</v>
      </c>
      <c r="V138" s="72">
        <f t="shared" si="80"/>
        <v>0</v>
      </c>
      <c r="W138" s="99"/>
      <c r="X138" s="100"/>
      <c r="Y138" s="85"/>
      <c r="Z138" s="73"/>
      <c r="AA138" s="74"/>
      <c r="AB138" s="75" t="e">
        <f t="shared" si="81"/>
        <v>#DIV/0!</v>
      </c>
      <c r="AC138" s="72" t="e">
        <f t="shared" si="82"/>
        <v>#DIV/0!</v>
      </c>
      <c r="AD138" s="52"/>
      <c r="AE138" s="71" t="e">
        <f t="shared" si="83"/>
        <v>#DIV/0!</v>
      </c>
      <c r="AF138" s="76"/>
      <c r="AG138" s="86"/>
      <c r="AH138" s="77" t="e">
        <f t="shared" si="84"/>
        <v>#DIV/0!</v>
      </c>
      <c r="AI138" s="56">
        <v>10</v>
      </c>
      <c r="AJ138" s="56">
        <v>10</v>
      </c>
      <c r="AK138" s="56">
        <v>45</v>
      </c>
      <c r="AL138" s="57" t="e">
        <f t="shared" si="85"/>
        <v>#DIV/0!</v>
      </c>
      <c r="AM138" s="55" t="e">
        <f t="shared" si="86"/>
        <v>#DIV/0!</v>
      </c>
      <c r="AN138" s="78" t="e">
        <f t="shared" si="87"/>
        <v>#DIV/0!</v>
      </c>
      <c r="AO138" s="79"/>
      <c r="AP138" s="80">
        <f t="shared" si="92"/>
        <v>1</v>
      </c>
      <c r="AQ138" s="80">
        <f t="shared" si="92"/>
        <v>2</v>
      </c>
      <c r="AR138" s="61"/>
      <c r="AS138" s="62"/>
      <c r="AT138" s="81"/>
      <c r="AU138" s="81"/>
      <c r="AV138" s="81"/>
      <c r="AW138" s="81"/>
      <c r="AX138" s="82"/>
      <c r="AY138" s="83">
        <f t="shared" si="88"/>
        <v>0</v>
      </c>
      <c r="AZ138" s="83">
        <f t="shared" si="89"/>
        <v>0</v>
      </c>
    </row>
    <row r="139" spans="1:52" s="66" customFormat="1" ht="39.75" customHeight="1" thickBot="1" x14ac:dyDescent="0.2">
      <c r="A139" s="101"/>
      <c r="B139" s="101"/>
      <c r="C139" s="101"/>
      <c r="D139" s="101"/>
      <c r="E139" s="101"/>
      <c r="F139" s="101"/>
      <c r="G139" s="90"/>
      <c r="H139" s="158"/>
      <c r="I139" s="92"/>
      <c r="J139" s="41"/>
      <c r="K139" s="41"/>
      <c r="L139" s="41"/>
      <c r="M139" s="93"/>
      <c r="N139" s="94">
        <f t="shared" si="78"/>
        <v>0</v>
      </c>
      <c r="O139" s="44">
        <v>1</v>
      </c>
      <c r="P139" s="45"/>
      <c r="Q139" s="46"/>
      <c r="R139" s="46"/>
      <c r="S139" s="46"/>
      <c r="T139" s="47"/>
      <c r="U139" s="71">
        <f t="shared" si="79"/>
        <v>0</v>
      </c>
      <c r="V139" s="72">
        <f t="shared" si="80"/>
        <v>0</v>
      </c>
      <c r="W139" s="99"/>
      <c r="X139" s="100"/>
      <c r="Y139" s="85"/>
      <c r="Z139" s="73"/>
      <c r="AA139" s="74"/>
      <c r="AB139" s="75" t="e">
        <f t="shared" si="81"/>
        <v>#DIV/0!</v>
      </c>
      <c r="AC139" s="72" t="e">
        <f t="shared" si="82"/>
        <v>#DIV/0!</v>
      </c>
      <c r="AD139" s="52"/>
      <c r="AE139" s="71" t="e">
        <f t="shared" si="83"/>
        <v>#DIV/0!</v>
      </c>
      <c r="AF139" s="76"/>
      <c r="AG139" s="86"/>
      <c r="AH139" s="77" t="e">
        <f t="shared" si="84"/>
        <v>#DIV/0!</v>
      </c>
      <c r="AI139" s="56">
        <v>10</v>
      </c>
      <c r="AJ139" s="56">
        <v>10</v>
      </c>
      <c r="AK139" s="56">
        <v>45</v>
      </c>
      <c r="AL139" s="57" t="e">
        <f t="shared" si="85"/>
        <v>#DIV/0!</v>
      </c>
      <c r="AM139" s="55" t="e">
        <f t="shared" si="86"/>
        <v>#DIV/0!</v>
      </c>
      <c r="AN139" s="78" t="e">
        <f t="shared" si="87"/>
        <v>#DIV/0!</v>
      </c>
      <c r="AO139" s="79"/>
      <c r="AP139" s="80">
        <f t="shared" si="92"/>
        <v>1</v>
      </c>
      <c r="AQ139" s="80">
        <f t="shared" si="92"/>
        <v>2</v>
      </c>
      <c r="AR139" s="61"/>
      <c r="AS139" s="62"/>
      <c r="AT139" s="81"/>
      <c r="AU139" s="81"/>
      <c r="AV139" s="81"/>
      <c r="AW139" s="81"/>
      <c r="AX139" s="82"/>
      <c r="AY139" s="83">
        <f t="shared" si="88"/>
        <v>0</v>
      </c>
      <c r="AZ139" s="83">
        <f t="shared" si="89"/>
        <v>0</v>
      </c>
    </row>
    <row r="140" spans="1:52" s="66" customFormat="1" ht="39.75" customHeight="1" thickBot="1" x14ac:dyDescent="0.2">
      <c r="A140" s="101"/>
      <c r="B140" s="101"/>
      <c r="C140" s="101"/>
      <c r="D140" s="101"/>
      <c r="E140" s="101"/>
      <c r="F140" s="101"/>
      <c r="G140" s="90"/>
      <c r="H140" s="158"/>
      <c r="I140" s="92"/>
      <c r="J140" s="41"/>
      <c r="K140" s="41"/>
      <c r="L140" s="41"/>
      <c r="M140" s="93"/>
      <c r="N140" s="94">
        <f t="shared" si="78"/>
        <v>0</v>
      </c>
      <c r="O140" s="44">
        <v>1</v>
      </c>
      <c r="P140" s="45"/>
      <c r="Q140" s="46"/>
      <c r="R140" s="46"/>
      <c r="S140" s="46"/>
      <c r="T140" s="47"/>
      <c r="U140" s="71">
        <f t="shared" si="79"/>
        <v>0</v>
      </c>
      <c r="V140" s="72">
        <f t="shared" si="80"/>
        <v>0</v>
      </c>
      <c r="W140" s="99"/>
      <c r="X140" s="100"/>
      <c r="Y140" s="85"/>
      <c r="Z140" s="73"/>
      <c r="AA140" s="74"/>
      <c r="AB140" s="75" t="e">
        <f t="shared" si="81"/>
        <v>#DIV/0!</v>
      </c>
      <c r="AC140" s="72" t="e">
        <f t="shared" si="82"/>
        <v>#DIV/0!</v>
      </c>
      <c r="AD140" s="52"/>
      <c r="AE140" s="71" t="e">
        <f t="shared" si="83"/>
        <v>#DIV/0!</v>
      </c>
      <c r="AF140" s="76"/>
      <c r="AG140" s="86"/>
      <c r="AH140" s="77" t="e">
        <f t="shared" si="84"/>
        <v>#DIV/0!</v>
      </c>
      <c r="AI140" s="56">
        <v>10</v>
      </c>
      <c r="AJ140" s="56">
        <v>10</v>
      </c>
      <c r="AK140" s="56">
        <v>45</v>
      </c>
      <c r="AL140" s="57" t="e">
        <f t="shared" si="85"/>
        <v>#DIV/0!</v>
      </c>
      <c r="AM140" s="55" t="e">
        <f t="shared" si="86"/>
        <v>#DIV/0!</v>
      </c>
      <c r="AN140" s="78" t="e">
        <f t="shared" si="87"/>
        <v>#DIV/0!</v>
      </c>
      <c r="AO140" s="79"/>
      <c r="AP140" s="80">
        <f t="shared" si="92"/>
        <v>1</v>
      </c>
      <c r="AQ140" s="80">
        <f t="shared" si="92"/>
        <v>2</v>
      </c>
      <c r="AR140" s="61"/>
      <c r="AS140" s="62"/>
      <c r="AT140" s="81"/>
      <c r="AU140" s="81"/>
      <c r="AV140" s="81"/>
      <c r="AW140" s="81"/>
      <c r="AX140" s="82"/>
      <c r="AY140" s="83">
        <f t="shared" si="88"/>
        <v>0</v>
      </c>
      <c r="AZ140" s="83">
        <f t="shared" si="89"/>
        <v>0</v>
      </c>
    </row>
    <row r="141" spans="1:52" s="23" customFormat="1" ht="39.75" customHeight="1" thickBot="1" x14ac:dyDescent="0.2">
      <c r="A141" s="101"/>
      <c r="B141" s="101"/>
      <c r="C141" s="101"/>
      <c r="D141" s="101"/>
      <c r="E141" s="101"/>
      <c r="F141" s="101"/>
      <c r="G141" s="90"/>
      <c r="H141" s="158"/>
      <c r="I141" s="92"/>
      <c r="J141" s="41"/>
      <c r="K141" s="41"/>
      <c r="L141" s="41"/>
      <c r="M141" s="93"/>
      <c r="N141" s="94">
        <f t="shared" si="78"/>
        <v>0</v>
      </c>
      <c r="O141" s="44">
        <v>1</v>
      </c>
      <c r="P141" s="45"/>
      <c r="Q141" s="46"/>
      <c r="R141" s="46"/>
      <c r="S141" s="46"/>
      <c r="T141" s="47"/>
      <c r="U141" s="71">
        <f t="shared" si="79"/>
        <v>0</v>
      </c>
      <c r="V141" s="72">
        <f t="shared" si="80"/>
        <v>0</v>
      </c>
      <c r="W141" s="99"/>
      <c r="X141" s="100"/>
      <c r="Y141" s="85"/>
      <c r="Z141" s="73"/>
      <c r="AA141" s="74"/>
      <c r="AB141" s="75" t="e">
        <f t="shared" si="81"/>
        <v>#DIV/0!</v>
      </c>
      <c r="AC141" s="72" t="e">
        <f t="shared" si="82"/>
        <v>#DIV/0!</v>
      </c>
      <c r="AD141" s="52"/>
      <c r="AE141" s="71" t="e">
        <f t="shared" si="83"/>
        <v>#DIV/0!</v>
      </c>
      <c r="AF141" s="76"/>
      <c r="AG141" s="86"/>
      <c r="AH141" s="77" t="e">
        <f t="shared" si="84"/>
        <v>#DIV/0!</v>
      </c>
      <c r="AI141" s="56">
        <v>10</v>
      </c>
      <c r="AJ141" s="56">
        <v>10</v>
      </c>
      <c r="AK141" s="56">
        <v>45</v>
      </c>
      <c r="AL141" s="57" t="e">
        <f t="shared" si="85"/>
        <v>#DIV/0!</v>
      </c>
      <c r="AM141" s="55" t="e">
        <f t="shared" si="86"/>
        <v>#DIV/0!</v>
      </c>
      <c r="AN141" s="78" t="e">
        <f t="shared" si="87"/>
        <v>#DIV/0!</v>
      </c>
      <c r="AO141" s="79"/>
      <c r="AP141" s="80">
        <f t="shared" si="92"/>
        <v>1</v>
      </c>
      <c r="AQ141" s="80">
        <f t="shared" si="92"/>
        <v>2</v>
      </c>
      <c r="AR141" s="61"/>
      <c r="AS141" s="62"/>
      <c r="AT141" s="81"/>
      <c r="AU141" s="81"/>
      <c r="AV141" s="81"/>
      <c r="AW141" s="81"/>
      <c r="AX141" s="82"/>
      <c r="AY141" s="83">
        <f t="shared" si="88"/>
        <v>0</v>
      </c>
      <c r="AZ141" s="83">
        <f t="shared" si="89"/>
        <v>0</v>
      </c>
    </row>
    <row r="142" spans="1:52" s="66" customFormat="1" ht="39.75" customHeight="1" thickBot="1" x14ac:dyDescent="0.2">
      <c r="A142" s="101"/>
      <c r="B142" s="101"/>
      <c r="C142" s="101"/>
      <c r="D142" s="101"/>
      <c r="E142" s="101"/>
      <c r="F142" s="101"/>
      <c r="G142" s="90"/>
      <c r="H142" s="158"/>
      <c r="I142" s="92"/>
      <c r="J142" s="41"/>
      <c r="K142" s="41"/>
      <c r="L142" s="41"/>
      <c r="M142" s="93"/>
      <c r="N142" s="94">
        <f t="shared" si="78"/>
        <v>0</v>
      </c>
      <c r="O142" s="44">
        <v>1</v>
      </c>
      <c r="P142" s="45"/>
      <c r="Q142" s="46"/>
      <c r="R142" s="46"/>
      <c r="S142" s="46"/>
      <c r="T142" s="47"/>
      <c r="U142" s="71">
        <f t="shared" si="79"/>
        <v>0</v>
      </c>
      <c r="V142" s="72">
        <f t="shared" si="80"/>
        <v>0</v>
      </c>
      <c r="W142" s="99"/>
      <c r="X142" s="100"/>
      <c r="Y142" s="85"/>
      <c r="Z142" s="73"/>
      <c r="AA142" s="74"/>
      <c r="AB142" s="75" t="e">
        <f t="shared" si="81"/>
        <v>#DIV/0!</v>
      </c>
      <c r="AC142" s="72" t="e">
        <f t="shared" si="82"/>
        <v>#DIV/0!</v>
      </c>
      <c r="AD142" s="52"/>
      <c r="AE142" s="71" t="e">
        <f t="shared" si="83"/>
        <v>#DIV/0!</v>
      </c>
      <c r="AF142" s="76"/>
      <c r="AG142" s="86"/>
      <c r="AH142" s="77" t="e">
        <f t="shared" si="84"/>
        <v>#DIV/0!</v>
      </c>
      <c r="AI142" s="56">
        <v>10</v>
      </c>
      <c r="AJ142" s="56">
        <v>10</v>
      </c>
      <c r="AK142" s="56">
        <v>45</v>
      </c>
      <c r="AL142" s="57" t="e">
        <f t="shared" si="85"/>
        <v>#DIV/0!</v>
      </c>
      <c r="AM142" s="55" t="e">
        <f t="shared" si="86"/>
        <v>#DIV/0!</v>
      </c>
      <c r="AN142" s="78" t="e">
        <f t="shared" si="87"/>
        <v>#DIV/0!</v>
      </c>
      <c r="AO142" s="79"/>
      <c r="AP142" s="80">
        <f t="shared" si="92"/>
        <v>1</v>
      </c>
      <c r="AQ142" s="80">
        <f t="shared" si="92"/>
        <v>2</v>
      </c>
      <c r="AR142" s="61"/>
      <c r="AS142" s="62"/>
      <c r="AT142" s="81"/>
      <c r="AU142" s="81"/>
      <c r="AV142" s="81"/>
      <c r="AW142" s="81"/>
      <c r="AX142" s="82"/>
      <c r="AY142" s="83">
        <f t="shared" si="88"/>
        <v>0</v>
      </c>
      <c r="AZ142" s="83">
        <f t="shared" si="89"/>
        <v>0</v>
      </c>
    </row>
    <row r="143" spans="1:52" s="23" customFormat="1" ht="39.75" customHeight="1" thickBot="1" x14ac:dyDescent="0.2">
      <c r="A143" s="101"/>
      <c r="B143" s="101"/>
      <c r="C143" s="101"/>
      <c r="D143" s="101"/>
      <c r="E143" s="101"/>
      <c r="F143" s="101"/>
      <c r="G143" s="90"/>
      <c r="H143" s="158"/>
      <c r="I143" s="92"/>
      <c r="J143" s="41"/>
      <c r="K143" s="41"/>
      <c r="L143" s="41"/>
      <c r="M143" s="93"/>
      <c r="N143" s="94">
        <f t="shared" si="78"/>
        <v>0</v>
      </c>
      <c r="O143" s="44">
        <v>1</v>
      </c>
      <c r="P143" s="45"/>
      <c r="Q143" s="46"/>
      <c r="R143" s="46"/>
      <c r="S143" s="46"/>
      <c r="T143" s="47"/>
      <c r="U143" s="71">
        <f t="shared" si="79"/>
        <v>0</v>
      </c>
      <c r="V143" s="72">
        <f t="shared" si="80"/>
        <v>0</v>
      </c>
      <c r="W143" s="99"/>
      <c r="X143" s="100"/>
      <c r="Y143" s="85"/>
      <c r="Z143" s="73"/>
      <c r="AA143" s="74"/>
      <c r="AB143" s="75" t="e">
        <f t="shared" si="81"/>
        <v>#DIV/0!</v>
      </c>
      <c r="AC143" s="72" t="e">
        <f t="shared" si="82"/>
        <v>#DIV/0!</v>
      </c>
      <c r="AD143" s="52"/>
      <c r="AE143" s="71" t="e">
        <f t="shared" si="83"/>
        <v>#DIV/0!</v>
      </c>
      <c r="AF143" s="76"/>
      <c r="AG143" s="86"/>
      <c r="AH143" s="77" t="e">
        <f t="shared" si="84"/>
        <v>#DIV/0!</v>
      </c>
      <c r="AI143" s="56">
        <v>10</v>
      </c>
      <c r="AJ143" s="56">
        <v>10</v>
      </c>
      <c r="AK143" s="56">
        <v>45</v>
      </c>
      <c r="AL143" s="57" t="e">
        <f t="shared" si="85"/>
        <v>#DIV/0!</v>
      </c>
      <c r="AM143" s="55" t="e">
        <f t="shared" si="86"/>
        <v>#DIV/0!</v>
      </c>
      <c r="AN143" s="78" t="e">
        <f t="shared" si="87"/>
        <v>#DIV/0!</v>
      </c>
      <c r="AO143" s="79"/>
      <c r="AP143" s="80">
        <f t="shared" si="92"/>
        <v>1</v>
      </c>
      <c r="AQ143" s="80">
        <f t="shared" si="92"/>
        <v>2</v>
      </c>
      <c r="AR143" s="61"/>
      <c r="AS143" s="62"/>
      <c r="AT143" s="81"/>
      <c r="AU143" s="81"/>
      <c r="AV143" s="81"/>
      <c r="AW143" s="81"/>
      <c r="AX143" s="82"/>
      <c r="AY143" s="83">
        <f t="shared" si="88"/>
        <v>0</v>
      </c>
      <c r="AZ143" s="83">
        <f t="shared" si="89"/>
        <v>0</v>
      </c>
    </row>
    <row r="144" spans="1:52" s="66" customFormat="1" ht="39.75" customHeight="1" thickBot="1" x14ac:dyDescent="0.2">
      <c r="A144" s="101"/>
      <c r="B144" s="101"/>
      <c r="C144" s="101"/>
      <c r="D144" s="101"/>
      <c r="E144" s="101"/>
      <c r="F144" s="101"/>
      <c r="G144" s="90"/>
      <c r="H144" s="158"/>
      <c r="I144" s="92"/>
      <c r="J144" s="41"/>
      <c r="K144" s="41"/>
      <c r="L144" s="41"/>
      <c r="M144" s="93"/>
      <c r="N144" s="94">
        <f t="shared" si="78"/>
        <v>0</v>
      </c>
      <c r="O144" s="44">
        <v>1</v>
      </c>
      <c r="P144" s="45"/>
      <c r="Q144" s="46"/>
      <c r="R144" s="46"/>
      <c r="S144" s="46"/>
      <c r="T144" s="47"/>
      <c r="U144" s="71">
        <f t="shared" si="79"/>
        <v>0</v>
      </c>
      <c r="V144" s="72">
        <f t="shared" si="80"/>
        <v>0</v>
      </c>
      <c r="W144" s="99"/>
      <c r="X144" s="100"/>
      <c r="Y144" s="85"/>
      <c r="Z144" s="73"/>
      <c r="AA144" s="74"/>
      <c r="AB144" s="75" t="e">
        <f t="shared" si="81"/>
        <v>#DIV/0!</v>
      </c>
      <c r="AC144" s="72" t="e">
        <f t="shared" si="82"/>
        <v>#DIV/0!</v>
      </c>
      <c r="AD144" s="52"/>
      <c r="AE144" s="71" t="e">
        <f t="shared" si="83"/>
        <v>#DIV/0!</v>
      </c>
      <c r="AF144" s="76"/>
      <c r="AG144" s="86"/>
      <c r="AH144" s="77" t="e">
        <f t="shared" si="84"/>
        <v>#DIV/0!</v>
      </c>
      <c r="AI144" s="56">
        <v>10</v>
      </c>
      <c r="AJ144" s="56">
        <v>10</v>
      </c>
      <c r="AK144" s="56">
        <v>45</v>
      </c>
      <c r="AL144" s="57" t="e">
        <f t="shared" si="85"/>
        <v>#DIV/0!</v>
      </c>
      <c r="AM144" s="55" t="e">
        <f t="shared" si="86"/>
        <v>#DIV/0!</v>
      </c>
      <c r="AN144" s="78" t="e">
        <f t="shared" si="87"/>
        <v>#DIV/0!</v>
      </c>
      <c r="AO144" s="79"/>
      <c r="AP144" s="80">
        <f t="shared" ref="AP144:AQ145" si="93">100%+AO144</f>
        <v>1</v>
      </c>
      <c r="AQ144" s="80">
        <f t="shared" si="93"/>
        <v>2</v>
      </c>
      <c r="AR144" s="61"/>
      <c r="AS144" s="62"/>
      <c r="AT144" s="81"/>
      <c r="AU144" s="81"/>
      <c r="AV144" s="81"/>
      <c r="AW144" s="81"/>
      <c r="AX144" s="82"/>
      <c r="AY144" s="83">
        <f t="shared" si="88"/>
        <v>0</v>
      </c>
      <c r="AZ144" s="83">
        <f t="shared" si="89"/>
        <v>0</v>
      </c>
    </row>
    <row r="145" spans="1:52" s="66" customFormat="1" ht="39.75" customHeight="1" thickBot="1" x14ac:dyDescent="0.2">
      <c r="A145" s="101"/>
      <c r="B145" s="101"/>
      <c r="C145" s="101"/>
      <c r="D145" s="101"/>
      <c r="E145" s="101"/>
      <c r="F145" s="101"/>
      <c r="G145" s="90"/>
      <c r="H145" s="158"/>
      <c r="I145" s="92"/>
      <c r="J145" s="41"/>
      <c r="K145" s="41"/>
      <c r="L145" s="41"/>
      <c r="M145" s="93"/>
      <c r="N145" s="94">
        <f>SUM(I145:M145)</f>
        <v>0</v>
      </c>
      <c r="O145" s="44">
        <v>1</v>
      </c>
      <c r="P145" s="45"/>
      <c r="Q145" s="46"/>
      <c r="R145" s="46"/>
      <c r="S145" s="46"/>
      <c r="T145" s="47"/>
      <c r="U145" s="71">
        <f>ROUND(((P145*I145)+(Q145*J145)+(R145*K145)+(S145*L145)+(T145*M145))*O145,2)</f>
        <v>0</v>
      </c>
      <c r="V145" s="72">
        <f>IF(U145&gt;=15,15,U145)</f>
        <v>0</v>
      </c>
      <c r="W145" s="99"/>
      <c r="X145" s="100"/>
      <c r="Y145" s="85"/>
      <c r="Z145" s="73"/>
      <c r="AA145" s="74"/>
      <c r="AB145" s="75" t="e">
        <f>ROUND((((W145*I145)+(X145*J145)+(Y145*K145)+(Z145*L145)+(AA145*M145))/$I$2),2)*13</f>
        <v>#DIV/0!</v>
      </c>
      <c r="AC145" s="72" t="e">
        <f>IF(AB145&gt;=13,13,AB145)</f>
        <v>#DIV/0!</v>
      </c>
      <c r="AD145" s="52"/>
      <c r="AE145" s="71" t="e">
        <f>IF((AC145+AD145)&gt;=15,15,(AC145+AD145))</f>
        <v>#DIV/0!</v>
      </c>
      <c r="AF145" s="86"/>
      <c r="AG145" s="86"/>
      <c r="AH145" s="77" t="e">
        <f>IF((V145+AE145+AF145)&gt;=30,30,(V145+AE145+AF145))</f>
        <v>#DIV/0!</v>
      </c>
      <c r="AI145" s="56">
        <v>10</v>
      </c>
      <c r="AJ145" s="56">
        <v>10</v>
      </c>
      <c r="AK145" s="56">
        <v>45</v>
      </c>
      <c r="AL145" s="57" t="e">
        <f>V145+AE145+AF145+AI145+AJ145+AK145+AG145</f>
        <v>#DIV/0!</v>
      </c>
      <c r="AM145" s="55" t="e">
        <f>IF(AH145+AI145+AJ145+AK145+AG145&gt;=95,95,AH145+AI145+AJ145+AK145+AG145)</f>
        <v>#DIV/0!</v>
      </c>
      <c r="AN145" s="78" t="e">
        <f>-((50-((176+(45+(50-AH145)))))/200)</f>
        <v>#DIV/0!</v>
      </c>
      <c r="AO145" s="79"/>
      <c r="AP145" s="80">
        <f t="shared" si="93"/>
        <v>1</v>
      </c>
      <c r="AQ145" s="80">
        <f t="shared" si="93"/>
        <v>2</v>
      </c>
      <c r="AR145" s="61"/>
      <c r="AS145" s="62"/>
      <c r="AT145" s="81"/>
      <c r="AU145" s="81"/>
      <c r="AV145" s="81"/>
      <c r="AW145" s="81"/>
      <c r="AX145" s="82"/>
      <c r="AY145" s="83">
        <f>AT145+AU145+AV145+AW145+AX145</f>
        <v>0</v>
      </c>
      <c r="AZ145" s="83">
        <f>(AT145*I145)+(AU145*J145)+(AV145*K145)+(AW145*L145)+(AX145*M145)</f>
        <v>0</v>
      </c>
    </row>
  </sheetData>
  <mergeCells count="79">
    <mergeCell ref="AG1:AJ1"/>
    <mergeCell ref="D2:E2"/>
    <mergeCell ref="I2:J2"/>
    <mergeCell ref="M2:P2"/>
    <mergeCell ref="W2:X2"/>
    <mergeCell ref="Y2:Z2"/>
    <mergeCell ref="AA2:AB2"/>
    <mergeCell ref="AD2:AL2"/>
    <mergeCell ref="D1:E1"/>
    <mergeCell ref="I1:J1"/>
    <mergeCell ref="W1:X1"/>
    <mergeCell ref="Y1:Z1"/>
    <mergeCell ref="AA1:AB1"/>
    <mergeCell ref="AE1:AF1"/>
    <mergeCell ref="AQ3:AQ4"/>
    <mergeCell ref="AR3:AR4"/>
    <mergeCell ref="AS3:AS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C34:G34"/>
    <mergeCell ref="AZ3:AZ4"/>
    <mergeCell ref="C10:G10"/>
    <mergeCell ref="C12:G12"/>
    <mergeCell ref="C14:G14"/>
    <mergeCell ref="C18:G18"/>
    <mergeCell ref="C20:G20"/>
    <mergeCell ref="AT3:AT4"/>
    <mergeCell ref="AU3:AU4"/>
    <mergeCell ref="AV3:AV4"/>
    <mergeCell ref="AW3:AW4"/>
    <mergeCell ref="AX3:AX4"/>
    <mergeCell ref="AY3:AY4"/>
    <mergeCell ref="AN3:AN4"/>
    <mergeCell ref="AO3:AO4"/>
    <mergeCell ref="AP3:AP4"/>
    <mergeCell ref="C22:G22"/>
    <mergeCell ref="C24:G24"/>
    <mergeCell ref="C26:G26"/>
    <mergeCell ref="C28:G28"/>
    <mergeCell ref="C32:G32"/>
    <mergeCell ref="C30:G30"/>
    <mergeCell ref="C6:G6"/>
    <mergeCell ref="C8:G8"/>
    <mergeCell ref="C16:G16"/>
    <mergeCell ref="C60:G60"/>
    <mergeCell ref="C58:G58"/>
    <mergeCell ref="C40:G40"/>
    <mergeCell ref="C48:G48"/>
    <mergeCell ref="C50:G50"/>
    <mergeCell ref="C52:G52"/>
    <mergeCell ref="C54:G54"/>
    <mergeCell ref="C56:G56"/>
    <mergeCell ref="C36:G36"/>
    <mergeCell ref="C38:G38"/>
    <mergeCell ref="C42:G42"/>
    <mergeCell ref="C44:G44"/>
    <mergeCell ref="C46:G46"/>
    <mergeCell ref="C62:G62"/>
    <mergeCell ref="C64:G64"/>
    <mergeCell ref="C66:G66"/>
    <mergeCell ref="C68:G68"/>
    <mergeCell ref="C70:G70"/>
    <mergeCell ref="C82:G82"/>
    <mergeCell ref="C84:G84"/>
    <mergeCell ref="C86:G86"/>
    <mergeCell ref="C88:G88"/>
    <mergeCell ref="C72:G72"/>
    <mergeCell ref="C74:G74"/>
    <mergeCell ref="C76:G76"/>
    <mergeCell ref="C78:G78"/>
    <mergeCell ref="C80:G80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65" max="51" man="1"/>
  </rowBreaks>
  <colBreaks count="2" manualBreakCount="2">
    <brk id="14" max="132" man="1"/>
    <brk id="40" max="1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6</vt:i4>
      </vt:variant>
    </vt:vector>
  </HeadingPairs>
  <TitlesOfParts>
    <vt:vector size="12" baseType="lpstr">
      <vt:lpstr>인천가정2</vt:lpstr>
      <vt:lpstr>고양창릉</vt:lpstr>
      <vt:lpstr>인천계양 3공구</vt:lpstr>
      <vt:lpstr>경산대임 전기공사4공구</vt:lpstr>
      <vt:lpstr>고양창릉 1공구</vt:lpstr>
      <vt:lpstr>양식</vt:lpstr>
      <vt:lpstr>'경산대임 전기공사4공구'!Print_Area</vt:lpstr>
      <vt:lpstr>고양창릉!Print_Area</vt:lpstr>
      <vt:lpstr>'고양창릉 1공구'!Print_Area</vt:lpstr>
      <vt:lpstr>양식!Print_Area</vt:lpstr>
      <vt:lpstr>인천가정2!Print_Area</vt:lpstr>
      <vt:lpstr>'인천계양 3공구'!Print_Area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</cp:lastModifiedBy>
  <dcterms:created xsi:type="dcterms:W3CDTF">2024-04-16T07:59:32Z</dcterms:created>
  <dcterms:modified xsi:type="dcterms:W3CDTF">2026-04-14T00:48:10Z</dcterms:modified>
</cp:coreProperties>
</file>