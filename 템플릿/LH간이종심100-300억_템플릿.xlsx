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hwijae\Desktop\템플릿\"/>
    </mc:Choice>
  </mc:AlternateContent>
  <bookViews>
    <workbookView xWindow="-120" yWindow="-120" windowWidth="28920" windowHeight="12285" tabRatio="915"/>
  </bookViews>
  <sheets>
    <sheet name="양식" sheetId="182" r:id="rId1"/>
  </sheets>
  <definedNames>
    <definedName name="_xlnm.Print_Area" localSheetId="0">양식!$A$1:$AO$90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89" i="182" l="1"/>
  <c r="AG89" i="182" s="1"/>
  <c r="AH89" i="182" s="1"/>
  <c r="AI89" i="182" s="1"/>
  <c r="AF87" i="182"/>
  <c r="AG87" i="182" s="1"/>
  <c r="AH87" i="182" s="1"/>
  <c r="AI87" i="182" s="1"/>
  <c r="AF85" i="182"/>
  <c r="AG85" i="182" s="1"/>
  <c r="AH85" i="182" s="1"/>
  <c r="AI85" i="182" s="1"/>
  <c r="AF83" i="182"/>
  <c r="AG83" i="182" s="1"/>
  <c r="AH83" i="182" s="1"/>
  <c r="AI83" i="182" s="1"/>
  <c r="AF81" i="182"/>
  <c r="AG81" i="182" s="1"/>
  <c r="AH81" i="182" s="1"/>
  <c r="AI81" i="182" s="1"/>
  <c r="AF79" i="182"/>
  <c r="AG79" i="182" s="1"/>
  <c r="AH79" i="182" s="1"/>
  <c r="AI79" i="182" s="1"/>
  <c r="AF77" i="182"/>
  <c r="AG77" i="182" s="1"/>
  <c r="AH77" i="182" s="1"/>
  <c r="AI77" i="182" s="1"/>
  <c r="AG75" i="182"/>
  <c r="AH75" i="182" s="1"/>
  <c r="AI75" i="182" s="1"/>
  <c r="AF75" i="182"/>
  <c r="AF73" i="182"/>
  <c r="AG73" i="182" s="1"/>
  <c r="AH73" i="182" s="1"/>
  <c r="AI73" i="182" s="1"/>
  <c r="AF71" i="182"/>
  <c r="AG71" i="182" s="1"/>
  <c r="AH71" i="182" s="1"/>
  <c r="AI71" i="182" s="1"/>
  <c r="AF69" i="182"/>
  <c r="AG69" i="182" s="1"/>
  <c r="AH69" i="182" s="1"/>
  <c r="AI69" i="182" s="1"/>
  <c r="AF67" i="182"/>
  <c r="AG67" i="182" s="1"/>
  <c r="AH67" i="182" s="1"/>
  <c r="AI67" i="182" s="1"/>
  <c r="AG65" i="182"/>
  <c r="AH65" i="182" s="1"/>
  <c r="AI65" i="182" s="1"/>
  <c r="AF65" i="182"/>
  <c r="AF63" i="182"/>
  <c r="AG63" i="182" s="1"/>
  <c r="AH63" i="182" s="1"/>
  <c r="AI63" i="182" s="1"/>
  <c r="AF61" i="182"/>
  <c r="AG61" i="182" s="1"/>
  <c r="AH61" i="182" s="1"/>
  <c r="AI61" i="182" s="1"/>
  <c r="AF59" i="182"/>
  <c r="AG59" i="182" s="1"/>
  <c r="AH59" i="182" s="1"/>
  <c r="AI59" i="182" s="1"/>
  <c r="AF57" i="182"/>
  <c r="AG57" i="182" s="1"/>
  <c r="AH57" i="182" s="1"/>
  <c r="AI57" i="182" s="1"/>
  <c r="AF55" i="182"/>
  <c r="AG55" i="182" s="1"/>
  <c r="AH55" i="182" s="1"/>
  <c r="AI55" i="182" s="1"/>
  <c r="AF53" i="182"/>
  <c r="AG53" i="182" s="1"/>
  <c r="AH53" i="182" s="1"/>
  <c r="AI53" i="182" s="1"/>
  <c r="AF51" i="182"/>
  <c r="AG51" i="182" s="1"/>
  <c r="AH51" i="182" s="1"/>
  <c r="AI51" i="182" s="1"/>
  <c r="AF49" i="182"/>
  <c r="AG49" i="182" s="1"/>
  <c r="AH49" i="182" s="1"/>
  <c r="AI49" i="182" s="1"/>
  <c r="AF47" i="182"/>
  <c r="AG47" i="182" s="1"/>
  <c r="AH47" i="182" s="1"/>
  <c r="AI47" i="182" s="1"/>
  <c r="AF45" i="182"/>
  <c r="AG45" i="182" s="1"/>
  <c r="AH45" i="182" s="1"/>
  <c r="AI45" i="182" s="1"/>
  <c r="AF43" i="182"/>
  <c r="AG43" i="182" s="1"/>
  <c r="AH43" i="182" s="1"/>
  <c r="AI43" i="182" s="1"/>
  <c r="AF41" i="182"/>
  <c r="AG41" i="182" s="1"/>
  <c r="AH41" i="182" s="1"/>
  <c r="AI41" i="182" s="1"/>
  <c r="AF39" i="182"/>
  <c r="AG39" i="182" s="1"/>
  <c r="AH39" i="182" s="1"/>
  <c r="AI39" i="182" s="1"/>
  <c r="AF37" i="182"/>
  <c r="AG37" i="182" s="1"/>
  <c r="AH37" i="182" s="1"/>
  <c r="AI37" i="182" s="1"/>
  <c r="AF35" i="182"/>
  <c r="AG35" i="182" s="1"/>
  <c r="AH35" i="182" s="1"/>
  <c r="AI35" i="182" s="1"/>
  <c r="AF33" i="182"/>
  <c r="AG33" i="182" s="1"/>
  <c r="AH33" i="182" s="1"/>
  <c r="AI33" i="182" s="1"/>
  <c r="AF31" i="182"/>
  <c r="AG31" i="182" s="1"/>
  <c r="AH31" i="182" s="1"/>
  <c r="AI31" i="182" s="1"/>
  <c r="AF29" i="182"/>
  <c r="AG29" i="182" s="1"/>
  <c r="AH29" i="182" s="1"/>
  <c r="AI29" i="182" s="1"/>
  <c r="AF27" i="182"/>
  <c r="AG27" i="182" s="1"/>
  <c r="AH27" i="182" s="1"/>
  <c r="AI27" i="182" s="1"/>
  <c r="AF25" i="182"/>
  <c r="AG25" i="182" s="1"/>
  <c r="AH25" i="182" s="1"/>
  <c r="AI25" i="182" s="1"/>
  <c r="AG23" i="182"/>
  <c r="AH23" i="182" s="1"/>
  <c r="AI23" i="182" s="1"/>
  <c r="AF23" i="182"/>
  <c r="AF21" i="182"/>
  <c r="AG21" i="182" s="1"/>
  <c r="AH21" i="182" s="1"/>
  <c r="AI21" i="182" s="1"/>
  <c r="AF19" i="182"/>
  <c r="AG19" i="182" s="1"/>
  <c r="AH19" i="182" s="1"/>
  <c r="AI19" i="182" s="1"/>
  <c r="AF17" i="182"/>
  <c r="AG17" i="182" s="1"/>
  <c r="AH17" i="182" s="1"/>
  <c r="AI17" i="182" s="1"/>
  <c r="AF15" i="182"/>
  <c r="AG15" i="182" s="1"/>
  <c r="AH15" i="182" s="1"/>
  <c r="AI15" i="182" s="1"/>
  <c r="AF13" i="182"/>
  <c r="AG13" i="182" s="1"/>
  <c r="AH13" i="182" s="1"/>
  <c r="AI13" i="182" s="1"/>
  <c r="AF11" i="182"/>
  <c r="AG11" i="182" s="1"/>
  <c r="AH11" i="182" s="1"/>
  <c r="AI11" i="182" s="1"/>
  <c r="AG9" i="182"/>
  <c r="AH9" i="182" s="1"/>
  <c r="AI9" i="182" s="1"/>
  <c r="AF9" i="182"/>
  <c r="AF7" i="182"/>
  <c r="AG7" i="182" s="1"/>
  <c r="AH7" i="182" s="1"/>
  <c r="AI7" i="182" s="1"/>
  <c r="AF5" i="182"/>
  <c r="AG5" i="182" s="1"/>
  <c r="AH5" i="182" s="1"/>
  <c r="AI5" i="182" s="1"/>
  <c r="AD89" i="182"/>
  <c r="AD87" i="182"/>
  <c r="AD85" i="182"/>
  <c r="AD83" i="182"/>
  <c r="AD81" i="182"/>
  <c r="AD79" i="182"/>
  <c r="AD77" i="182"/>
  <c r="AD75" i="182"/>
  <c r="AD73" i="182"/>
  <c r="AD71" i="182"/>
  <c r="AD69" i="182"/>
  <c r="AD67" i="182"/>
  <c r="AD65" i="182"/>
  <c r="AD63" i="182"/>
  <c r="AD61" i="182"/>
  <c r="AD59" i="182"/>
  <c r="AD57" i="182"/>
  <c r="AD55" i="182"/>
  <c r="AD53" i="182"/>
  <c r="AD51" i="182"/>
  <c r="AD49" i="182"/>
  <c r="AD47" i="182"/>
  <c r="AD45" i="182"/>
  <c r="AD43" i="182"/>
  <c r="AD41" i="182"/>
  <c r="AD39" i="182"/>
  <c r="AD37" i="182"/>
  <c r="AD35" i="182"/>
  <c r="AD33" i="182"/>
  <c r="AD31" i="182"/>
  <c r="AD29" i="182"/>
  <c r="AD27" i="182"/>
  <c r="AD25" i="182"/>
  <c r="AD23" i="182"/>
  <c r="AD21" i="182"/>
  <c r="AD19" i="182"/>
  <c r="AD17" i="182"/>
  <c r="AD15" i="182"/>
  <c r="AD13" i="182"/>
  <c r="AD11" i="182"/>
  <c r="AD9" i="182"/>
  <c r="AD7" i="182"/>
  <c r="N89" i="182"/>
  <c r="N87" i="182"/>
  <c r="N85" i="182"/>
  <c r="N83" i="182"/>
  <c r="N81" i="182"/>
  <c r="N79" i="182"/>
  <c r="N77" i="182"/>
  <c r="N75" i="182"/>
  <c r="N73" i="182"/>
  <c r="N71" i="182"/>
  <c r="N69" i="182"/>
  <c r="N67" i="182"/>
  <c r="N65" i="182"/>
  <c r="N63" i="182"/>
  <c r="N61" i="182"/>
  <c r="N59" i="182"/>
  <c r="N57" i="182"/>
  <c r="N55" i="182"/>
  <c r="N53" i="182"/>
  <c r="N51" i="182"/>
  <c r="N49" i="182"/>
  <c r="N47" i="182"/>
  <c r="N45" i="182"/>
  <c r="N43" i="182"/>
  <c r="N41" i="182"/>
  <c r="N39" i="182"/>
  <c r="N37" i="182"/>
  <c r="N35" i="182"/>
  <c r="N33" i="182"/>
  <c r="N31" i="182"/>
  <c r="N29" i="182"/>
  <c r="N27" i="182"/>
  <c r="N25" i="182"/>
  <c r="N23" i="182"/>
  <c r="N21" i="182"/>
  <c r="N19" i="182"/>
  <c r="N17" i="182"/>
  <c r="N15" i="182"/>
  <c r="N13" i="182"/>
  <c r="N11" i="182"/>
  <c r="N9" i="182"/>
  <c r="N7" i="182"/>
  <c r="N5" i="182"/>
  <c r="T90" i="182" l="1"/>
  <c r="AM89" i="182"/>
  <c r="AN89" i="182" s="1"/>
  <c r="T89" i="182"/>
  <c r="U89" i="182" s="1"/>
  <c r="T88" i="182"/>
  <c r="AM87" i="182"/>
  <c r="AN87" i="182" s="1"/>
  <c r="T87" i="182"/>
  <c r="U87" i="182" s="1"/>
  <c r="T86" i="182"/>
  <c r="T85" i="182"/>
  <c r="U85" i="182" s="1"/>
  <c r="T84" i="182"/>
  <c r="AM83" i="182"/>
  <c r="AN83" i="182" s="1"/>
  <c r="T83" i="182"/>
  <c r="U83" i="182" s="1"/>
  <c r="T82" i="182"/>
  <c r="AM81" i="182"/>
  <c r="AN81" i="182" s="1"/>
  <c r="T81" i="182"/>
  <c r="U81" i="182" s="1"/>
  <c r="T80" i="182"/>
  <c r="AM79" i="182"/>
  <c r="AN79" i="182" s="1"/>
  <c r="T79" i="182"/>
  <c r="U79" i="182" s="1"/>
  <c r="T78" i="182"/>
  <c r="AM77" i="182"/>
  <c r="AN77" i="182" s="1"/>
  <c r="T77" i="182"/>
  <c r="U77" i="182" s="1"/>
  <c r="T76" i="182"/>
  <c r="AM75" i="182"/>
  <c r="AN75" i="182" s="1"/>
  <c r="T75" i="182"/>
  <c r="U75" i="182" s="1"/>
  <c r="T74" i="182"/>
  <c r="AM73" i="182"/>
  <c r="AN73" i="182" s="1"/>
  <c r="T73" i="182"/>
  <c r="U73" i="182" s="1"/>
  <c r="T72" i="182"/>
  <c r="T71" i="182"/>
  <c r="U71" i="182" s="1"/>
  <c r="T70" i="182"/>
  <c r="AM69" i="182"/>
  <c r="AN69" i="182" s="1"/>
  <c r="T69" i="182"/>
  <c r="U69" i="182" s="1"/>
  <c r="T68" i="182"/>
  <c r="AM67" i="182"/>
  <c r="AN67" i="182" s="1"/>
  <c r="T67" i="182"/>
  <c r="U67" i="182" s="1"/>
  <c r="T24" i="182"/>
  <c r="T23" i="182"/>
  <c r="U23" i="182" s="1"/>
  <c r="T28" i="182"/>
  <c r="AM27" i="182"/>
  <c r="AN27" i="182" s="1"/>
  <c r="T27" i="182"/>
  <c r="U27" i="182" s="1"/>
  <c r="T8" i="182"/>
  <c r="AM7" i="182"/>
  <c r="AN7" i="182" s="1"/>
  <c r="T7" i="182"/>
  <c r="U7" i="182" s="1"/>
  <c r="T10" i="182"/>
  <c r="AM9" i="182"/>
  <c r="AN9" i="182" s="1"/>
  <c r="T9" i="182"/>
  <c r="U9" i="182" s="1"/>
  <c r="T14" i="182"/>
  <c r="AM13" i="182"/>
  <c r="AN13" i="182" s="1"/>
  <c r="T13" i="182"/>
  <c r="U13" i="182" s="1"/>
  <c r="T66" i="182"/>
  <c r="AM65" i="182"/>
  <c r="AN65" i="182" s="1"/>
  <c r="T65" i="182"/>
  <c r="U65" i="182" s="1"/>
  <c r="T64" i="182"/>
  <c r="AM63" i="182"/>
  <c r="AN63" i="182" s="1"/>
  <c r="T63" i="182"/>
  <c r="U63" i="182" s="1"/>
  <c r="T62" i="182"/>
  <c r="AM61" i="182"/>
  <c r="AN61" i="182" s="1"/>
  <c r="T61" i="182"/>
  <c r="U61" i="182" s="1"/>
  <c r="T60" i="182"/>
  <c r="AM59" i="182"/>
  <c r="AN59" i="182" s="1"/>
  <c r="T59" i="182"/>
  <c r="U59" i="182" s="1"/>
  <c r="T58" i="182"/>
  <c r="T57" i="182"/>
  <c r="U57" i="182" s="1"/>
  <c r="T56" i="182"/>
  <c r="AM55" i="182"/>
  <c r="AN55" i="182" s="1"/>
  <c r="T55" i="182"/>
  <c r="U55" i="182" s="1"/>
  <c r="T16" i="182"/>
  <c r="AM15" i="182"/>
  <c r="AN15" i="182" s="1"/>
  <c r="T15" i="182"/>
  <c r="U15" i="182" s="1"/>
  <c r="T18" i="182"/>
  <c r="AM17" i="182"/>
  <c r="AN17" i="182" s="1"/>
  <c r="T17" i="182"/>
  <c r="U17" i="182" s="1"/>
  <c r="T54" i="182"/>
  <c r="AM53" i="182"/>
  <c r="AN53" i="182" s="1"/>
  <c r="T53" i="182"/>
  <c r="U53" i="182" s="1"/>
  <c r="T52" i="182"/>
  <c r="AM51" i="182"/>
  <c r="AN51" i="182" s="1"/>
  <c r="T51" i="182"/>
  <c r="U51" i="182" s="1"/>
  <c r="T50" i="182"/>
  <c r="AM49" i="182"/>
  <c r="AN49" i="182" s="1"/>
  <c r="T49" i="182"/>
  <c r="U49" i="182" s="1"/>
  <c r="T48" i="182"/>
  <c r="AM47" i="182"/>
  <c r="AN47" i="182" s="1"/>
  <c r="T47" i="182"/>
  <c r="U47" i="182" s="1"/>
  <c r="T46" i="182"/>
  <c r="AM45" i="182"/>
  <c r="AN45" i="182" s="1"/>
  <c r="T45" i="182"/>
  <c r="U45" i="182" s="1"/>
  <c r="T44" i="182"/>
  <c r="AM43" i="182"/>
  <c r="AN43" i="182" s="1"/>
  <c r="T43" i="182"/>
  <c r="U43" i="182" s="1"/>
  <c r="T42" i="182"/>
  <c r="AM41" i="182"/>
  <c r="AN41" i="182" s="1"/>
  <c r="T41" i="182"/>
  <c r="U41" i="182" s="1"/>
  <c r="T20" i="182"/>
  <c r="AM19" i="182"/>
  <c r="AN19" i="182" s="1"/>
  <c r="T19" i="182"/>
  <c r="U19" i="182" s="1"/>
  <c r="T12" i="182"/>
  <c r="AM11" i="182"/>
  <c r="AN11" i="182" s="1"/>
  <c r="T11" i="182"/>
  <c r="U11" i="182" s="1"/>
  <c r="T6" i="182"/>
  <c r="AD5" i="182" s="1"/>
  <c r="AM5" i="182"/>
  <c r="AN5" i="182" s="1"/>
  <c r="T5" i="182"/>
  <c r="U5" i="182" s="1"/>
  <c r="T22" i="182"/>
  <c r="T21" i="182"/>
  <c r="U21" i="182" s="1"/>
  <c r="T40" i="182"/>
  <c r="AM39" i="182"/>
  <c r="AN39" i="182" s="1"/>
  <c r="T39" i="182"/>
  <c r="U39" i="182" s="1"/>
  <c r="T38" i="182"/>
  <c r="AM37" i="182"/>
  <c r="AN37" i="182" s="1"/>
  <c r="T37" i="182"/>
  <c r="U37" i="182" s="1"/>
  <c r="T36" i="182"/>
  <c r="AM35" i="182"/>
  <c r="AN35" i="182" s="1"/>
  <c r="T35" i="182"/>
  <c r="U35" i="182" s="1"/>
  <c r="T34" i="182"/>
  <c r="AM33" i="182"/>
  <c r="AN33" i="182" s="1"/>
  <c r="T33" i="182"/>
  <c r="U33" i="182" s="1"/>
  <c r="T32" i="182"/>
  <c r="T31" i="182"/>
  <c r="U31" i="182" s="1"/>
  <c r="T30" i="182"/>
  <c r="AM29" i="182"/>
  <c r="AN29" i="182" s="1"/>
  <c r="T29" i="182"/>
  <c r="U29" i="182" s="1"/>
  <c r="T26" i="182"/>
  <c r="T25" i="182"/>
  <c r="U25" i="182" s="1"/>
  <c r="AB2" i="182"/>
  <c r="AD2" i="182" s="1"/>
  <c r="H2" i="182"/>
  <c r="L2" i="182" s="1"/>
  <c r="AA89" i="182" l="1"/>
  <c r="AB89" i="182" s="1"/>
  <c r="AC89" i="182" s="1"/>
  <c r="AA65" i="182"/>
  <c r="AB65" i="182" s="1"/>
  <c r="AC65" i="182" s="1"/>
  <c r="AA27" i="182"/>
  <c r="AB27" i="182" s="1"/>
  <c r="AC27" i="182" s="1"/>
  <c r="AA73" i="182"/>
  <c r="AB73" i="182" s="1"/>
  <c r="AC73" i="182" s="1"/>
  <c r="AA39" i="182"/>
  <c r="AB39" i="182" s="1"/>
  <c r="AC39" i="182" s="1"/>
  <c r="AA9" i="182"/>
  <c r="AB9" i="182" s="1"/>
  <c r="AC9" i="182" s="1"/>
  <c r="AA61" i="182"/>
  <c r="AB61" i="182" s="1"/>
  <c r="AC61" i="182" s="1"/>
  <c r="AA35" i="182"/>
  <c r="AB35" i="182" s="1"/>
  <c r="AC35" i="182" s="1"/>
  <c r="AA77" i="182"/>
  <c r="AB77" i="182" s="1"/>
  <c r="AC77" i="182" s="1"/>
  <c r="AA81" i="182"/>
  <c r="AB81" i="182" s="1"/>
  <c r="AC81" i="182" s="1"/>
  <c r="AA85" i="182"/>
  <c r="AB85" i="182" s="1"/>
  <c r="AC85" i="182" s="1"/>
  <c r="AA31" i="182"/>
  <c r="AB31" i="182" s="1"/>
  <c r="AC31" i="182" s="1"/>
  <c r="AA45" i="182"/>
  <c r="AB45" i="182" s="1"/>
  <c r="AC45" i="182" s="1"/>
  <c r="AA49" i="182"/>
  <c r="AB49" i="182" s="1"/>
  <c r="AC49" i="182" s="1"/>
  <c r="AA53" i="182"/>
  <c r="AB53" i="182" s="1"/>
  <c r="AC53" i="182" s="1"/>
  <c r="AA15" i="182"/>
  <c r="AB15" i="182" s="1"/>
  <c r="AC15" i="182" s="1"/>
  <c r="AA57" i="182"/>
  <c r="AB57" i="182" s="1"/>
  <c r="AC57" i="182" s="1"/>
  <c r="AA69" i="182"/>
  <c r="AB69" i="182" s="1"/>
  <c r="AC69" i="182" s="1"/>
  <c r="AA87" i="182"/>
  <c r="AB87" i="182" s="1"/>
  <c r="AC87" i="182" s="1"/>
  <c r="AA11" i="182"/>
  <c r="AB11" i="182" s="1"/>
  <c r="AC11" i="182" s="1"/>
  <c r="AA41" i="182"/>
  <c r="AB41" i="182" s="1"/>
  <c r="AC41" i="182" s="1"/>
  <c r="AA25" i="182"/>
  <c r="AB25" i="182" s="1"/>
  <c r="AC25" i="182" s="1"/>
  <c r="AA33" i="182"/>
  <c r="AB33" i="182" s="1"/>
  <c r="AC33" i="182" s="1"/>
  <c r="AA37" i="182"/>
  <c r="AB37" i="182" s="1"/>
  <c r="AC37" i="182" s="1"/>
  <c r="AA59" i="182"/>
  <c r="AB59" i="182" s="1"/>
  <c r="AC59" i="182" s="1"/>
  <c r="AA63" i="182"/>
  <c r="AB63" i="182" s="1"/>
  <c r="AC63" i="182" s="1"/>
  <c r="AA13" i="182"/>
  <c r="AB13" i="182" s="1"/>
  <c r="AC13" i="182" s="1"/>
  <c r="AA7" i="182"/>
  <c r="AB7" i="182" s="1"/>
  <c r="AC7" i="182" s="1"/>
  <c r="AA23" i="182"/>
  <c r="AB23" i="182" s="1"/>
  <c r="AC23" i="182" s="1"/>
  <c r="AA75" i="182"/>
  <c r="AB75" i="182" s="1"/>
  <c r="AC75" i="182" s="1"/>
  <c r="AA79" i="182"/>
  <c r="AB79" i="182" s="1"/>
  <c r="AC79" i="182" s="1"/>
  <c r="AA83" i="182"/>
  <c r="AB83" i="182" s="1"/>
  <c r="AC83" i="182" s="1"/>
  <c r="AA21" i="182"/>
  <c r="AB21" i="182" s="1"/>
  <c r="AC21" i="182" s="1"/>
  <c r="AA29" i="182"/>
  <c r="AB29" i="182" s="1"/>
  <c r="AC29" i="182" s="1"/>
  <c r="AA5" i="182"/>
  <c r="AB5" i="182" s="1"/>
  <c r="AC5" i="182" s="1"/>
  <c r="AA19" i="182"/>
  <c r="AB19" i="182" s="1"/>
  <c r="AC19" i="182" s="1"/>
  <c r="AA43" i="182"/>
  <c r="AB43" i="182" s="1"/>
  <c r="AC43" i="182" s="1"/>
  <c r="AA47" i="182"/>
  <c r="AB47" i="182" s="1"/>
  <c r="AC47" i="182" s="1"/>
  <c r="AA51" i="182"/>
  <c r="AB51" i="182" s="1"/>
  <c r="AC51" i="182" s="1"/>
  <c r="AA17" i="182"/>
  <c r="AB17" i="182" s="1"/>
  <c r="AC17" i="182" s="1"/>
  <c r="AA55" i="182"/>
  <c r="AB55" i="182" s="1"/>
  <c r="AC55" i="182" s="1"/>
  <c r="AA67" i="182"/>
  <c r="AB67" i="182" s="1"/>
  <c r="AC67" i="182" s="1"/>
  <c r="AA71" i="182"/>
  <c r="AB71" i="182" s="1"/>
  <c r="AC71" i="182" s="1"/>
</calcChain>
</file>

<file path=xl/comments1.xml><?xml version="1.0" encoding="utf-8"?>
<comments xmlns="http://schemas.openxmlformats.org/spreadsheetml/2006/main">
  <authors>
    <author>User-Pc</author>
  </authors>
  <commentList>
    <comment ref="B1" authorId="0" shapeId="0">
      <text>
        <r>
          <rPr>
            <b/>
            <sz val="12"/>
            <color indexed="81"/>
            <rFont val="Tahoma"/>
            <family val="2"/>
          </rPr>
          <t xml:space="preserve">&lt; LH </t>
        </r>
        <r>
          <rPr>
            <b/>
            <sz val="12"/>
            <color indexed="81"/>
            <rFont val="돋움"/>
            <family val="3"/>
            <charset val="129"/>
          </rPr>
          <t>낙찰이력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현황</t>
        </r>
        <r>
          <rPr>
            <b/>
            <sz val="12"/>
            <color indexed="81"/>
            <rFont val="Tahoma"/>
            <family val="2"/>
          </rPr>
          <t xml:space="preserve"> &gt; - </t>
        </r>
        <r>
          <rPr>
            <b/>
            <sz val="12"/>
            <color indexed="81"/>
            <rFont val="돋움"/>
            <family val="3"/>
            <charset val="129"/>
          </rPr>
          <t>①
㈜지음이엔아이</t>
        </r>
        <r>
          <rPr>
            <b/>
            <sz val="12"/>
            <color indexed="81"/>
            <rFont val="Tahoma"/>
            <family val="2"/>
          </rPr>
          <t xml:space="preserve">                                                                                                                   </t>
        </r>
        <r>
          <rPr>
            <b/>
            <sz val="12"/>
            <color indexed="81"/>
            <rFont val="돋움"/>
            <family val="3"/>
            <charset val="129"/>
          </rPr>
          <t xml:space="preserve">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2025.03.20 (9,428,462,975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충북혁신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2025.09.03 (3,979,189,607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고양장항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소방시설공사</t>
        </r>
        <r>
          <rPr>
            <b/>
            <sz val="12"/>
            <color indexed="81"/>
            <rFont val="Tahoma"/>
            <family val="2"/>
          </rPr>
          <t xml:space="preserve"> 6</t>
        </r>
        <r>
          <rPr>
            <b/>
            <sz val="12"/>
            <color indexed="81"/>
            <rFont val="돋움"/>
            <family val="3"/>
            <charset val="129"/>
          </rPr>
          <t>공구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㈜아람이엔테크</t>
        </r>
        <r>
          <rPr>
            <b/>
            <sz val="12"/>
            <color indexed="81"/>
            <rFont val="Tahoma"/>
            <family val="2"/>
          </rPr>
          <t xml:space="preserve"> 
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2025.10.16 (2,256,233,999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대전대동</t>
        </r>
        <r>
          <rPr>
            <b/>
            <sz val="12"/>
            <color indexed="81"/>
            <rFont val="Tahoma"/>
            <family val="2"/>
          </rPr>
          <t xml:space="preserve">2 </t>
        </r>
        <r>
          <rPr>
            <b/>
            <sz val="12"/>
            <color indexed="81"/>
            <rFont val="돋움"/>
            <family val="3"/>
            <charset val="129"/>
          </rPr>
          <t xml:space="preserve">소방시설공사
㈜대흥디씨티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2025.10.16 (7,187,735,979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군포대야미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㈜성전사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2025.03.06 (4,892,709,215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구리갈매역세권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2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㈜대상전력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2025.03.06 (3,914,167,372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구리갈매역세권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2</t>
        </r>
        <r>
          <rPr>
            <b/>
            <sz val="12"/>
            <color indexed="81"/>
            <rFont val="돋움"/>
            <family val="3"/>
            <charset val="129"/>
          </rPr>
          <t xml:space="preserve">공구
일렉파워㈜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2025.03.13 (9,751,734,115) - </t>
        </r>
        <r>
          <rPr>
            <b/>
            <sz val="12"/>
            <color indexed="81"/>
            <rFont val="돋움"/>
            <family val="3"/>
            <charset val="129"/>
          </rPr>
          <t>청주지북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전기공사
㈜송원이앤씨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2025.03.13 (1,950,346,823) - </t>
        </r>
        <r>
          <rPr>
            <b/>
            <sz val="12"/>
            <color indexed="81"/>
            <rFont val="돋움"/>
            <family val="3"/>
            <charset val="129"/>
          </rPr>
          <t>청주지북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
㈜부현전기</t>
        </r>
        <r>
          <rPr>
            <b/>
            <sz val="12"/>
            <color indexed="81"/>
            <rFont val="Tahoma"/>
            <family val="2"/>
          </rPr>
          <t xml:space="preserve">
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2025.10.16 (14,375,471,958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군포대야미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2025.06.25 (5,436,090,832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남양주왕숙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4</t>
        </r>
        <r>
          <rPr>
            <b/>
            <sz val="12"/>
            <color indexed="81"/>
            <rFont val="돋움"/>
            <family val="3"/>
            <charset val="129"/>
          </rPr>
          <t xml:space="preserve">공구
신신이앤씨㈜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2025.04.03 (5,135,947,500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원주무실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2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㈜도화엔지니어링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2025.03.20 (1,885,692,595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충북혁신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㈜온세이엔씨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2025.03.12(6,576,671,731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의정부우정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㈜보원엔지니어링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2025.03.12(2,818,573,599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의정부우정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공구</t>
        </r>
      </text>
    </comment>
    <comment ref="C1" authorId="0" shapeId="0">
      <text>
        <r>
          <rPr>
            <b/>
            <sz val="12"/>
            <color indexed="81"/>
            <rFont val="Tahoma"/>
            <family val="2"/>
          </rPr>
          <t xml:space="preserve">&lt; LH </t>
        </r>
        <r>
          <rPr>
            <b/>
            <sz val="12"/>
            <color indexed="81"/>
            <rFont val="돋움"/>
            <family val="3"/>
            <charset val="129"/>
          </rPr>
          <t>낙찰이력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현황</t>
        </r>
        <r>
          <rPr>
            <b/>
            <sz val="12"/>
            <color indexed="81"/>
            <rFont val="Tahoma"/>
            <family val="2"/>
          </rPr>
          <t xml:space="preserve"> &gt; - </t>
        </r>
        <r>
          <rPr>
            <b/>
            <sz val="12"/>
            <color indexed="81"/>
            <rFont val="돋움"/>
            <family val="3"/>
            <charset val="129"/>
          </rPr>
          <t xml:space="preserve">②
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유</t>
        </r>
        <r>
          <rPr>
            <b/>
            <sz val="12"/>
            <color indexed="81"/>
            <rFont val="Tahoma"/>
            <family val="2"/>
          </rPr>
          <t>)</t>
        </r>
        <r>
          <rPr>
            <b/>
            <sz val="12"/>
            <color indexed="81"/>
            <rFont val="돋움"/>
            <family val="3"/>
            <charset val="129"/>
          </rPr>
          <t xml:space="preserve">우전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2026.01.14(4,596,128,195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인천계양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4</t>
        </r>
        <r>
          <rPr>
            <b/>
            <sz val="12"/>
            <color indexed="81"/>
            <rFont val="돋움"/>
            <family val="3"/>
            <charset val="129"/>
          </rPr>
          <t xml:space="preserve">공구
대명에너지㈜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2026.01.14(919,225,639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인천계양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4</t>
        </r>
        <r>
          <rPr>
            <b/>
            <sz val="12"/>
            <color indexed="81"/>
            <rFont val="돋움"/>
            <family val="3"/>
            <charset val="129"/>
          </rPr>
          <t xml:space="preserve">공구
에스지씨이앤씨㈜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2025.12.22 - </t>
        </r>
        <r>
          <rPr>
            <b/>
            <sz val="12"/>
            <color indexed="81"/>
            <rFont val="돋움"/>
            <family val="3"/>
            <charset val="129"/>
          </rPr>
          <t>시흥거모</t>
        </r>
        <r>
          <rPr>
            <b/>
            <sz val="12"/>
            <color indexed="81"/>
            <rFont val="Tahoma"/>
            <family val="2"/>
          </rPr>
          <t xml:space="preserve"> A-7BL </t>
        </r>
        <r>
          <rPr>
            <b/>
            <sz val="12"/>
            <color indexed="81"/>
            <rFont val="돋움"/>
            <family val="3"/>
            <charset val="129"/>
          </rPr>
          <t>아파트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건설공사</t>
        </r>
        <r>
          <rPr>
            <b/>
            <sz val="12"/>
            <color indexed="81"/>
            <rFont val="Tahoma"/>
            <family val="2"/>
          </rPr>
          <t xml:space="preserve"> 5</t>
        </r>
        <r>
          <rPr>
            <b/>
            <sz val="12"/>
            <color indexed="81"/>
            <rFont val="돋움"/>
            <family val="3"/>
            <charset val="129"/>
          </rPr>
          <t xml:space="preserve">공구
일성건설㈜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2025.12.22 - </t>
        </r>
        <r>
          <rPr>
            <b/>
            <sz val="12"/>
            <color indexed="81"/>
            <rFont val="돋움"/>
            <family val="3"/>
            <charset val="129"/>
          </rPr>
          <t>경산대임</t>
        </r>
        <r>
          <rPr>
            <b/>
            <sz val="12"/>
            <color indexed="81"/>
            <rFont val="Tahoma"/>
            <family val="2"/>
          </rPr>
          <t xml:space="preserve"> A-3BL </t>
        </r>
        <r>
          <rPr>
            <b/>
            <sz val="12"/>
            <color indexed="81"/>
            <rFont val="돋움"/>
            <family val="3"/>
            <charset val="129"/>
          </rPr>
          <t>아파트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건설공사</t>
        </r>
        <r>
          <rPr>
            <b/>
            <sz val="12"/>
            <color indexed="81"/>
            <rFont val="Tahoma"/>
            <family val="2"/>
          </rPr>
          <t xml:space="preserve"> 3</t>
        </r>
        <r>
          <rPr>
            <b/>
            <sz val="12"/>
            <color indexed="81"/>
            <rFont val="돋움"/>
            <family val="3"/>
            <charset val="129"/>
          </rPr>
          <t>공구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 xml:space="preserve">㈜대광건영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2025.12.16 - </t>
        </r>
        <r>
          <rPr>
            <b/>
            <sz val="12"/>
            <color indexed="81"/>
            <rFont val="돋움"/>
            <family val="3"/>
            <charset val="129"/>
          </rPr>
          <t>수원당수</t>
        </r>
        <r>
          <rPr>
            <b/>
            <sz val="12"/>
            <color indexed="81"/>
            <rFont val="Tahoma"/>
            <family val="2"/>
          </rPr>
          <t xml:space="preserve"> B-3BL </t>
        </r>
        <r>
          <rPr>
            <b/>
            <sz val="12"/>
            <color indexed="81"/>
            <rFont val="돋움"/>
            <family val="3"/>
            <charset val="129"/>
          </rPr>
          <t>아파트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건설공사</t>
        </r>
        <r>
          <rPr>
            <b/>
            <sz val="12"/>
            <color indexed="81"/>
            <rFont val="Tahoma"/>
            <family val="2"/>
          </rPr>
          <t xml:space="preserve"> 7</t>
        </r>
        <r>
          <rPr>
            <b/>
            <sz val="12"/>
            <color indexed="81"/>
            <rFont val="돋움"/>
            <family val="3"/>
            <charset val="129"/>
          </rPr>
          <t>공구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 xml:space="preserve">㈜녹십자이엠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2025.11.12</t>
        </r>
      </text>
    </comment>
    <comment ref="AF4" authorId="0" shapeId="0">
      <text>
        <r>
          <rPr>
            <b/>
            <sz val="11"/>
            <color indexed="81"/>
            <rFont val="돋움"/>
            <family val="3"/>
            <charset val="129"/>
          </rPr>
          <t>배치기술자</t>
        </r>
        <r>
          <rPr>
            <b/>
            <sz val="11"/>
            <color indexed="81"/>
            <rFont val="Tahoma"/>
            <family val="2"/>
          </rPr>
          <t xml:space="preserve">(10)
</t>
        </r>
        <r>
          <rPr>
            <b/>
            <sz val="11"/>
            <color indexed="81"/>
            <rFont val="돋움"/>
            <family val="3"/>
            <charset val="129"/>
          </rPr>
          <t>규모별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시공역량</t>
        </r>
        <r>
          <rPr>
            <b/>
            <sz val="11"/>
            <color indexed="81"/>
            <rFont val="Tahoma"/>
            <family val="2"/>
          </rPr>
          <t>(1)</t>
        </r>
        <r>
          <rPr>
            <b/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돋움"/>
            <family val="3"/>
            <charset val="129"/>
          </rPr>
          <t>공동수급체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구성</t>
        </r>
        <r>
          <rPr>
            <b/>
            <sz val="11"/>
            <color indexed="81"/>
            <rFont val="Tahoma"/>
            <family val="2"/>
          </rPr>
          <t xml:space="preserve">(4)
</t>
        </r>
        <r>
          <rPr>
            <b/>
            <sz val="11"/>
            <color indexed="81"/>
            <rFont val="돋움"/>
            <family val="3"/>
            <charset val="129"/>
          </rPr>
          <t>안전관리역량</t>
        </r>
        <r>
          <rPr>
            <b/>
            <sz val="11"/>
            <color indexed="81"/>
            <rFont val="Tahoma"/>
            <family val="2"/>
          </rPr>
          <t xml:space="preserve">(2)
</t>
        </r>
      </text>
    </comment>
  </commentList>
</comments>
</file>

<file path=xl/sharedStrings.xml><?xml version="1.0" encoding="utf-8"?>
<sst xmlns="http://schemas.openxmlformats.org/spreadsheetml/2006/main" count="106" uniqueCount="53">
  <si>
    <t>시공비율계산</t>
  </si>
  <si>
    <t>구성원3</t>
  </si>
  <si>
    <t>구성원4</t>
  </si>
  <si>
    <t>추정가격</t>
    <phoneticPr fontId="3" type="noConversion"/>
  </si>
  <si>
    <t>시공비율기준</t>
    <phoneticPr fontId="3" type="noConversion"/>
  </si>
  <si>
    <t>소방    시평</t>
    <phoneticPr fontId="3" type="noConversion"/>
  </si>
  <si>
    <t>시공능력</t>
    <phoneticPr fontId="3" type="noConversion"/>
  </si>
  <si>
    <t>시평기준</t>
    <phoneticPr fontId="3" type="noConversion"/>
  </si>
  <si>
    <t>참여가능비율</t>
    <phoneticPr fontId="3" type="noConversion"/>
  </si>
  <si>
    <t>내역작업:</t>
    <phoneticPr fontId="3" type="noConversion"/>
  </si>
  <si>
    <t>기초금액</t>
    <phoneticPr fontId="3" type="noConversion"/>
  </si>
  <si>
    <t>실적평가(설계금액)</t>
    <phoneticPr fontId="3" type="noConversion"/>
  </si>
  <si>
    <t>실적    만점</t>
    <phoneticPr fontId="3" type="noConversion"/>
  </si>
  <si>
    <t>3배수</t>
    <phoneticPr fontId="3" type="noConversion"/>
  </si>
  <si>
    <t>투찰금액</t>
    <phoneticPr fontId="3" type="noConversion"/>
  </si>
  <si>
    <t>연번</t>
    <phoneticPr fontId="3" type="noConversion"/>
  </si>
  <si>
    <t>컨소연락(*:확정)</t>
    <phoneticPr fontId="3" type="noConversion"/>
  </si>
  <si>
    <t>업 체 명</t>
    <phoneticPr fontId="3" type="noConversion"/>
  </si>
  <si>
    <t>지 분</t>
    <phoneticPr fontId="3" type="noConversion"/>
  </si>
  <si>
    <t>합산지분</t>
    <phoneticPr fontId="3" type="noConversion"/>
  </si>
  <si>
    <t>경영상태</t>
    <phoneticPr fontId="3" type="noConversion"/>
  </si>
  <si>
    <t>적 격 예 상 점 수</t>
    <phoneticPr fontId="3" type="noConversion"/>
  </si>
  <si>
    <t>투찰율[%]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</si>
  <si>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</si>
  <si>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</si>
  <si>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</si>
  <si>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A금액(가격심사제외 금액)</t>
    <phoneticPr fontId="3" type="noConversion"/>
  </si>
  <si>
    <t>업체별금액차이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</si>
  <si>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</si>
  <si>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</si>
  <si>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</si>
  <si>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</si>
  <si>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</si>
  <si>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비고</t>
    <phoneticPr fontId="3" type="noConversion"/>
  </si>
  <si>
    <t>구성원1</t>
    <phoneticPr fontId="3" type="noConversion"/>
  </si>
  <si>
    <t>대표사</t>
    <phoneticPr fontId="3" type="noConversion"/>
  </si>
  <si>
    <r>
      <rPr>
        <sz val="10"/>
        <color theme="1"/>
        <rFont val="굴림체"/>
        <family val="3"/>
        <charset val="129"/>
      </rPr>
      <t>경영계산</t>
    </r>
    <r>
      <rPr>
        <sz val="10"/>
        <color indexed="10"/>
        <rFont val="굴림체"/>
        <family val="3"/>
        <charset val="129"/>
      </rPr>
      <t xml:space="preserve">
품질점수</t>
    </r>
    <phoneticPr fontId="3" type="noConversion"/>
  </si>
  <si>
    <t>경영점수(8점)</t>
    <phoneticPr fontId="3" type="noConversion"/>
  </si>
  <si>
    <t>실적계수</t>
    <phoneticPr fontId="3" type="noConversion"/>
  </si>
  <si>
    <t>실적점수</t>
    <phoneticPr fontId="3" type="noConversion"/>
  </si>
  <si>
    <t>실적점수(11점)</t>
    <phoneticPr fontId="3" type="noConversion"/>
  </si>
  <si>
    <t>품질
평가
(4점)</t>
    <phoneticPr fontId="3" type="noConversion"/>
  </si>
  <si>
    <t>지역
경제 (0.3점)</t>
    <phoneticPr fontId="3" type="noConversion"/>
  </si>
  <si>
    <t>기타점수
(17점)</t>
    <phoneticPr fontId="3" type="noConversion"/>
  </si>
  <si>
    <t>예상점수</t>
    <phoneticPr fontId="3" type="noConversion"/>
  </si>
  <si>
    <t>적격점수</t>
    <phoneticPr fontId="3" type="noConversion"/>
  </si>
  <si>
    <t>94점이상:4점 / 91점이상:3.9점 / 88점이상:3.8점</t>
    <phoneticPr fontId="3" type="noConversion"/>
  </si>
  <si>
    <t>낙찰이력
①</t>
    <phoneticPr fontId="3" type="noConversion"/>
  </si>
  <si>
    <t>낙찰이력
②</t>
    <phoneticPr fontId="3" type="noConversion"/>
  </si>
  <si>
    <t>전국</t>
    <phoneticPr fontId="3" type="noConversion"/>
  </si>
  <si>
    <t>공사수행능력점수</t>
  </si>
  <si>
    <t>날짜</t>
    <phoneticPr fontId="3" type="noConversion"/>
  </si>
  <si>
    <t>입찰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</si>
</sst>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0_-;\-* #,##0.00_-;_-* &quot;-&quot;_-;_-@_-"/>
    <numFmt numFmtId="178" formatCode="_-* #,##0.0_-;\-* #,##0.0_-;_-* &quot;-&quot;_-;_-@_-"/>
    <numFmt numFmtId="179" formatCode="0.000%"/>
    <numFmt numFmtId="180" formatCode="0.0000%"/>
    <numFmt numFmtId="181" formatCode="_-* #,##0.000_-;\-* #,##0.000_-;_-* &quot;-&quot;_-;_-@_-"/>
    <numFmt numFmtId="182" formatCode="_-* #,##0.0000_-;\-* #,##0.0000_-;_-* &quot;-&quot;_-;_-@_-"/>
    <numFmt numFmtId="183" formatCode="_-* #,##0_-;\-* #,##0_-;_-* \-_-;_-@_-"/>
    <numFmt numFmtId="184" formatCode="0.000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8"/>
      <name val="굴림체"/>
      <family val="3"/>
      <charset val="129"/>
    </font>
    <font>
      <b/>
      <sz val="1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12"/>
      <name val="굴림체"/>
      <family val="3"/>
      <charset val="129"/>
    </font>
    <font>
      <sz val="10"/>
      <color indexed="1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2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sz val="11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3" fontId="1" fillId="0" borderId="0" applyBorder="0" applyProtection="0">
      <alignment vertical="center"/>
    </xf>
    <xf numFmtId="9" fontId="1" fillId="0" borderId="0" applyBorder="0" applyProtection="0">
      <alignment vertical="center"/>
    </xf>
  </cellStyleXfs>
  <cellXfs count="18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1" fontId="5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41" fontId="4" fillId="2" borderId="0" xfId="1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41" fontId="7" fillId="2" borderId="14" xfId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41" fontId="5" fillId="2" borderId="16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7" fillId="3" borderId="20" xfId="0" applyFont="1" applyFill="1" applyBorder="1" applyAlignment="1">
      <alignment horizontal="center" vertical="center"/>
    </xf>
    <xf numFmtId="41" fontId="2" fillId="2" borderId="0" xfId="1" applyFont="1" applyFill="1" applyAlignment="1">
      <alignment vertical="center" wrapText="1"/>
    </xf>
    <xf numFmtId="0" fontId="7" fillId="3" borderId="27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 shrinkToFit="1"/>
    </xf>
    <xf numFmtId="3" fontId="11" fillId="3" borderId="27" xfId="0" applyNumberFormat="1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left" vertical="center" wrapText="1" shrinkToFit="1"/>
    </xf>
    <xf numFmtId="0" fontId="7" fillId="0" borderId="45" xfId="0" applyFont="1" applyBorder="1" applyAlignment="1">
      <alignment horizontal="left" vertical="center" wrapText="1" shrinkToFit="1"/>
    </xf>
    <xf numFmtId="176" fontId="7" fillId="0" borderId="46" xfId="0" applyNumberFormat="1" applyFont="1" applyBorder="1" applyAlignment="1">
      <alignment horizontal="center" vertical="center"/>
    </xf>
    <xf numFmtId="176" fontId="7" fillId="0" borderId="43" xfId="0" applyNumberFormat="1" applyFont="1" applyBorder="1" applyAlignment="1">
      <alignment horizontal="center" vertical="center"/>
    </xf>
    <xf numFmtId="178" fontId="7" fillId="0" borderId="46" xfId="1" applyNumberFormat="1" applyFont="1" applyFill="1" applyBorder="1">
      <alignment vertical="center"/>
    </xf>
    <xf numFmtId="178" fontId="7" fillId="0" borderId="43" xfId="1" applyNumberFormat="1" applyFont="1" applyFill="1" applyBorder="1">
      <alignment vertical="center"/>
    </xf>
    <xf numFmtId="177" fontId="7" fillId="0" borderId="43" xfId="1" applyNumberFormat="1" applyFont="1" applyFill="1" applyBorder="1">
      <alignment vertical="center"/>
    </xf>
    <xf numFmtId="177" fontId="7" fillId="6" borderId="43" xfId="1" applyNumberFormat="1" applyFont="1" applyFill="1" applyBorder="1">
      <alignment vertical="center"/>
    </xf>
    <xf numFmtId="41" fontId="7" fillId="0" borderId="43" xfId="1" applyFont="1" applyFill="1" applyBorder="1" applyAlignment="1">
      <alignment vertical="center" wrapText="1" shrinkToFit="1"/>
    </xf>
    <xf numFmtId="177" fontId="7" fillId="7" borderId="46" xfId="1" applyNumberFormat="1" applyFont="1" applyFill="1" applyBorder="1">
      <alignment vertical="center"/>
    </xf>
    <xf numFmtId="179" fontId="7" fillId="0" borderId="43" xfId="2" applyNumberFormat="1" applyFont="1" applyFill="1" applyBorder="1" applyAlignment="1">
      <alignment vertical="center"/>
    </xf>
    <xf numFmtId="43" fontId="5" fillId="0" borderId="43" xfId="0" applyNumberFormat="1" applyFont="1" applyBorder="1">
      <alignment vertical="center"/>
    </xf>
    <xf numFmtId="180" fontId="7" fillId="0" borderId="43" xfId="2" applyNumberFormat="1" applyFont="1" applyFill="1" applyBorder="1">
      <alignment vertical="center"/>
    </xf>
    <xf numFmtId="179" fontId="7" fillId="0" borderId="43" xfId="2" applyNumberFormat="1" applyFont="1" applyFill="1" applyBorder="1">
      <alignment vertical="center"/>
    </xf>
    <xf numFmtId="41" fontId="13" fillId="0" borderId="43" xfId="1" applyFont="1" applyFill="1" applyBorder="1">
      <alignment vertical="center"/>
    </xf>
    <xf numFmtId="41" fontId="7" fillId="2" borderId="46" xfId="1" applyFont="1" applyFill="1" applyBorder="1" applyAlignment="1">
      <alignment vertical="center" wrapText="1"/>
    </xf>
    <xf numFmtId="41" fontId="7" fillId="0" borderId="9" xfId="1" applyFont="1" applyFill="1" applyBorder="1" applyAlignment="1">
      <alignment vertical="center" wrapText="1" shrinkToFit="1"/>
    </xf>
    <xf numFmtId="0" fontId="7" fillId="0" borderId="44" xfId="0" applyFont="1" applyBorder="1" applyAlignment="1">
      <alignment horizontal="left" vertical="center" wrapText="1" shrinkToFit="1"/>
    </xf>
    <xf numFmtId="0" fontId="7" fillId="0" borderId="9" xfId="0" applyFont="1" applyBorder="1" applyAlignment="1">
      <alignment horizontal="left" vertical="center" wrapText="1" shrinkToFit="1"/>
    </xf>
    <xf numFmtId="0" fontId="12" fillId="0" borderId="43" xfId="0" applyFont="1" applyBorder="1" applyAlignment="1">
      <alignment horizontal="left" vertical="center" wrapText="1" shrinkToFit="1"/>
    </xf>
    <xf numFmtId="0" fontId="12" fillId="0" borderId="45" xfId="0" applyFont="1" applyBorder="1" applyAlignment="1">
      <alignment horizontal="left" vertical="center" wrapText="1" shrinkToFit="1"/>
    </xf>
    <xf numFmtId="10" fontId="7" fillId="0" borderId="46" xfId="0" applyNumberFormat="1" applyFont="1" applyBorder="1" applyAlignment="1">
      <alignment horizontal="center" vertical="center"/>
    </xf>
    <xf numFmtId="0" fontId="11" fillId="0" borderId="45" xfId="0" applyFont="1" applyBorder="1" applyAlignment="1">
      <alignment horizontal="left" vertical="center" wrapText="1" shrinkToFit="1"/>
    </xf>
    <xf numFmtId="0" fontId="7" fillId="0" borderId="50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left" vertical="center" wrapText="1" shrinkToFit="1"/>
    </xf>
    <xf numFmtId="10" fontId="7" fillId="0" borderId="43" xfId="0" applyNumberFormat="1" applyFont="1" applyBorder="1" applyAlignment="1">
      <alignment horizontal="center" vertical="center"/>
    </xf>
    <xf numFmtId="177" fontId="7" fillId="0" borderId="46" xfId="1" applyNumberFormat="1" applyFont="1" applyFill="1" applyBorder="1">
      <alignment vertical="center"/>
    </xf>
    <xf numFmtId="0" fontId="7" fillId="0" borderId="43" xfId="0" applyFont="1" applyBorder="1" applyAlignment="1">
      <alignment horizontal="center" vertical="center" wrapText="1"/>
    </xf>
    <xf numFmtId="176" fontId="7" fillId="0" borderId="52" xfId="0" applyNumberFormat="1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wrapText="1" shrinkToFit="1"/>
    </xf>
    <xf numFmtId="0" fontId="2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182" fontId="10" fillId="0" borderId="43" xfId="1" applyNumberFormat="1" applyFont="1" applyFill="1" applyBorder="1">
      <alignment vertical="center"/>
    </xf>
    <xf numFmtId="182" fontId="7" fillId="6" borderId="43" xfId="1" applyNumberFormat="1" applyFont="1" applyFill="1" applyBorder="1">
      <alignment vertical="center"/>
    </xf>
    <xf numFmtId="181" fontId="7" fillId="6" borderId="43" xfId="1" applyNumberFormat="1" applyFont="1" applyFill="1" applyBorder="1">
      <alignment vertical="center"/>
    </xf>
    <xf numFmtId="0" fontId="15" fillId="2" borderId="0" xfId="0" applyFont="1" applyFill="1">
      <alignment vertical="center"/>
    </xf>
    <xf numFmtId="177" fontId="12" fillId="0" borderId="43" xfId="1" applyNumberFormat="1" applyFont="1" applyFill="1" applyBorder="1">
      <alignment vertical="center"/>
    </xf>
    <xf numFmtId="181" fontId="7" fillId="0" borderId="43" xfId="1" applyNumberFormat="1" applyFont="1" applyFill="1" applyBorder="1">
      <alignment vertical="center"/>
    </xf>
    <xf numFmtId="181" fontId="10" fillId="0" borderId="43" xfId="1" applyNumberFormat="1" applyFont="1" applyFill="1" applyBorder="1">
      <alignment vertical="center"/>
    </xf>
    <xf numFmtId="0" fontId="12" fillId="0" borderId="52" xfId="0" applyFont="1" applyBorder="1" applyAlignment="1">
      <alignment horizontal="left" vertical="center" wrapText="1" shrinkToFit="1"/>
    </xf>
    <xf numFmtId="0" fontId="7" fillId="2" borderId="15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10" fontId="7" fillId="0" borderId="53" xfId="0" applyNumberFormat="1" applyFont="1" applyBorder="1" applyAlignment="1">
      <alignment horizontal="center" vertical="center"/>
    </xf>
    <xf numFmtId="176" fontId="7" fillId="0" borderId="53" xfId="0" applyNumberFormat="1" applyFont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0" fontId="7" fillId="0" borderId="50" xfId="0" applyFont="1" applyFill="1" applyBorder="1" applyAlignment="1">
      <alignment horizontal="center" vertical="center" wrapText="1"/>
    </xf>
    <xf numFmtId="176" fontId="7" fillId="0" borderId="43" xfId="0" applyNumberFormat="1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left" vertical="center" wrapText="1" shrinkToFit="1"/>
    </xf>
    <xf numFmtId="10" fontId="7" fillId="0" borderId="46" xfId="0" applyNumberFormat="1" applyFont="1" applyFill="1" applyBorder="1" applyAlignment="1">
      <alignment horizontal="center" vertical="center"/>
    </xf>
    <xf numFmtId="10" fontId="7" fillId="0" borderId="43" xfId="0" applyNumberFormat="1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left" vertical="center" wrapText="1" shrinkToFit="1"/>
    </xf>
    <xf numFmtId="0" fontId="10" fillId="0" borderId="39" xfId="0" applyFont="1" applyBorder="1" applyAlignment="1">
      <alignment horizontal="center" vertical="center" wrapText="1" shrinkToFit="1"/>
    </xf>
    <xf numFmtId="0" fontId="7" fillId="6" borderId="40" xfId="0" applyFont="1" applyFill="1" applyBorder="1" applyAlignment="1">
      <alignment horizontal="center" vertical="center" wrapText="1" shrinkToFit="1"/>
    </xf>
    <xf numFmtId="0" fontId="10" fillId="0" borderId="55" xfId="0" applyFont="1" applyBorder="1" applyAlignment="1">
      <alignment horizontal="center" vertical="center" wrapText="1" shrinkToFit="1"/>
    </xf>
    <xf numFmtId="0" fontId="7" fillId="9" borderId="57" xfId="0" applyFont="1" applyFill="1" applyBorder="1" applyAlignment="1">
      <alignment horizontal="center" vertical="center" wrapText="1" shrinkToFit="1"/>
    </xf>
    <xf numFmtId="0" fontId="7" fillId="7" borderId="57" xfId="0" applyFont="1" applyFill="1" applyBorder="1" applyAlignment="1">
      <alignment horizontal="center" vertical="center" wrapText="1" shrinkToFit="1"/>
    </xf>
    <xf numFmtId="177" fontId="7" fillId="9" borderId="46" xfId="1" applyNumberFormat="1" applyFont="1" applyFill="1" applyBorder="1">
      <alignment vertical="center"/>
    </xf>
    <xf numFmtId="0" fontId="9" fillId="8" borderId="0" xfId="0" applyFont="1" applyFill="1" applyAlignment="1">
      <alignment vertical="center"/>
    </xf>
    <xf numFmtId="0" fontId="21" fillId="8" borderId="0" xfId="0" applyFont="1" applyFill="1" applyAlignment="1">
      <alignment horizontal="center" vertical="center" wrapText="1"/>
    </xf>
    <xf numFmtId="176" fontId="7" fillId="0" borderId="53" xfId="0" applyNumberFormat="1" applyFont="1" applyFill="1" applyBorder="1" applyAlignment="1">
      <alignment horizontal="center" vertical="center"/>
    </xf>
    <xf numFmtId="10" fontId="7" fillId="0" borderId="53" xfId="0" applyNumberFormat="1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10" fontId="7" fillId="0" borderId="52" xfId="0" applyNumberFormat="1" applyFont="1" applyBorder="1" applyAlignment="1">
      <alignment horizontal="center" vertical="center"/>
    </xf>
    <xf numFmtId="0" fontId="7" fillId="10" borderId="43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16" fillId="10" borderId="53" xfId="0" applyFont="1" applyFill="1" applyBorder="1" applyAlignment="1">
      <alignment horizontal="left" vertical="center" wrapText="1" shrinkToFit="1"/>
    </xf>
    <xf numFmtId="178" fontId="7" fillId="10" borderId="46" xfId="1" applyNumberFormat="1" applyFont="1" applyFill="1" applyBorder="1">
      <alignment vertical="center"/>
    </xf>
    <xf numFmtId="178" fontId="7" fillId="10" borderId="43" xfId="1" applyNumberFormat="1" applyFont="1" applyFill="1" applyBorder="1">
      <alignment vertical="center"/>
    </xf>
    <xf numFmtId="177" fontId="7" fillId="10" borderId="46" xfId="1" applyNumberFormat="1" applyFont="1" applyFill="1" applyBorder="1">
      <alignment vertical="center"/>
    </xf>
    <xf numFmtId="177" fontId="7" fillId="10" borderId="43" xfId="1" applyNumberFormat="1" applyFont="1" applyFill="1" applyBorder="1">
      <alignment vertical="center"/>
    </xf>
    <xf numFmtId="0" fontId="16" fillId="10" borderId="9" xfId="0" applyFont="1" applyFill="1" applyBorder="1" applyAlignment="1">
      <alignment horizontal="left" vertical="center" wrapText="1" shrinkToFit="1"/>
    </xf>
    <xf numFmtId="0" fontId="16" fillId="10" borderId="43" xfId="0" applyFont="1" applyFill="1" applyBorder="1" applyAlignment="1">
      <alignment horizontal="left" vertical="center" wrapText="1" shrinkToFit="1"/>
    </xf>
    <xf numFmtId="0" fontId="7" fillId="2" borderId="3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1" fontId="5" fillId="2" borderId="2" xfId="1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5" xfId="1" applyFont="1" applyFill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8" xfId="1" applyFont="1" applyFill="1" applyBorder="1" applyAlignment="1">
      <alignment horizontal="center" vertical="center"/>
    </xf>
    <xf numFmtId="41" fontId="7" fillId="2" borderId="17" xfId="1" applyFont="1" applyFill="1" applyBorder="1" applyAlignment="1">
      <alignment horizontal="center" vertical="center"/>
    </xf>
    <xf numFmtId="41" fontId="7" fillId="2" borderId="18" xfId="1" applyFont="1" applyFill="1" applyBorder="1" applyAlignment="1">
      <alignment horizontal="center" vertical="center"/>
    </xf>
    <xf numFmtId="41" fontId="7" fillId="2" borderId="15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180" fontId="9" fillId="2" borderId="17" xfId="2" applyNumberFormat="1" applyFont="1" applyFill="1" applyBorder="1" applyAlignment="1">
      <alignment horizontal="center" vertical="center"/>
    </xf>
    <xf numFmtId="180" fontId="9" fillId="2" borderId="54" xfId="2" applyNumberFormat="1" applyFont="1" applyFill="1" applyBorder="1" applyAlignment="1">
      <alignment horizontal="center" vertical="center"/>
    </xf>
    <xf numFmtId="180" fontId="9" fillId="2" borderId="18" xfId="2" applyNumberFormat="1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41" fontId="5" fillId="2" borderId="12" xfId="1" applyFont="1" applyFill="1" applyBorder="1" applyAlignment="1">
      <alignment horizontal="center" vertical="center"/>
    </xf>
    <xf numFmtId="41" fontId="5" fillId="2" borderId="13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41" fontId="7" fillId="2" borderId="12" xfId="1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11" fillId="0" borderId="2" xfId="0" applyFont="1" applyFill="1" applyBorder="1" applyAlignment="1">
      <alignment horizontal="center" vertical="center" wrapText="1" shrinkToFit="1"/>
    </xf>
    <xf numFmtId="0" fontId="11" fillId="0" borderId="47" xfId="0" applyFont="1" applyFill="1" applyBorder="1" applyAlignment="1">
      <alignment horizontal="center" vertical="center" wrapText="1" shrinkToFit="1"/>
    </xf>
    <xf numFmtId="0" fontId="11" fillId="0" borderId="51" xfId="0" applyFont="1" applyFill="1" applyBorder="1" applyAlignment="1">
      <alignment horizontal="center" vertical="center" wrapText="1" shrinkToFit="1"/>
    </xf>
    <xf numFmtId="0" fontId="7" fillId="2" borderId="22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41" fontId="7" fillId="5" borderId="8" xfId="1" applyFont="1" applyFill="1" applyBorder="1" applyAlignment="1">
      <alignment horizontal="center" vertical="center" wrapText="1"/>
    </xf>
    <xf numFmtId="41" fontId="7" fillId="5" borderId="41" xfId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 shrinkToFit="1"/>
    </xf>
    <xf numFmtId="0" fontId="11" fillId="10" borderId="47" xfId="0" applyFont="1" applyFill="1" applyBorder="1" applyAlignment="1">
      <alignment horizontal="center" vertical="center" wrapText="1" shrinkToFit="1"/>
    </xf>
    <xf numFmtId="0" fontId="11" fillId="10" borderId="51" xfId="0" applyFont="1" applyFill="1" applyBorder="1" applyAlignment="1">
      <alignment horizontal="center" vertical="center" wrapText="1" shrinkToFit="1"/>
    </xf>
    <xf numFmtId="0" fontId="7" fillId="2" borderId="3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80" fontId="9" fillId="2" borderId="0" xfId="2" applyNumberFormat="1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 wrapText="1" shrinkToFit="1"/>
    </xf>
    <xf numFmtId="0" fontId="7" fillId="2" borderId="58" xfId="0" applyFont="1" applyFill="1" applyBorder="1" applyAlignment="1">
      <alignment horizontal="center" vertical="center" shrinkToFit="1"/>
    </xf>
    <xf numFmtId="0" fontId="7" fillId="2" borderId="33" xfId="0" applyFont="1" applyFill="1" applyBorder="1" applyAlignment="1">
      <alignment horizontal="center" vertical="center" shrinkToFit="1"/>
    </xf>
    <xf numFmtId="0" fontId="7" fillId="2" borderId="33" xfId="0" applyFont="1" applyFill="1" applyBorder="1" applyAlignment="1">
      <alignment horizontal="center" vertical="center" wrapText="1" shrinkToFit="1"/>
    </xf>
    <xf numFmtId="181" fontId="16" fillId="0" borderId="45" xfId="0" applyNumberFormat="1" applyFont="1" applyBorder="1" applyAlignment="1">
      <alignment vertical="center"/>
    </xf>
    <xf numFmtId="22" fontId="4" fillId="2" borderId="19" xfId="1" applyNumberFormat="1" applyFont="1" applyFill="1" applyBorder="1" applyAlignment="1">
      <alignment vertical="center"/>
    </xf>
    <xf numFmtId="0" fontId="7" fillId="2" borderId="5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48" xfId="0" applyNumberFormat="1" applyFont="1" applyBorder="1" applyAlignment="1">
      <alignment horizontal="center" vertical="center"/>
    </xf>
    <xf numFmtId="22" fontId="6" fillId="2" borderId="19" xfId="0" applyNumberFormat="1" applyFont="1" applyFill="1" applyBorder="1" applyAlignment="1">
      <alignment horizontal="center" vertical="center"/>
    </xf>
    <xf numFmtId="184" fontId="16" fillId="0" borderId="22" xfId="0" applyNumberFormat="1" applyFont="1" applyBorder="1" applyAlignment="1">
      <alignment horizontal="center" vertical="center"/>
    </xf>
    <xf numFmtId="184" fontId="16" fillId="0" borderId="48" xfId="0" applyNumberFormat="1" applyFont="1" applyBorder="1" applyAlignment="1">
      <alignment horizontal="center" vertical="center"/>
    </xf>
    <xf numFmtId="181" fontId="7" fillId="0" borderId="45" xfId="0" applyNumberFormat="1" applyFont="1" applyBorder="1" applyAlignment="1">
      <alignment vertical="center"/>
    </xf>
    <xf numFmtId="177" fontId="7" fillId="6" borderId="45" xfId="0" applyNumberFormat="1" applyFont="1" applyFill="1" applyBorder="1" applyAlignment="1">
      <alignment vertical="center"/>
    </xf>
    <xf numFmtId="184" fontId="11" fillId="0" borderId="60" xfId="0" applyNumberFormat="1" applyFont="1" applyBorder="1" applyAlignment="1">
      <alignment horizontal="center" vertical="center"/>
    </xf>
    <xf numFmtId="181" fontId="11" fillId="0" borderId="45" xfId="0" applyNumberFormat="1" applyFont="1" applyBorder="1" applyAlignment="1">
      <alignment vertical="center"/>
    </xf>
    <xf numFmtId="184" fontId="11" fillId="0" borderId="45" xfId="0" applyNumberFormat="1" applyFont="1" applyBorder="1" applyAlignment="1">
      <alignment horizontal="center" vertical="center"/>
    </xf>
  </cellXfs>
  <cellStyles count="5">
    <cellStyle name="Excel Built-in Comma [0]" xfId="3"/>
    <cellStyle name="백분율" xfId="2" builtinId="5"/>
    <cellStyle name="백분율 2" xfId="4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O90"/>
  <sheetViews>
    <sheetView showZeros="0" tabSelected="1" view="pageBreakPreview" zoomScale="80" zoomScaleNormal="80" zoomScaleSheetLayoutView="80" workbookViewId="0">
      <selection activeCell="L5" sqref="L5"/>
    </sheetView>
  </sheetViews>
  <sheetFormatPr defaultColWidth="8.88671875" defaultRowHeight="13.5" x14ac:dyDescent="0.15"/>
  <cols>
    <col min="1" max="1" width="2.88671875" style="63" customWidth="1"/>
    <col min="2" max="2" width="8.44140625" style="64" customWidth="1"/>
    <col min="3" max="3" width="8.88671875" style="16" customWidth="1"/>
    <col min="4" max="4" width="8.88671875" style="1" customWidth="1"/>
    <col min="5" max="6" width="10" style="1" customWidth="1"/>
    <col min="7" max="7" width="8.21875" style="1" customWidth="1"/>
    <col min="8" max="8" width="7.5546875" style="1" customWidth="1"/>
    <col min="9" max="13" width="8.33203125" style="1" customWidth="1"/>
    <col min="14" max="19" width="7.5546875" style="1" customWidth="1"/>
    <col min="20" max="20" width="9.33203125" style="1" customWidth="1"/>
    <col min="21" max="21" width="7.44140625" style="62" customWidth="1"/>
    <col min="22" max="26" width="8.109375" style="1" customWidth="1"/>
    <col min="27" max="27" width="8.44140625" style="1" customWidth="1"/>
    <col min="28" max="28" width="8.77734375" style="1" customWidth="1"/>
    <col min="29" max="29" width="8.88671875" style="1" customWidth="1"/>
    <col min="30" max="30" width="7" style="1" customWidth="1"/>
    <col min="31" max="31" width="7.21875" style="1" customWidth="1"/>
    <col min="32" max="33" width="7.6640625" style="68" customWidth="1"/>
    <col min="34" max="34" width="7.88671875" style="1" customWidth="1"/>
    <col min="35" max="35" width="7.5546875" style="1" customWidth="1"/>
    <col min="36" max="36" width="8.44140625" style="1" customWidth="1"/>
    <col min="37" max="37" width="5.109375" style="1" customWidth="1"/>
    <col min="38" max="38" width="7" style="1" customWidth="1"/>
    <col min="39" max="39" width="8.6640625" style="1" customWidth="1"/>
    <col min="40" max="40" width="20.33203125" style="1" customWidth="1"/>
    <col min="41" max="41" width="5.44140625" style="19" customWidth="1"/>
    <col min="42" max="16384" width="8.88671875" style="1"/>
  </cols>
  <sheetData>
    <row r="1" spans="1:41" ht="32.25" customHeight="1" thickBot="1" x14ac:dyDescent="0.2">
      <c r="A1" s="92"/>
      <c r="B1" s="93" t="s">
        <v>47</v>
      </c>
      <c r="C1" s="93" t="s">
        <v>48</v>
      </c>
      <c r="D1" s="3" t="s">
        <v>3</v>
      </c>
      <c r="E1" s="114"/>
      <c r="F1" s="115"/>
      <c r="G1" s="4" t="s">
        <v>4</v>
      </c>
      <c r="H1" s="116"/>
      <c r="I1" s="117"/>
      <c r="J1" s="118"/>
      <c r="K1" s="5" t="s">
        <v>5</v>
      </c>
      <c r="L1" s="116">
        <v>0</v>
      </c>
      <c r="M1" s="117"/>
      <c r="N1" s="119"/>
      <c r="O1" s="6"/>
      <c r="P1" s="6"/>
      <c r="Q1" s="6"/>
      <c r="R1" s="6"/>
      <c r="S1" s="6"/>
      <c r="T1" s="6"/>
      <c r="U1" s="6"/>
      <c r="V1" s="6"/>
      <c r="W1" s="6"/>
      <c r="X1" s="6"/>
      <c r="Y1" s="109" t="s">
        <v>6</v>
      </c>
      <c r="Z1" s="109"/>
      <c r="AA1" s="7"/>
      <c r="AB1" s="109" t="s">
        <v>7</v>
      </c>
      <c r="AC1" s="109"/>
      <c r="AD1" s="110" t="s">
        <v>8</v>
      </c>
      <c r="AE1" s="111"/>
      <c r="AF1" s="112"/>
      <c r="AG1" s="160"/>
      <c r="AH1" s="6"/>
      <c r="AI1" s="6"/>
      <c r="AJ1" s="6"/>
      <c r="AK1" s="6"/>
      <c r="AL1" s="6"/>
      <c r="AM1" s="2"/>
      <c r="AN1" s="2"/>
      <c r="AO1" s="8"/>
    </row>
    <row r="2" spans="1:41" ht="29.25" customHeight="1" thickBot="1" x14ac:dyDescent="0.2">
      <c r="A2" s="135" t="s">
        <v>9</v>
      </c>
      <c r="B2" s="135"/>
      <c r="C2" s="136"/>
      <c r="D2" s="9" t="s">
        <v>10</v>
      </c>
      <c r="E2" s="137"/>
      <c r="F2" s="138"/>
      <c r="G2" s="10" t="s">
        <v>11</v>
      </c>
      <c r="H2" s="137">
        <f>E2</f>
        <v>0</v>
      </c>
      <c r="I2" s="139"/>
      <c r="J2" s="138"/>
      <c r="K2" s="11" t="s">
        <v>12</v>
      </c>
      <c r="L2" s="140">
        <f>H2*3</f>
        <v>0</v>
      </c>
      <c r="M2" s="141"/>
      <c r="N2" s="12" t="s">
        <v>13</v>
      </c>
      <c r="O2" s="167" t="s">
        <v>52</v>
      </c>
      <c r="P2" s="172" t="s">
        <v>51</v>
      </c>
      <c r="Q2" s="172"/>
      <c r="R2" s="172"/>
      <c r="S2" s="172"/>
      <c r="T2" s="74" t="s">
        <v>49</v>
      </c>
      <c r="U2" s="13"/>
      <c r="V2" s="14"/>
      <c r="W2" s="113" t="s">
        <v>0</v>
      </c>
      <c r="X2" s="113"/>
      <c r="Y2" s="120"/>
      <c r="Z2" s="121"/>
      <c r="AA2" s="73"/>
      <c r="AB2" s="122">
        <f>H1</f>
        <v>0</v>
      </c>
      <c r="AC2" s="123"/>
      <c r="AD2" s="124" t="e">
        <f>Y2/AB2</f>
        <v>#DIV/0!</v>
      </c>
      <c r="AE2" s="125"/>
      <c r="AF2" s="126"/>
      <c r="AG2" s="161"/>
      <c r="AI2" s="15"/>
      <c r="AJ2" s="16"/>
      <c r="AK2" s="16"/>
      <c r="AL2" s="16"/>
      <c r="AM2" s="17"/>
      <c r="AN2" s="18" t="s">
        <v>14</v>
      </c>
    </row>
    <row r="3" spans="1:41" s="21" customFormat="1" ht="24.95" customHeight="1" thickBot="1" x14ac:dyDescent="0.2">
      <c r="A3" s="127" t="s">
        <v>15</v>
      </c>
      <c r="B3" s="129" t="s">
        <v>16</v>
      </c>
      <c r="C3" s="131" t="s">
        <v>17</v>
      </c>
      <c r="D3" s="131"/>
      <c r="E3" s="131"/>
      <c r="F3" s="131"/>
      <c r="G3" s="131"/>
      <c r="H3" s="131"/>
      <c r="I3" s="132" t="s">
        <v>18</v>
      </c>
      <c r="J3" s="133"/>
      <c r="K3" s="131"/>
      <c r="L3" s="133"/>
      <c r="M3" s="134"/>
      <c r="N3" s="168" t="s">
        <v>19</v>
      </c>
      <c r="O3" s="131" t="s">
        <v>20</v>
      </c>
      <c r="P3" s="131"/>
      <c r="Q3" s="131"/>
      <c r="R3" s="131"/>
      <c r="S3" s="159"/>
      <c r="T3" s="156" t="s">
        <v>21</v>
      </c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1"/>
      <c r="AH3" s="159"/>
      <c r="AI3" s="25"/>
      <c r="AJ3" s="157" t="s">
        <v>22</v>
      </c>
      <c r="AK3" s="145" t="s">
        <v>23</v>
      </c>
      <c r="AL3" s="147" t="s">
        <v>24</v>
      </c>
      <c r="AM3" s="149" t="s">
        <v>25</v>
      </c>
      <c r="AN3" s="20" t="s">
        <v>26</v>
      </c>
      <c r="AO3" s="151" t="s">
        <v>27</v>
      </c>
    </row>
    <row r="4" spans="1:41" s="21" customFormat="1" ht="41.25" customHeight="1" thickBot="1" x14ac:dyDescent="0.2">
      <c r="A4" s="128"/>
      <c r="B4" s="130"/>
      <c r="C4" s="22" t="s">
        <v>28</v>
      </c>
      <c r="D4" s="23" t="s">
        <v>29</v>
      </c>
      <c r="E4" s="96" t="s">
        <v>30</v>
      </c>
      <c r="F4" s="96" t="s">
        <v>31</v>
      </c>
      <c r="G4" s="96" t="s">
        <v>32</v>
      </c>
      <c r="H4" s="24" t="s">
        <v>33</v>
      </c>
      <c r="I4" s="97" t="s">
        <v>28</v>
      </c>
      <c r="J4" s="23" t="s">
        <v>34</v>
      </c>
      <c r="K4" s="23" t="s">
        <v>30</v>
      </c>
      <c r="L4" s="97" t="s">
        <v>1</v>
      </c>
      <c r="M4" s="25" t="s">
        <v>2</v>
      </c>
      <c r="N4" s="169"/>
      <c r="O4" s="108" t="s">
        <v>35</v>
      </c>
      <c r="P4" s="23" t="s">
        <v>34</v>
      </c>
      <c r="Q4" s="23" t="s">
        <v>30</v>
      </c>
      <c r="R4" s="97" t="s">
        <v>1</v>
      </c>
      <c r="S4" s="96" t="s">
        <v>2</v>
      </c>
      <c r="T4" s="86" t="s">
        <v>36</v>
      </c>
      <c r="U4" s="87" t="s">
        <v>37</v>
      </c>
      <c r="V4" s="26" t="s">
        <v>28</v>
      </c>
      <c r="W4" s="27" t="s">
        <v>34</v>
      </c>
      <c r="X4" s="27" t="s">
        <v>30</v>
      </c>
      <c r="Y4" s="28" t="s">
        <v>1</v>
      </c>
      <c r="Z4" s="27" t="s">
        <v>2</v>
      </c>
      <c r="AA4" s="29" t="s">
        <v>38</v>
      </c>
      <c r="AB4" s="88" t="s">
        <v>39</v>
      </c>
      <c r="AC4" s="87" t="s">
        <v>40</v>
      </c>
      <c r="AD4" s="89" t="s">
        <v>41</v>
      </c>
      <c r="AE4" s="90" t="s">
        <v>42</v>
      </c>
      <c r="AF4" s="162" t="s">
        <v>43</v>
      </c>
      <c r="AG4" s="165" t="s">
        <v>50</v>
      </c>
      <c r="AH4" s="164" t="s">
        <v>44</v>
      </c>
      <c r="AI4" s="163" t="s">
        <v>45</v>
      </c>
      <c r="AJ4" s="158"/>
      <c r="AK4" s="146"/>
      <c r="AL4" s="148"/>
      <c r="AM4" s="150"/>
      <c r="AN4" s="30"/>
      <c r="AO4" s="152"/>
    </row>
    <row r="5" spans="1:41" s="21" customFormat="1" ht="48.75" customHeight="1" x14ac:dyDescent="0.15">
      <c r="A5" s="79"/>
      <c r="B5" s="99"/>
      <c r="C5" s="107"/>
      <c r="D5" s="106"/>
      <c r="E5" s="107"/>
      <c r="F5" s="107"/>
      <c r="G5" s="101"/>
      <c r="H5" s="33"/>
      <c r="I5" s="53"/>
      <c r="J5" s="57"/>
      <c r="K5" s="35"/>
      <c r="L5" s="35"/>
      <c r="M5" s="76"/>
      <c r="N5" s="170">
        <f>SUM(I5:M5)</f>
        <v>0</v>
      </c>
      <c r="O5" s="102"/>
      <c r="P5" s="103"/>
      <c r="Q5" s="103"/>
      <c r="R5" s="103"/>
      <c r="S5" s="103"/>
      <c r="T5" s="38">
        <f>ROUND(((O5*I5)+(P5*J5)+(Q5*K5)+(R5*L5)+(S5*M5)),3)</f>
        <v>0</v>
      </c>
      <c r="U5" s="39">
        <f>IF(T5&gt;=8,8,T5)</f>
        <v>0</v>
      </c>
      <c r="V5" s="40"/>
      <c r="W5" s="40"/>
      <c r="X5" s="40"/>
      <c r="Y5" s="40"/>
      <c r="Z5" s="40"/>
      <c r="AA5" s="65" t="e">
        <f>(((((V5*I5)+(W5*J5)+(X5*K5)+(Y5*L5)+(Z5*M5))/$L$2)))</f>
        <v>#DIV/0!</v>
      </c>
      <c r="AB5" s="70" t="e">
        <f t="shared" ref="AB5" si="0">ROUND(11*AA5,3)</f>
        <v>#DIV/0!</v>
      </c>
      <c r="AC5" s="67" t="e">
        <f t="shared" ref="AC5" si="1">IF(AB5&gt;=11,11,AB5)</f>
        <v>#DIV/0!</v>
      </c>
      <c r="AD5" s="91">
        <f>T6</f>
        <v>0</v>
      </c>
      <c r="AE5" s="41">
        <v>0.3</v>
      </c>
      <c r="AF5" s="173">
        <f>10+4+ROUND(1*I5+1*J5+1*K5+1*L5+1*M5,3)+ROUND(2*I5+2*J5+2*K5+2*L5+2*M5,3)</f>
        <v>14</v>
      </c>
      <c r="AG5" s="166" t="e">
        <f>U5+AC5+AD5+AF5</f>
        <v>#DIV/0!</v>
      </c>
      <c r="AH5" s="175" t="e">
        <f>AG5+AE5</f>
        <v>#DIV/0!</v>
      </c>
      <c r="AI5" s="176" t="e">
        <f>IF(AH5&gt;=40,40,AH5)</f>
        <v>#DIV/0!</v>
      </c>
      <c r="AJ5" s="42"/>
      <c r="AK5" s="43"/>
      <c r="AL5" s="44"/>
      <c r="AM5" s="45">
        <f>100%+AL5</f>
        <v>1</v>
      </c>
      <c r="AN5" s="46">
        <f>ROUNDUP((($E$2*AM5-$AN$4)*AJ5+$AN$4),-3)</f>
        <v>0</v>
      </c>
      <c r="AO5" s="47"/>
    </row>
    <row r="6" spans="1:41" s="21" customFormat="1" ht="26.25" customHeight="1" x14ac:dyDescent="0.15">
      <c r="A6" s="80"/>
      <c r="B6" s="100"/>
      <c r="C6" s="153" t="s">
        <v>46</v>
      </c>
      <c r="D6" s="154"/>
      <c r="E6" s="154"/>
      <c r="F6" s="154"/>
      <c r="G6" s="155"/>
      <c r="H6" s="33"/>
      <c r="I6" s="53"/>
      <c r="J6" s="57"/>
      <c r="K6" s="57"/>
      <c r="L6" s="57"/>
      <c r="M6" s="75"/>
      <c r="N6" s="171"/>
      <c r="O6" s="104"/>
      <c r="P6" s="105"/>
      <c r="Q6" s="105"/>
      <c r="R6" s="105"/>
      <c r="S6" s="105"/>
      <c r="T6" s="69">
        <f>(I5*O6)+(J5*P6)+(K5*Q6)+(L5*R6)+(M5*S6)</f>
        <v>0</v>
      </c>
      <c r="U6" s="39"/>
      <c r="V6" s="40"/>
      <c r="W6" s="40"/>
      <c r="X6" s="40"/>
      <c r="Y6" s="40"/>
      <c r="Z6" s="40"/>
      <c r="AA6" s="65"/>
      <c r="AB6" s="70"/>
      <c r="AC6" s="66"/>
      <c r="AD6" s="91"/>
      <c r="AE6" s="41"/>
      <c r="AF6" s="177"/>
      <c r="AG6" s="178"/>
      <c r="AH6" s="175"/>
      <c r="AI6" s="176"/>
      <c r="AJ6" s="42"/>
      <c r="AK6" s="43"/>
      <c r="AL6" s="44"/>
      <c r="AM6" s="45"/>
      <c r="AN6" s="46"/>
      <c r="AO6" s="47"/>
    </row>
    <row r="7" spans="1:41" s="21" customFormat="1" ht="48.75" customHeight="1" x14ac:dyDescent="0.15">
      <c r="A7" s="79"/>
      <c r="B7" s="99"/>
      <c r="C7" s="107"/>
      <c r="D7" s="106"/>
      <c r="E7" s="107"/>
      <c r="F7" s="107"/>
      <c r="G7" s="101"/>
      <c r="H7" s="33"/>
      <c r="I7" s="53"/>
      <c r="J7" s="57"/>
      <c r="K7" s="35"/>
      <c r="L7" s="35"/>
      <c r="M7" s="76"/>
      <c r="N7" s="171">
        <f>SUM(I7:M7)</f>
        <v>0</v>
      </c>
      <c r="O7" s="102"/>
      <c r="P7" s="103"/>
      <c r="Q7" s="103"/>
      <c r="R7" s="103"/>
      <c r="S7" s="103"/>
      <c r="T7" s="38">
        <f>ROUND(((O7*I7)+(P7*J7)+(Q7*K7)+(R7*L7)+(S7*M7)),3)</f>
        <v>0</v>
      </c>
      <c r="U7" s="39">
        <f>IF(T7&gt;=8,8,T7)</f>
        <v>0</v>
      </c>
      <c r="V7" s="40"/>
      <c r="W7" s="40"/>
      <c r="X7" s="40"/>
      <c r="Y7" s="40"/>
      <c r="Z7" s="40"/>
      <c r="AA7" s="65" t="e">
        <f>(((((V7*I7)+(W7*J7)+(X7*K7)+(Y7*L7)+(Z7*M7))/$L$2)))</f>
        <v>#DIV/0!</v>
      </c>
      <c r="AB7" s="70" t="e">
        <f>ROUND(11*AA7,3)</f>
        <v>#DIV/0!</v>
      </c>
      <c r="AC7" s="67" t="e">
        <f>IF(AB7&gt;=11,11,AB7)</f>
        <v>#DIV/0!</v>
      </c>
      <c r="AD7" s="91">
        <f>T8</f>
        <v>0</v>
      </c>
      <c r="AE7" s="41">
        <v>0.1</v>
      </c>
      <c r="AF7" s="174">
        <f>10+4+ROUND(1*I7+1*J7+1*K7+1*L7+1*M7,3)+ROUND(2*I7+2*J7+2*K7+2*L7+2*M7,3)</f>
        <v>14</v>
      </c>
      <c r="AG7" s="166" t="e">
        <f>U7+AC7+AD7+AF7</f>
        <v>#DIV/0!</v>
      </c>
      <c r="AH7" s="175" t="e">
        <f>AG7+AE7</f>
        <v>#DIV/0!</v>
      </c>
      <c r="AI7" s="176" t="e">
        <f>IF(AH7&gt;=40,40,AH7)</f>
        <v>#DIV/0!</v>
      </c>
      <c r="AJ7" s="42"/>
      <c r="AK7" s="43"/>
      <c r="AL7" s="44"/>
      <c r="AM7" s="45">
        <f>100%+AL7</f>
        <v>1</v>
      </c>
      <c r="AN7" s="46">
        <f>ROUNDUP((($E$2*AM7-$AN$4)*AJ7+$AN$4),-3)</f>
        <v>0</v>
      </c>
      <c r="AO7" s="47"/>
    </row>
    <row r="8" spans="1:41" s="21" customFormat="1" ht="26.25" customHeight="1" x14ac:dyDescent="0.15">
      <c r="A8" s="80"/>
      <c r="B8" s="99"/>
      <c r="C8" s="153" t="s">
        <v>46</v>
      </c>
      <c r="D8" s="154"/>
      <c r="E8" s="154"/>
      <c r="F8" s="154"/>
      <c r="G8" s="155"/>
      <c r="H8" s="33"/>
      <c r="I8" s="53"/>
      <c r="J8" s="57"/>
      <c r="K8" s="57"/>
      <c r="L8" s="57"/>
      <c r="M8" s="75"/>
      <c r="N8" s="171"/>
      <c r="O8" s="104"/>
      <c r="P8" s="105"/>
      <c r="Q8" s="105"/>
      <c r="R8" s="105"/>
      <c r="S8" s="105"/>
      <c r="T8" s="69">
        <f>(I7*O8)+(J7*P8)+(K7*Q8)+(L7*R8)+(M7*S8)</f>
        <v>0</v>
      </c>
      <c r="U8" s="39"/>
      <c r="V8" s="40"/>
      <c r="W8" s="40"/>
      <c r="X8" s="40"/>
      <c r="Y8" s="40"/>
      <c r="Z8" s="40"/>
      <c r="AA8" s="65"/>
      <c r="AB8" s="70"/>
      <c r="AC8" s="66"/>
      <c r="AD8" s="91"/>
      <c r="AE8" s="41"/>
      <c r="AF8" s="179"/>
      <c r="AG8" s="178"/>
      <c r="AH8" s="175"/>
      <c r="AI8" s="176"/>
      <c r="AJ8" s="42"/>
      <c r="AK8" s="43"/>
      <c r="AL8" s="44"/>
      <c r="AM8" s="45"/>
      <c r="AN8" s="46"/>
      <c r="AO8" s="47"/>
    </row>
    <row r="9" spans="1:41" s="21" customFormat="1" ht="51" customHeight="1" x14ac:dyDescent="0.15">
      <c r="A9" s="79"/>
      <c r="B9" s="99"/>
      <c r="C9" s="107"/>
      <c r="D9" s="106"/>
      <c r="E9" s="107"/>
      <c r="F9" s="107"/>
      <c r="G9" s="101"/>
      <c r="H9" s="33"/>
      <c r="I9" s="53"/>
      <c r="J9" s="57"/>
      <c r="K9" s="57"/>
      <c r="L9" s="35"/>
      <c r="M9" s="76"/>
      <c r="N9" s="171">
        <f>SUM(I9:M9)</f>
        <v>0</v>
      </c>
      <c r="O9" s="102"/>
      <c r="P9" s="103"/>
      <c r="Q9" s="103"/>
      <c r="R9" s="103"/>
      <c r="S9" s="103"/>
      <c r="T9" s="38">
        <f>ROUND(((O9*I9)+(P9*J9)+(Q9*K9)+(R9*L9)+(S9*M9)),3)</f>
        <v>0</v>
      </c>
      <c r="U9" s="39">
        <f>IF(T9&gt;=8,8,T9)</f>
        <v>0</v>
      </c>
      <c r="V9" s="40"/>
      <c r="W9" s="40"/>
      <c r="X9" s="40"/>
      <c r="Y9" s="40"/>
      <c r="Z9" s="40"/>
      <c r="AA9" s="65" t="e">
        <f>(((((V9*I9)+(W9*J9)+(X9*K9)+(Y9*L9)+(Z9*M9))/$L$2)))</f>
        <v>#DIV/0!</v>
      </c>
      <c r="AB9" s="70" t="e">
        <f t="shared" ref="AB9" si="2">ROUND(11*AA9,3)</f>
        <v>#DIV/0!</v>
      </c>
      <c r="AC9" s="67" t="e">
        <f t="shared" ref="AC9" si="3">IF(AB9&gt;=11,11,AB9)</f>
        <v>#DIV/0!</v>
      </c>
      <c r="AD9" s="91">
        <f>T10</f>
        <v>0</v>
      </c>
      <c r="AE9" s="41">
        <v>0.3</v>
      </c>
      <c r="AF9" s="174">
        <f>10+4+ROUND(1*I9+1*J9+1*K9+1*L9+1*M9,3)+ROUND(2*I9+2*J9+2*K9+2*L9+2*M9,3)</f>
        <v>14</v>
      </c>
      <c r="AG9" s="166" t="e">
        <f>U9+AC9+AD9+AF9</f>
        <v>#DIV/0!</v>
      </c>
      <c r="AH9" s="175" t="e">
        <f>AG9+AE9</f>
        <v>#DIV/0!</v>
      </c>
      <c r="AI9" s="176" t="e">
        <f>IF(AH9&gt;=40,40,AH9)</f>
        <v>#DIV/0!</v>
      </c>
      <c r="AJ9" s="42"/>
      <c r="AK9" s="43"/>
      <c r="AL9" s="44"/>
      <c r="AM9" s="45">
        <f>100%+AL9</f>
        <v>1</v>
      </c>
      <c r="AN9" s="46">
        <f>ROUNDUP((($E$2*AM9-$AN$4)*AJ9+$AN$4),-3)</f>
        <v>0</v>
      </c>
      <c r="AO9" s="47"/>
    </row>
    <row r="10" spans="1:41" s="21" customFormat="1" ht="26.25" customHeight="1" x14ac:dyDescent="0.15">
      <c r="A10" s="80"/>
      <c r="B10" s="100"/>
      <c r="C10" s="153" t="s">
        <v>46</v>
      </c>
      <c r="D10" s="154"/>
      <c r="E10" s="154"/>
      <c r="F10" s="154"/>
      <c r="G10" s="155"/>
      <c r="H10" s="33"/>
      <c r="I10" s="53"/>
      <c r="J10" s="57"/>
      <c r="K10" s="57"/>
      <c r="L10" s="57"/>
      <c r="M10" s="75"/>
      <c r="N10" s="171"/>
      <c r="O10" s="104"/>
      <c r="P10" s="105"/>
      <c r="Q10" s="105"/>
      <c r="R10" s="105"/>
      <c r="S10" s="105"/>
      <c r="T10" s="69">
        <f>(I9*O10)+(J9*P10)+(K9*Q10)+(L9*R10)+(M9*S10)</f>
        <v>0</v>
      </c>
      <c r="U10" s="39"/>
      <c r="V10" s="40"/>
      <c r="W10" s="40"/>
      <c r="X10" s="40"/>
      <c r="Y10" s="40"/>
      <c r="Z10" s="40"/>
      <c r="AA10" s="65"/>
      <c r="AB10" s="70"/>
      <c r="AC10" s="66"/>
      <c r="AD10" s="91"/>
      <c r="AE10" s="41"/>
      <c r="AF10" s="179"/>
      <c r="AG10" s="178"/>
      <c r="AH10" s="175"/>
      <c r="AI10" s="176"/>
      <c r="AJ10" s="42"/>
      <c r="AK10" s="43"/>
      <c r="AL10" s="44"/>
      <c r="AM10" s="45"/>
      <c r="AN10" s="46"/>
      <c r="AO10" s="47"/>
    </row>
    <row r="11" spans="1:41" s="21" customFormat="1" ht="48.75" customHeight="1" x14ac:dyDescent="0.15">
      <c r="A11" s="79"/>
      <c r="B11" s="99"/>
      <c r="C11" s="107"/>
      <c r="D11" s="106"/>
      <c r="E11" s="107"/>
      <c r="F11" s="107"/>
      <c r="G11" s="101"/>
      <c r="H11" s="33"/>
      <c r="I11" s="53"/>
      <c r="J11" s="57"/>
      <c r="K11" s="35"/>
      <c r="L11" s="35"/>
      <c r="M11" s="76"/>
      <c r="N11" s="171">
        <f>SUM(I11:M11)</f>
        <v>0</v>
      </c>
      <c r="O11" s="102"/>
      <c r="P11" s="103"/>
      <c r="Q11" s="103"/>
      <c r="R11" s="103"/>
      <c r="S11" s="103"/>
      <c r="T11" s="38">
        <f>ROUND(((O11*I11)+(P11*J11)+(Q11*K11)+(R11*L11)+(S11*M11)),3)</f>
        <v>0</v>
      </c>
      <c r="U11" s="39">
        <f>IF(T11&gt;=8,8,T11)</f>
        <v>0</v>
      </c>
      <c r="V11" s="40"/>
      <c r="W11" s="40"/>
      <c r="X11" s="40"/>
      <c r="Y11" s="40"/>
      <c r="Z11" s="40"/>
      <c r="AA11" s="65" t="e">
        <f>(((((V11*I11)+(W11*J11)+(X11*K11)+(Y11*L11)+(Z11*M11))/$L$2)))</f>
        <v>#DIV/0!</v>
      </c>
      <c r="AB11" s="70" t="e">
        <f t="shared" ref="AB11" si="4">ROUND(11*AA11,3)</f>
        <v>#DIV/0!</v>
      </c>
      <c r="AC11" s="67" t="e">
        <f t="shared" ref="AC11" si="5">IF(AB11&gt;=11,11,AB11)</f>
        <v>#DIV/0!</v>
      </c>
      <c r="AD11" s="91">
        <f>T12</f>
        <v>0</v>
      </c>
      <c r="AE11" s="41">
        <v>0.3</v>
      </c>
      <c r="AF11" s="174">
        <f>10+4+ROUND(1*I11+1*J11+1*K11+1*L11+1*M11,3)+ROUND(2*I11+2*J11+2*K11+2*L11+2*M11,3)</f>
        <v>14</v>
      </c>
      <c r="AG11" s="166" t="e">
        <f>U11+AC11+AD11+AF11</f>
        <v>#DIV/0!</v>
      </c>
      <c r="AH11" s="175" t="e">
        <f>AG11+AE11</f>
        <v>#DIV/0!</v>
      </c>
      <c r="AI11" s="176" t="e">
        <f>IF(AH11&gt;=40,40,AH11)</f>
        <v>#DIV/0!</v>
      </c>
      <c r="AJ11" s="42"/>
      <c r="AK11" s="43"/>
      <c r="AL11" s="44"/>
      <c r="AM11" s="45">
        <f>100%+AL11</f>
        <v>1</v>
      </c>
      <c r="AN11" s="46">
        <f>ROUNDUP((($E$2*AM11-$AN$4)*AJ11+$AN$4),-3)</f>
        <v>0</v>
      </c>
      <c r="AO11" s="47"/>
    </row>
    <row r="12" spans="1:41" s="21" customFormat="1" ht="26.25" customHeight="1" x14ac:dyDescent="0.15">
      <c r="A12" s="80"/>
      <c r="B12" s="100"/>
      <c r="C12" s="153" t="s">
        <v>46</v>
      </c>
      <c r="D12" s="154"/>
      <c r="E12" s="154"/>
      <c r="F12" s="154"/>
      <c r="G12" s="155"/>
      <c r="H12" s="33"/>
      <c r="I12" s="53"/>
      <c r="J12" s="57"/>
      <c r="K12" s="57"/>
      <c r="L12" s="57"/>
      <c r="M12" s="75"/>
      <c r="N12" s="171"/>
      <c r="O12" s="104"/>
      <c r="P12" s="105"/>
      <c r="Q12" s="105"/>
      <c r="R12" s="105"/>
      <c r="S12" s="105"/>
      <c r="T12" s="69">
        <f>(I11*O12)+(J11*P12)+(K11*Q12)+(L11*R12)+(M11*S12)</f>
        <v>0</v>
      </c>
      <c r="U12" s="39"/>
      <c r="V12" s="40"/>
      <c r="W12" s="40"/>
      <c r="X12" s="40"/>
      <c r="Y12" s="40"/>
      <c r="Z12" s="40"/>
      <c r="AA12" s="65"/>
      <c r="AB12" s="70"/>
      <c r="AC12" s="66"/>
      <c r="AD12" s="91"/>
      <c r="AE12" s="41"/>
      <c r="AF12" s="179"/>
      <c r="AG12" s="178"/>
      <c r="AH12" s="175"/>
      <c r="AI12" s="176"/>
      <c r="AJ12" s="42"/>
      <c r="AK12" s="43"/>
      <c r="AL12" s="44"/>
      <c r="AM12" s="45"/>
      <c r="AN12" s="46"/>
      <c r="AO12" s="47"/>
    </row>
    <row r="13" spans="1:41" s="21" customFormat="1" ht="56.25" customHeight="1" x14ac:dyDescent="0.15">
      <c r="A13" s="79"/>
      <c r="B13" s="99"/>
      <c r="C13" s="107"/>
      <c r="D13" s="106"/>
      <c r="E13" s="107"/>
      <c r="F13" s="107"/>
      <c r="G13" s="101"/>
      <c r="H13" s="33"/>
      <c r="I13" s="53"/>
      <c r="J13" s="57"/>
      <c r="K13" s="35"/>
      <c r="L13" s="35"/>
      <c r="M13" s="76"/>
      <c r="N13" s="171">
        <f>SUM(I13:M13)</f>
        <v>0</v>
      </c>
      <c r="O13" s="102"/>
      <c r="P13" s="103"/>
      <c r="Q13" s="103"/>
      <c r="R13" s="103"/>
      <c r="S13" s="103"/>
      <c r="T13" s="38">
        <f>ROUND(((O13*I13)+(P13*J13)+(Q13*K13)+(R13*L13)+(S13*M13)),3)</f>
        <v>0</v>
      </c>
      <c r="U13" s="39">
        <f>IF(T13&gt;=8,8,T13)</f>
        <v>0</v>
      </c>
      <c r="V13" s="40"/>
      <c r="W13" s="40"/>
      <c r="X13" s="40"/>
      <c r="Y13" s="48"/>
      <c r="Z13" s="40"/>
      <c r="AA13" s="65" t="e">
        <f>(((((V13*I13)+(W13*J13)+(X13*K13)+(Y13*L13)+(Z13*M13))/$L$2)))</f>
        <v>#DIV/0!</v>
      </c>
      <c r="AB13" s="70" t="e">
        <f>ROUND(11*AA13,3)</f>
        <v>#DIV/0!</v>
      </c>
      <c r="AC13" s="67" t="e">
        <f>IF(AB13&gt;=11,11,AB13)</f>
        <v>#DIV/0!</v>
      </c>
      <c r="AD13" s="91">
        <f>T14</f>
        <v>0</v>
      </c>
      <c r="AE13" s="41">
        <v>0.2</v>
      </c>
      <c r="AF13" s="174">
        <f>10+4+ROUND(1*I13+1*J13+1*K13+1*L13+1*M13,3)+ROUND(2*I13+2*J13+2*K13+2*L13+2*M13,3)</f>
        <v>14</v>
      </c>
      <c r="AG13" s="166" t="e">
        <f>U13+AC13+AD13+AF13</f>
        <v>#DIV/0!</v>
      </c>
      <c r="AH13" s="175" t="e">
        <f>AG13+AE13</f>
        <v>#DIV/0!</v>
      </c>
      <c r="AI13" s="176" t="e">
        <f>IF(AH13&gt;=40,40,AH13)</f>
        <v>#DIV/0!</v>
      </c>
      <c r="AJ13" s="42"/>
      <c r="AK13" s="43"/>
      <c r="AL13" s="44"/>
      <c r="AM13" s="45">
        <f>100%+AL13</f>
        <v>1</v>
      </c>
      <c r="AN13" s="46">
        <f>ROUNDUP((($E$2*AM13-$AN$4)*AJ13+$AN$4),-3)</f>
        <v>0</v>
      </c>
      <c r="AO13" s="47"/>
    </row>
    <row r="14" spans="1:41" s="21" customFormat="1" ht="26.25" customHeight="1" x14ac:dyDescent="0.15">
      <c r="A14" s="80"/>
      <c r="B14" s="78"/>
      <c r="C14" s="153" t="s">
        <v>46</v>
      </c>
      <c r="D14" s="154"/>
      <c r="E14" s="154"/>
      <c r="F14" s="154"/>
      <c r="G14" s="155"/>
      <c r="H14" s="33"/>
      <c r="I14" s="53"/>
      <c r="J14" s="57"/>
      <c r="K14" s="57"/>
      <c r="L14" s="57"/>
      <c r="M14" s="75"/>
      <c r="N14" s="171"/>
      <c r="O14" s="103"/>
      <c r="P14" s="103"/>
      <c r="Q14" s="103"/>
      <c r="R14" s="103"/>
      <c r="S14" s="105"/>
      <c r="T14" s="69">
        <f>(I13*O14)+(J13*P14)+(K13*Q14)+(L13*R14)+(M13*S14)</f>
        <v>0</v>
      </c>
      <c r="U14" s="39"/>
      <c r="V14" s="40"/>
      <c r="W14" s="40"/>
      <c r="X14" s="40"/>
      <c r="Y14" s="40"/>
      <c r="Z14" s="40"/>
      <c r="AA14" s="65"/>
      <c r="AB14" s="70"/>
      <c r="AC14" s="66"/>
      <c r="AD14" s="91"/>
      <c r="AE14" s="41"/>
      <c r="AF14" s="179"/>
      <c r="AG14" s="178"/>
      <c r="AH14" s="175"/>
      <c r="AI14" s="176"/>
      <c r="AJ14" s="42"/>
      <c r="AK14" s="43"/>
      <c r="AL14" s="44"/>
      <c r="AM14" s="45"/>
      <c r="AN14" s="46"/>
      <c r="AO14" s="47"/>
    </row>
    <row r="15" spans="1:41" s="21" customFormat="1" ht="48.75" customHeight="1" x14ac:dyDescent="0.15">
      <c r="A15" s="79"/>
      <c r="B15" s="77"/>
      <c r="C15" s="107"/>
      <c r="D15" s="106"/>
      <c r="E15" s="107"/>
      <c r="F15" s="107"/>
      <c r="G15" s="101"/>
      <c r="H15" s="33"/>
      <c r="I15" s="53"/>
      <c r="J15" s="57"/>
      <c r="K15" s="35"/>
      <c r="L15" s="35"/>
      <c r="M15" s="76"/>
      <c r="N15" s="171">
        <f>SUM(I15:M15)</f>
        <v>0</v>
      </c>
      <c r="O15" s="102"/>
      <c r="P15" s="103"/>
      <c r="Q15" s="103"/>
      <c r="R15" s="103"/>
      <c r="S15" s="103"/>
      <c r="T15" s="38">
        <f>ROUND(((O15*I15)+(P15*J15)+(Q15*K15)+(R15*L15)+(S15*M15)),3)</f>
        <v>0</v>
      </c>
      <c r="U15" s="39">
        <f>IF(T15&gt;=8,8,T15)</f>
        <v>0</v>
      </c>
      <c r="V15" s="40"/>
      <c r="W15" s="40"/>
      <c r="X15" s="40"/>
      <c r="Y15" s="40"/>
      <c r="Z15" s="40"/>
      <c r="AA15" s="65" t="e">
        <f>(((((V15*I15)+(W15*J15)+(X15*K15)+(Y15*L15)+(Z15*M15))/$L$2)))</f>
        <v>#DIV/0!</v>
      </c>
      <c r="AB15" s="70" t="e">
        <f t="shared" ref="AB15" si="6">ROUND(11*AA15,3)</f>
        <v>#DIV/0!</v>
      </c>
      <c r="AC15" s="67" t="e">
        <f t="shared" ref="AC15" si="7">IF(AB15&gt;=11,11,AB15)</f>
        <v>#DIV/0!</v>
      </c>
      <c r="AD15" s="91">
        <f>T16</f>
        <v>0</v>
      </c>
      <c r="AE15" s="41">
        <v>0.3</v>
      </c>
      <c r="AF15" s="174">
        <f>10+4+ROUND(1*I15+1*J15+1*K15+1*L15+1*M15,3)+ROUND(2*I15+2*J15+2*K15+2*L15+2*M15,3)</f>
        <v>14</v>
      </c>
      <c r="AG15" s="166" t="e">
        <f>U15+AC15+AD15+AF15</f>
        <v>#DIV/0!</v>
      </c>
      <c r="AH15" s="175" t="e">
        <f>AG15+AE15</f>
        <v>#DIV/0!</v>
      </c>
      <c r="AI15" s="176" t="e">
        <f>IF(AH15&gt;=40,40,AH15)</f>
        <v>#DIV/0!</v>
      </c>
      <c r="AJ15" s="42"/>
      <c r="AK15" s="43"/>
      <c r="AL15" s="44"/>
      <c r="AM15" s="45">
        <f>100%+AL15</f>
        <v>1</v>
      </c>
      <c r="AN15" s="46">
        <f>ROUNDUP((($E$2*AM15-$AN$4)*AJ15+$AN$4),-3)</f>
        <v>0</v>
      </c>
      <c r="AO15" s="47"/>
    </row>
    <row r="16" spans="1:41" s="21" customFormat="1" ht="26.25" customHeight="1" x14ac:dyDescent="0.15">
      <c r="A16" s="80"/>
      <c r="B16" s="78"/>
      <c r="C16" s="153" t="s">
        <v>46</v>
      </c>
      <c r="D16" s="154"/>
      <c r="E16" s="154"/>
      <c r="F16" s="154"/>
      <c r="G16" s="155"/>
      <c r="H16" s="33"/>
      <c r="I16" s="53"/>
      <c r="J16" s="57"/>
      <c r="K16" s="57"/>
      <c r="L16" s="57"/>
      <c r="M16" s="75"/>
      <c r="N16" s="171"/>
      <c r="O16" s="104"/>
      <c r="P16" s="105"/>
      <c r="Q16" s="105"/>
      <c r="R16" s="105"/>
      <c r="S16" s="105"/>
      <c r="T16" s="69">
        <f>(I15*O16)+(J15*P16)+(K15*Q16)+(L15*R16)+(M15*S16)</f>
        <v>0</v>
      </c>
      <c r="U16" s="39"/>
      <c r="V16" s="40"/>
      <c r="W16" s="40"/>
      <c r="X16" s="40"/>
      <c r="Y16" s="40"/>
      <c r="Z16" s="40"/>
      <c r="AA16" s="65"/>
      <c r="AB16" s="70"/>
      <c r="AC16" s="66"/>
      <c r="AD16" s="91"/>
      <c r="AE16" s="41"/>
      <c r="AF16" s="179"/>
      <c r="AG16" s="178"/>
      <c r="AH16" s="175"/>
      <c r="AI16" s="176"/>
      <c r="AJ16" s="42"/>
      <c r="AK16" s="43"/>
      <c r="AL16" s="44"/>
      <c r="AM16" s="45"/>
      <c r="AN16" s="46"/>
      <c r="AO16" s="47"/>
    </row>
    <row r="17" spans="1:41" s="21" customFormat="1" ht="48.75" customHeight="1" x14ac:dyDescent="0.15">
      <c r="A17" s="79"/>
      <c r="B17" s="77"/>
      <c r="C17" s="107"/>
      <c r="D17" s="106"/>
      <c r="E17" s="107"/>
      <c r="F17" s="107"/>
      <c r="G17" s="101"/>
      <c r="H17" s="54"/>
      <c r="I17" s="53"/>
      <c r="J17" s="57"/>
      <c r="K17" s="35"/>
      <c r="L17" s="35"/>
      <c r="M17" s="76"/>
      <c r="N17" s="171">
        <f>SUM(I17:M17)</f>
        <v>0</v>
      </c>
      <c r="O17" s="102"/>
      <c r="P17" s="103"/>
      <c r="Q17" s="103"/>
      <c r="R17" s="103"/>
      <c r="S17" s="103"/>
      <c r="T17" s="38">
        <f>ROUND(((O17*I17)+(P17*J17)+(Q17*K17)+(R17*L17)+(S17*M17)),3)</f>
        <v>0</v>
      </c>
      <c r="U17" s="39">
        <f>IF(T17&gt;=8,8,T17)</f>
        <v>0</v>
      </c>
      <c r="V17" s="40"/>
      <c r="W17" s="40"/>
      <c r="X17" s="40"/>
      <c r="Y17" s="40"/>
      <c r="Z17" s="40"/>
      <c r="AA17" s="65" t="e">
        <f>(((((V17*I17)+(W17*J17)+(X17*K17)+(Y17*L17)+(Z17*M17))/$L$2)))</f>
        <v>#DIV/0!</v>
      </c>
      <c r="AB17" s="70" t="e">
        <f t="shared" ref="AB17" si="8">ROUND(11*AA17,3)</f>
        <v>#DIV/0!</v>
      </c>
      <c r="AC17" s="67" t="e">
        <f t="shared" ref="AC17" si="9">IF(AB17&gt;=11,11,AB17)</f>
        <v>#DIV/0!</v>
      </c>
      <c r="AD17" s="91">
        <f>T18</f>
        <v>0</v>
      </c>
      <c r="AE17" s="41">
        <v>0.3</v>
      </c>
      <c r="AF17" s="174">
        <f>10+4+ROUND(1*I17+1*J17+1*K17+1*L17+1*M17,3)+ROUND(2*I17+2*J17+2*K17+2*L17+2*M17,3)</f>
        <v>14</v>
      </c>
      <c r="AG17" s="166" t="e">
        <f>U17+AC17+AD17+AF17</f>
        <v>#DIV/0!</v>
      </c>
      <c r="AH17" s="175" t="e">
        <f>AG17+AE17</f>
        <v>#DIV/0!</v>
      </c>
      <c r="AI17" s="176" t="e">
        <f>IF(AH17&gt;=40,40,AH17)</f>
        <v>#DIV/0!</v>
      </c>
      <c r="AJ17" s="42"/>
      <c r="AK17" s="43"/>
      <c r="AL17" s="44"/>
      <c r="AM17" s="45">
        <f>100%+AL17</f>
        <v>1</v>
      </c>
      <c r="AN17" s="46">
        <f>ROUNDUP((($E$2*AM17-$AN$4)*AJ17+$AN$4),-3)</f>
        <v>0</v>
      </c>
      <c r="AO17" s="47"/>
    </row>
    <row r="18" spans="1:41" s="21" customFormat="1" ht="26.25" customHeight="1" x14ac:dyDescent="0.15">
      <c r="A18" s="80"/>
      <c r="B18" s="78"/>
      <c r="C18" s="153" t="s">
        <v>46</v>
      </c>
      <c r="D18" s="154"/>
      <c r="E18" s="154"/>
      <c r="F18" s="154"/>
      <c r="G18" s="155"/>
      <c r="H18" s="33"/>
      <c r="I18" s="53"/>
      <c r="J18" s="57"/>
      <c r="K18" s="57"/>
      <c r="L18" s="57"/>
      <c r="M18" s="75"/>
      <c r="N18" s="171"/>
      <c r="O18" s="103"/>
      <c r="P18" s="103"/>
      <c r="Q18" s="104"/>
      <c r="R18" s="105"/>
      <c r="S18" s="105"/>
      <c r="T18" s="69">
        <f>(I17*O18)+(J17*P18)+(K17*Q18)+(L17*R18)+(M17*S18)</f>
        <v>0</v>
      </c>
      <c r="U18" s="39"/>
      <c r="V18" s="40"/>
      <c r="W18" s="40"/>
      <c r="X18" s="40"/>
      <c r="Y18" s="40"/>
      <c r="Z18" s="40"/>
      <c r="AA18" s="65"/>
      <c r="AB18" s="70"/>
      <c r="AC18" s="66"/>
      <c r="AD18" s="91"/>
      <c r="AE18" s="41"/>
      <c r="AF18" s="179"/>
      <c r="AG18" s="178"/>
      <c r="AH18" s="175"/>
      <c r="AI18" s="176"/>
      <c r="AJ18" s="42"/>
      <c r="AK18" s="43"/>
      <c r="AL18" s="44"/>
      <c r="AM18" s="45"/>
      <c r="AN18" s="46"/>
      <c r="AO18" s="47"/>
    </row>
    <row r="19" spans="1:41" s="21" customFormat="1" ht="54" customHeight="1" x14ac:dyDescent="0.15">
      <c r="A19" s="79"/>
      <c r="B19" s="77"/>
      <c r="C19" s="107"/>
      <c r="D19" s="106"/>
      <c r="E19" s="107"/>
      <c r="F19" s="107"/>
      <c r="G19" s="101"/>
      <c r="H19" s="33"/>
      <c r="I19" s="53"/>
      <c r="J19" s="57"/>
      <c r="K19" s="35"/>
      <c r="L19" s="35"/>
      <c r="M19" s="76"/>
      <c r="N19" s="171">
        <f>SUM(I19:M19)</f>
        <v>0</v>
      </c>
      <c r="O19" s="102"/>
      <c r="P19" s="103"/>
      <c r="Q19" s="103"/>
      <c r="R19" s="103"/>
      <c r="S19" s="103"/>
      <c r="T19" s="38">
        <f>ROUND(((O19*I19)+(P19*J19)+(Q19*K19)+(R19*L19)+(S19*M19)),3)</f>
        <v>0</v>
      </c>
      <c r="U19" s="39">
        <f>IF(T19&gt;=8,8,T19)</f>
        <v>0</v>
      </c>
      <c r="V19" s="40"/>
      <c r="W19" s="40"/>
      <c r="X19" s="40"/>
      <c r="Y19" s="48"/>
      <c r="Z19" s="40"/>
      <c r="AA19" s="65" t="e">
        <f>(((((V19*I19)+(W19*J19)+(X19*K19)+(Y19*L19)+(Z19*M19))/$L$2)))</f>
        <v>#DIV/0!</v>
      </c>
      <c r="AB19" s="70" t="e">
        <f>ROUND(11*AA19,3)</f>
        <v>#DIV/0!</v>
      </c>
      <c r="AC19" s="67" t="e">
        <f t="shared" ref="AC19" si="10">IF(AB19&gt;=11,11,AB19)</f>
        <v>#DIV/0!</v>
      </c>
      <c r="AD19" s="91">
        <f>T20</f>
        <v>0</v>
      </c>
      <c r="AE19" s="41">
        <v>0.3</v>
      </c>
      <c r="AF19" s="174">
        <f>10+4+ROUND(1*I19+1*J19+1*K19+1*L19+1*M19,3)+ROUND(2*I19+2*J19+2*K19+2*L19+2*M19,3)</f>
        <v>14</v>
      </c>
      <c r="AG19" s="166" t="e">
        <f>U19+AC19+AD19+AF19</f>
        <v>#DIV/0!</v>
      </c>
      <c r="AH19" s="175" t="e">
        <f>AG19+AE19</f>
        <v>#DIV/0!</v>
      </c>
      <c r="AI19" s="176" t="e">
        <f>IF(AH19&gt;=40,40,AH19)</f>
        <v>#DIV/0!</v>
      </c>
      <c r="AJ19" s="42"/>
      <c r="AK19" s="43"/>
      <c r="AL19" s="44"/>
      <c r="AM19" s="45">
        <f>100%+AL19</f>
        <v>1</v>
      </c>
      <c r="AN19" s="46">
        <f>ROUNDUP((($E$2*AM19-$AN$4)*AJ19+$AN$4),-3)</f>
        <v>0</v>
      </c>
      <c r="AO19" s="47"/>
    </row>
    <row r="20" spans="1:41" s="21" customFormat="1" ht="26.25" customHeight="1" x14ac:dyDescent="0.15">
      <c r="A20" s="80"/>
      <c r="B20" s="78"/>
      <c r="C20" s="142" t="s">
        <v>46</v>
      </c>
      <c r="D20" s="143"/>
      <c r="E20" s="143"/>
      <c r="F20" s="143"/>
      <c r="G20" s="144"/>
      <c r="H20" s="33"/>
      <c r="I20" s="53"/>
      <c r="J20" s="57"/>
      <c r="K20" s="57"/>
      <c r="L20" s="57"/>
      <c r="M20" s="75"/>
      <c r="N20" s="171"/>
      <c r="O20" s="58"/>
      <c r="P20" s="58"/>
      <c r="Q20" s="58"/>
      <c r="R20" s="58"/>
      <c r="S20" s="38"/>
      <c r="T20" s="69">
        <f>(I19*O20)+(J19*P20)+(K19*Q20)+(L19*R20)+(M19*S20)</f>
        <v>0</v>
      </c>
      <c r="U20" s="39"/>
      <c r="V20" s="40"/>
      <c r="W20" s="40"/>
      <c r="X20" s="40"/>
      <c r="Y20" s="40"/>
      <c r="Z20" s="40"/>
      <c r="AA20" s="65"/>
      <c r="AB20" s="70"/>
      <c r="AC20" s="66"/>
      <c r="AD20" s="91"/>
      <c r="AE20" s="41"/>
      <c r="AF20" s="179"/>
      <c r="AG20" s="178"/>
      <c r="AH20" s="175"/>
      <c r="AI20" s="176"/>
      <c r="AJ20" s="42"/>
      <c r="AK20" s="43"/>
      <c r="AL20" s="44"/>
      <c r="AM20" s="45"/>
      <c r="AN20" s="46"/>
      <c r="AO20" s="47"/>
    </row>
    <row r="21" spans="1:41" s="21" customFormat="1" ht="51.75" customHeight="1" x14ac:dyDescent="0.15">
      <c r="A21" s="79"/>
      <c r="B21" s="77"/>
      <c r="C21" s="107"/>
      <c r="D21" s="106"/>
      <c r="E21" s="107"/>
      <c r="F21" s="107"/>
      <c r="G21" s="101"/>
      <c r="H21" s="33"/>
      <c r="I21" s="83"/>
      <c r="J21" s="84"/>
      <c r="K21" s="81"/>
      <c r="L21" s="81"/>
      <c r="M21" s="94"/>
      <c r="N21" s="171">
        <f>SUM(I21:M21)</f>
        <v>0</v>
      </c>
      <c r="O21" s="36"/>
      <c r="P21" s="36"/>
      <c r="Q21" s="37"/>
      <c r="R21" s="37"/>
      <c r="S21" s="37"/>
      <c r="T21" s="38">
        <f>ROUND(((O21*I21)+(P21*J21)+(Q21*K21)+(R21*L21)+(S21*M21)),3)</f>
        <v>0</v>
      </c>
      <c r="U21" s="39">
        <f>IF(T21&gt;=8,8,T21)</f>
        <v>0</v>
      </c>
      <c r="V21" s="40"/>
      <c r="W21" s="40"/>
      <c r="X21" s="48"/>
      <c r="Y21" s="40"/>
      <c r="Z21" s="40"/>
      <c r="AA21" s="65" t="e">
        <f>(((((V21*I21)+(W21*J21)+(X21*K21)+(Y21*L21)+(Z21*M21))/$L$2)))</f>
        <v>#DIV/0!</v>
      </c>
      <c r="AB21" s="70" t="e">
        <f>ROUND(11*AA21,3)</f>
        <v>#DIV/0!</v>
      </c>
      <c r="AC21" s="67" t="e">
        <f t="shared" ref="AC21" si="11">IF(AB21&gt;=11,11,AB21)</f>
        <v>#DIV/0!</v>
      </c>
      <c r="AD21" s="91">
        <f>T22</f>
        <v>0</v>
      </c>
      <c r="AE21" s="41">
        <v>0.3</v>
      </c>
      <c r="AF21" s="174">
        <f>10+4+ROUND(1*I21+1*J21+1*K21+1*L21+1*M21,3)+ROUND(2*I21+2*J21+2*K21+2*L21+2*M21,3)</f>
        <v>14</v>
      </c>
      <c r="AG21" s="166" t="e">
        <f>U21+AC21+AD21+AF21</f>
        <v>#DIV/0!</v>
      </c>
      <c r="AH21" s="175" t="e">
        <f>AG21+AE21</f>
        <v>#DIV/0!</v>
      </c>
      <c r="AI21" s="176" t="e">
        <f>IF(AH21&gt;=40,40,AH21)</f>
        <v>#DIV/0!</v>
      </c>
      <c r="AJ21" s="42"/>
      <c r="AK21" s="43"/>
      <c r="AL21" s="44"/>
      <c r="AM21" s="45"/>
      <c r="AN21" s="46"/>
      <c r="AO21" s="47"/>
    </row>
    <row r="22" spans="1:41" s="21" customFormat="1" ht="26.25" customHeight="1" x14ac:dyDescent="0.15">
      <c r="A22" s="80"/>
      <c r="B22" s="78"/>
      <c r="C22" s="142" t="s">
        <v>46</v>
      </c>
      <c r="D22" s="143"/>
      <c r="E22" s="143"/>
      <c r="F22" s="143"/>
      <c r="G22" s="144"/>
      <c r="H22" s="82"/>
      <c r="I22" s="83"/>
      <c r="J22" s="84"/>
      <c r="K22" s="84"/>
      <c r="L22" s="84"/>
      <c r="M22" s="95"/>
      <c r="N22" s="171"/>
      <c r="O22" s="38"/>
      <c r="P22" s="38"/>
      <c r="Q22" s="38"/>
      <c r="R22" s="38"/>
      <c r="S22" s="38"/>
      <c r="T22" s="69">
        <f>(I21*O22)+(J21*P22)+(K21*Q22)+(L21*R22)+(M21*S22)</f>
        <v>0</v>
      </c>
      <c r="U22" s="39"/>
      <c r="V22" s="40"/>
      <c r="W22" s="40"/>
      <c r="X22" s="40"/>
      <c r="Y22" s="40"/>
      <c r="Z22" s="40"/>
      <c r="AA22" s="65"/>
      <c r="AB22" s="70"/>
      <c r="AC22" s="66"/>
      <c r="AD22" s="91"/>
      <c r="AE22" s="41"/>
      <c r="AF22" s="179"/>
      <c r="AG22" s="178"/>
      <c r="AH22" s="175"/>
      <c r="AI22" s="176"/>
      <c r="AJ22" s="42"/>
      <c r="AK22" s="43"/>
      <c r="AL22" s="44"/>
      <c r="AM22" s="45"/>
      <c r="AN22" s="46"/>
      <c r="AO22" s="47"/>
    </row>
    <row r="23" spans="1:41" s="21" customFormat="1" ht="48.75" customHeight="1" x14ac:dyDescent="0.15">
      <c r="A23" s="79"/>
      <c r="B23" s="77"/>
      <c r="C23" s="107"/>
      <c r="D23" s="106"/>
      <c r="E23" s="107"/>
      <c r="F23" s="107"/>
      <c r="G23" s="101"/>
      <c r="H23" s="54"/>
      <c r="I23" s="53"/>
      <c r="J23" s="57"/>
      <c r="K23" s="35"/>
      <c r="L23" s="35"/>
      <c r="M23" s="76"/>
      <c r="N23" s="171">
        <f>SUM(I23:M23)</f>
        <v>0</v>
      </c>
      <c r="O23" s="36"/>
      <c r="P23" s="37"/>
      <c r="Q23" s="37"/>
      <c r="R23" s="37"/>
      <c r="S23" s="37"/>
      <c r="T23" s="38">
        <f>ROUND(((O23*I23)+(P23*J23)+(Q23*K23)+(R23*L23)+(S23*M23)),3)</f>
        <v>0</v>
      </c>
      <c r="U23" s="39">
        <f>IF(T23&gt;=8,8,T23)</f>
        <v>0</v>
      </c>
      <c r="V23" s="40"/>
      <c r="W23" s="40"/>
      <c r="X23" s="40"/>
      <c r="Y23" s="40"/>
      <c r="Z23" s="40"/>
      <c r="AA23" s="65" t="e">
        <f>(((((V23*I23)+(W23*J23)+(X23*K23)+(Y23*L23)+(Z23*M23))/$L$2)))</f>
        <v>#DIV/0!</v>
      </c>
      <c r="AB23" s="70" t="e">
        <f t="shared" ref="AB23" si="12">ROUND(11*AA23,3)</f>
        <v>#DIV/0!</v>
      </c>
      <c r="AC23" s="67" t="e">
        <f t="shared" ref="AC23" si="13">IF(AB23&gt;=11,11,AB23)</f>
        <v>#DIV/0!</v>
      </c>
      <c r="AD23" s="91">
        <f>T24</f>
        <v>0</v>
      </c>
      <c r="AE23" s="41">
        <v>0.3</v>
      </c>
      <c r="AF23" s="174">
        <f>10+4+ROUND(1*I23+1*J23+1*K23+1*L23+1*M23,3)+ROUND(2*I23+2*J23+2*K23+2*L23+2*M23,3)</f>
        <v>14</v>
      </c>
      <c r="AG23" s="166" t="e">
        <f>U23+AC23+AD23+AF23</f>
        <v>#DIV/0!</v>
      </c>
      <c r="AH23" s="175" t="e">
        <f>AG23+AE23</f>
        <v>#DIV/0!</v>
      </c>
      <c r="AI23" s="176" t="e">
        <f>IF(AH23&gt;=40,40,AH23)</f>
        <v>#DIV/0!</v>
      </c>
      <c r="AJ23" s="42"/>
      <c r="AK23" s="43"/>
      <c r="AL23" s="44"/>
      <c r="AM23" s="45"/>
      <c r="AN23" s="46"/>
      <c r="AO23" s="47"/>
    </row>
    <row r="24" spans="1:41" s="21" customFormat="1" ht="26.25" customHeight="1" x14ac:dyDescent="0.15">
      <c r="A24" s="80"/>
      <c r="B24" s="78"/>
      <c r="C24" s="142" t="s">
        <v>46</v>
      </c>
      <c r="D24" s="143"/>
      <c r="E24" s="143"/>
      <c r="F24" s="143"/>
      <c r="G24" s="144"/>
      <c r="H24" s="33"/>
      <c r="I24" s="53"/>
      <c r="J24" s="57"/>
      <c r="K24" s="57"/>
      <c r="L24" s="57"/>
      <c r="M24" s="75"/>
      <c r="N24" s="171"/>
      <c r="O24" s="58"/>
      <c r="P24" s="38"/>
      <c r="Q24" s="37"/>
      <c r="R24" s="38"/>
      <c r="S24" s="38"/>
      <c r="T24" s="69">
        <f>(I23*O24)+(J23*P24)+(K23*Q24)+(L23*R24)+(M23*S24)</f>
        <v>0</v>
      </c>
      <c r="U24" s="39"/>
      <c r="V24" s="40"/>
      <c r="W24" s="40"/>
      <c r="X24" s="40"/>
      <c r="Y24" s="40"/>
      <c r="Z24" s="40"/>
      <c r="AA24" s="65"/>
      <c r="AB24" s="70"/>
      <c r="AC24" s="66"/>
      <c r="AD24" s="91"/>
      <c r="AE24" s="41"/>
      <c r="AF24" s="179"/>
      <c r="AG24" s="178"/>
      <c r="AH24" s="175"/>
      <c r="AI24" s="176"/>
      <c r="AJ24" s="42"/>
      <c r="AK24" s="43"/>
      <c r="AL24" s="44"/>
      <c r="AM24" s="45"/>
      <c r="AN24" s="46"/>
      <c r="AO24" s="47"/>
    </row>
    <row r="25" spans="1:41" s="21" customFormat="1" ht="48.75" customHeight="1" x14ac:dyDescent="0.15">
      <c r="A25" s="79"/>
      <c r="B25" s="77"/>
      <c r="C25" s="107"/>
      <c r="D25" s="106"/>
      <c r="E25" s="107"/>
      <c r="F25" s="107"/>
      <c r="G25" s="101"/>
      <c r="H25" s="33"/>
      <c r="I25" s="53"/>
      <c r="J25" s="57"/>
      <c r="K25" s="35"/>
      <c r="L25" s="35"/>
      <c r="M25" s="76"/>
      <c r="N25" s="171">
        <f>SUM(I25:M25)</f>
        <v>0</v>
      </c>
      <c r="O25" s="36"/>
      <c r="P25" s="37"/>
      <c r="Q25" s="37"/>
      <c r="R25" s="37"/>
      <c r="S25" s="37"/>
      <c r="T25" s="38">
        <f>ROUND(((O25*I25)+(P25*J25)+(Q25*K25)+(R25*L25)+(S25*M25)),3)</f>
        <v>0</v>
      </c>
      <c r="U25" s="39">
        <f>IF(T25&gt;=8,8,T25)</f>
        <v>0</v>
      </c>
      <c r="V25" s="40"/>
      <c r="W25" s="40"/>
      <c r="X25" s="40"/>
      <c r="Y25" s="40"/>
      <c r="Z25" s="40"/>
      <c r="AA25" s="65" t="e">
        <f>(((((V25*I25)+(W25*J25)+(X25*K25)+(Y25*L25)+(Z25*M25))/$L$2)))</f>
        <v>#DIV/0!</v>
      </c>
      <c r="AB25" s="70" t="e">
        <f>ROUND(11*AA25,3)</f>
        <v>#DIV/0!</v>
      </c>
      <c r="AC25" s="67" t="e">
        <f>IF(AB25&gt;=11,11,AB25)</f>
        <v>#DIV/0!</v>
      </c>
      <c r="AD25" s="91">
        <f>T26</f>
        <v>0</v>
      </c>
      <c r="AE25" s="41">
        <v>0.3</v>
      </c>
      <c r="AF25" s="174">
        <f>10+4+ROUND(1*I25+1*J25+1*K25+1*L25+1*M25,3)+ROUND(2*I25+2*J25+2*K25+2*L25+2*M25,3)</f>
        <v>14</v>
      </c>
      <c r="AG25" s="166" t="e">
        <f>U25+AC25+AD25+AF25</f>
        <v>#DIV/0!</v>
      </c>
      <c r="AH25" s="175" t="e">
        <f>AG25+AE25</f>
        <v>#DIV/0!</v>
      </c>
      <c r="AI25" s="176" t="e">
        <f>IF(AH25&gt;=40,40,AH25)</f>
        <v>#DIV/0!</v>
      </c>
      <c r="AJ25" s="42"/>
      <c r="AK25" s="43"/>
      <c r="AL25" s="44"/>
      <c r="AM25" s="45"/>
      <c r="AN25" s="46"/>
      <c r="AO25" s="47"/>
    </row>
    <row r="26" spans="1:41" s="21" customFormat="1" ht="26.25" customHeight="1" x14ac:dyDescent="0.15">
      <c r="A26" s="80"/>
      <c r="B26" s="78"/>
      <c r="C26" s="142" t="s">
        <v>46</v>
      </c>
      <c r="D26" s="143"/>
      <c r="E26" s="143"/>
      <c r="F26" s="143"/>
      <c r="G26" s="144"/>
      <c r="H26" s="33"/>
      <c r="I26" s="53"/>
      <c r="J26" s="57"/>
      <c r="K26" s="57"/>
      <c r="L26" s="57"/>
      <c r="M26" s="75"/>
      <c r="N26" s="171"/>
      <c r="O26" s="37"/>
      <c r="P26" s="37"/>
      <c r="Q26" s="37"/>
      <c r="R26" s="37"/>
      <c r="S26" s="38"/>
      <c r="T26" s="69">
        <f>(I25*O26)+(J25*P26)+(K25*Q26)+(L25*R26)+(M25*S26)</f>
        <v>0</v>
      </c>
      <c r="U26" s="39"/>
      <c r="V26" s="40"/>
      <c r="W26" s="40"/>
      <c r="X26" s="40"/>
      <c r="Y26" s="40"/>
      <c r="Z26" s="40"/>
      <c r="AA26" s="65"/>
      <c r="AB26" s="70"/>
      <c r="AC26" s="66"/>
      <c r="AD26" s="91"/>
      <c r="AE26" s="41"/>
      <c r="AF26" s="179"/>
      <c r="AG26" s="178"/>
      <c r="AH26" s="175"/>
      <c r="AI26" s="176"/>
      <c r="AJ26" s="42"/>
      <c r="AK26" s="43"/>
      <c r="AL26" s="44"/>
      <c r="AM26" s="45"/>
      <c r="AN26" s="46"/>
      <c r="AO26" s="47"/>
    </row>
    <row r="27" spans="1:41" s="21" customFormat="1" ht="48.75" customHeight="1" x14ac:dyDescent="0.15">
      <c r="A27" s="79"/>
      <c r="B27" s="77"/>
      <c r="C27" s="107"/>
      <c r="D27" s="106"/>
      <c r="E27" s="107"/>
      <c r="F27" s="107"/>
      <c r="G27" s="101"/>
      <c r="H27" s="33"/>
      <c r="I27" s="53"/>
      <c r="J27" s="57"/>
      <c r="K27" s="35"/>
      <c r="L27" s="35"/>
      <c r="M27" s="76"/>
      <c r="N27" s="171">
        <f>SUM(I27:M27)</f>
        <v>0</v>
      </c>
      <c r="O27" s="102"/>
      <c r="P27" s="103"/>
      <c r="Q27" s="103"/>
      <c r="R27" s="37"/>
      <c r="S27" s="37"/>
      <c r="T27" s="38">
        <f>ROUND(((O27*I27)+(P27*J27)+(Q27*K27)+(R27*L27)+(S27*M27)),3)</f>
        <v>0</v>
      </c>
      <c r="U27" s="39">
        <f>IF(T27&gt;=8,8,T27)</f>
        <v>0</v>
      </c>
      <c r="V27" s="40"/>
      <c r="W27" s="40"/>
      <c r="X27" s="48"/>
      <c r="Y27" s="40"/>
      <c r="Z27" s="40"/>
      <c r="AA27" s="65" t="e">
        <f>(((((V27*I27)+(W27*J27)+(X27*K27)+(Y27*L27)+(Z27*M27))/$L$2)))</f>
        <v>#DIV/0!</v>
      </c>
      <c r="AB27" s="70" t="e">
        <f t="shared" ref="AB27" si="14">ROUND(11*AA27,3)</f>
        <v>#DIV/0!</v>
      </c>
      <c r="AC27" s="67" t="e">
        <f t="shared" ref="AC27" si="15">IF(AB27&gt;=11,11,AB27)</f>
        <v>#DIV/0!</v>
      </c>
      <c r="AD27" s="91">
        <f>T28</f>
        <v>0</v>
      </c>
      <c r="AE27" s="41">
        <v>0.3</v>
      </c>
      <c r="AF27" s="174">
        <f>10+4+ROUND(1*I27+1*J27+1*K27+1*L27+1*M27,3)+ROUND(2*I27+2*J27+2*K27+2*L27+2*M27,3)</f>
        <v>14</v>
      </c>
      <c r="AG27" s="166" t="e">
        <f>U27+AC27+AD27+AF27</f>
        <v>#DIV/0!</v>
      </c>
      <c r="AH27" s="175" t="e">
        <f>AG27+AE27</f>
        <v>#DIV/0!</v>
      </c>
      <c r="AI27" s="176" t="e">
        <f>IF(AH27&gt;=40,40,AH27)</f>
        <v>#DIV/0!</v>
      </c>
      <c r="AJ27" s="42"/>
      <c r="AK27" s="43"/>
      <c r="AL27" s="44"/>
      <c r="AM27" s="45">
        <f>100%+AL27</f>
        <v>1</v>
      </c>
      <c r="AN27" s="46">
        <f>ROUNDUP((($E$2*AM27-$AN$4)*AJ27+$AN$4),-3)</f>
        <v>0</v>
      </c>
      <c r="AO27" s="47"/>
    </row>
    <row r="28" spans="1:41" s="21" customFormat="1" ht="26.25" customHeight="1" x14ac:dyDescent="0.15">
      <c r="A28" s="80"/>
      <c r="B28" s="78"/>
      <c r="C28" s="153" t="s">
        <v>46</v>
      </c>
      <c r="D28" s="154"/>
      <c r="E28" s="154"/>
      <c r="F28" s="154"/>
      <c r="G28" s="155"/>
      <c r="H28" s="56"/>
      <c r="I28" s="53"/>
      <c r="J28" s="57"/>
      <c r="K28" s="57"/>
      <c r="L28" s="57"/>
      <c r="M28" s="98"/>
      <c r="N28" s="171"/>
      <c r="O28" s="105"/>
      <c r="P28" s="105"/>
      <c r="Q28" s="105"/>
      <c r="R28" s="38"/>
      <c r="S28" s="38"/>
      <c r="T28" s="69">
        <f>(I27*O28)+(J27*P28)+(K27*Q28)+(L27*R28)+(M27*S28)</f>
        <v>0</v>
      </c>
      <c r="U28" s="39"/>
      <c r="V28" s="40"/>
      <c r="W28" s="40"/>
      <c r="X28" s="40"/>
      <c r="Y28" s="40"/>
      <c r="Z28" s="40"/>
      <c r="AA28" s="65"/>
      <c r="AB28" s="70"/>
      <c r="AC28" s="66"/>
      <c r="AD28" s="91"/>
      <c r="AE28" s="41"/>
      <c r="AF28" s="179"/>
      <c r="AG28" s="178"/>
      <c r="AH28" s="175"/>
      <c r="AI28" s="176"/>
      <c r="AJ28" s="42"/>
      <c r="AK28" s="43"/>
      <c r="AL28" s="44"/>
      <c r="AM28" s="45"/>
      <c r="AN28" s="46"/>
      <c r="AO28" s="47"/>
    </row>
    <row r="29" spans="1:41" s="21" customFormat="1" ht="48.75" customHeight="1" x14ac:dyDescent="0.15">
      <c r="A29" s="79"/>
      <c r="B29" s="77"/>
      <c r="C29" s="107"/>
      <c r="D29" s="106"/>
      <c r="E29" s="107"/>
      <c r="F29" s="107"/>
      <c r="G29" s="101"/>
      <c r="H29" s="33"/>
      <c r="I29" s="53"/>
      <c r="J29" s="57"/>
      <c r="K29" s="35"/>
      <c r="L29" s="57"/>
      <c r="M29" s="76"/>
      <c r="N29" s="171">
        <f>SUM(I29:M29)</f>
        <v>0</v>
      </c>
      <c r="O29" s="102"/>
      <c r="P29" s="103"/>
      <c r="Q29" s="103"/>
      <c r="R29" s="37"/>
      <c r="S29" s="37"/>
      <c r="T29" s="38">
        <f>ROUND(((O29*I29)+(P29*J29)+(Q29*K29)+(R29*L29)+(S29*M29)),3)</f>
        <v>0</v>
      </c>
      <c r="U29" s="39">
        <f>IF(T29&gt;=8,8,T29)</f>
        <v>0</v>
      </c>
      <c r="V29" s="40"/>
      <c r="W29" s="40"/>
      <c r="X29" s="40"/>
      <c r="Y29" s="40"/>
      <c r="Z29" s="40"/>
      <c r="AA29" s="65" t="e">
        <f>(((((V29*I29)+(W29*J29)+(X29*K29)+(Y29*L29)+(Z29*M29))/$L$2)))</f>
        <v>#DIV/0!</v>
      </c>
      <c r="AB29" s="70" t="e">
        <f>ROUND(11*AA29,3)</f>
        <v>#DIV/0!</v>
      </c>
      <c r="AC29" s="67" t="e">
        <f>IF(AB29&gt;=11,11,AB29)</f>
        <v>#DIV/0!</v>
      </c>
      <c r="AD29" s="91">
        <f>T30</f>
        <v>0</v>
      </c>
      <c r="AE29" s="41">
        <v>0.3</v>
      </c>
      <c r="AF29" s="174">
        <f>10+4+ROUND(1*I29+1*J29+1*K29+1*L29+1*M29,3)+ROUND(2*I29+2*J29+2*K29+2*L29+2*M29,3)</f>
        <v>14</v>
      </c>
      <c r="AG29" s="166" t="e">
        <f>U29+AC29+AD29+AF29</f>
        <v>#DIV/0!</v>
      </c>
      <c r="AH29" s="175" t="e">
        <f>AG29+AE29</f>
        <v>#DIV/0!</v>
      </c>
      <c r="AI29" s="176" t="e">
        <f>IF(AH29&gt;=40,40,AH29)</f>
        <v>#DIV/0!</v>
      </c>
      <c r="AJ29" s="42"/>
      <c r="AK29" s="43"/>
      <c r="AL29" s="44"/>
      <c r="AM29" s="45">
        <f>100%+AL29</f>
        <v>1</v>
      </c>
      <c r="AN29" s="46">
        <f>ROUNDUP((($E$2*AM29-$AN$4)*AJ29+$AN$4),-3)</f>
        <v>0</v>
      </c>
      <c r="AO29" s="47"/>
    </row>
    <row r="30" spans="1:41" s="21" customFormat="1" ht="26.25" customHeight="1" x14ac:dyDescent="0.15">
      <c r="A30" s="80"/>
      <c r="B30" s="78"/>
      <c r="C30" s="142" t="s">
        <v>46</v>
      </c>
      <c r="D30" s="143"/>
      <c r="E30" s="143"/>
      <c r="F30" s="143"/>
      <c r="G30" s="144"/>
      <c r="H30" s="33"/>
      <c r="I30" s="53"/>
      <c r="J30" s="57"/>
      <c r="K30" s="57"/>
      <c r="L30" s="57"/>
      <c r="M30" s="75"/>
      <c r="N30" s="171"/>
      <c r="O30" s="104"/>
      <c r="P30" s="105"/>
      <c r="Q30" s="105"/>
      <c r="R30" s="38"/>
      <c r="S30" s="38"/>
      <c r="T30" s="69">
        <f>(I29*O30)+(J29*P30)+(K29*Q30)+(L29*R30)+(M29*S30)</f>
        <v>0</v>
      </c>
      <c r="U30" s="39"/>
      <c r="V30" s="40"/>
      <c r="W30" s="40"/>
      <c r="X30" s="40"/>
      <c r="Y30" s="40"/>
      <c r="Z30" s="40"/>
      <c r="AA30" s="65"/>
      <c r="AB30" s="70"/>
      <c r="AC30" s="66"/>
      <c r="AD30" s="91"/>
      <c r="AE30" s="41"/>
      <c r="AF30" s="179"/>
      <c r="AG30" s="178"/>
      <c r="AH30" s="175"/>
      <c r="AI30" s="176"/>
      <c r="AJ30" s="42"/>
      <c r="AK30" s="43"/>
      <c r="AL30" s="44"/>
      <c r="AM30" s="45"/>
      <c r="AN30" s="46"/>
      <c r="AO30" s="47"/>
    </row>
    <row r="31" spans="1:41" s="21" customFormat="1" ht="62.25" customHeight="1" x14ac:dyDescent="0.15">
      <c r="A31" s="79"/>
      <c r="B31" s="77"/>
      <c r="C31" s="107"/>
      <c r="D31" s="106"/>
      <c r="E31" s="107"/>
      <c r="F31" s="107"/>
      <c r="G31" s="101"/>
      <c r="H31" s="33"/>
      <c r="I31" s="83"/>
      <c r="J31" s="84"/>
      <c r="K31" s="81"/>
      <c r="L31" s="81"/>
      <c r="M31" s="94"/>
      <c r="N31" s="171">
        <f>SUM(I31:M31)</f>
        <v>0</v>
      </c>
      <c r="O31" s="102"/>
      <c r="P31" s="102"/>
      <c r="Q31" s="103"/>
      <c r="R31" s="37"/>
      <c r="S31" s="37"/>
      <c r="T31" s="38">
        <f>ROUND(((O31*I31)+(P31*J31)+(Q31*K31)+(R31*L31)+(S31*M31)),3)</f>
        <v>0</v>
      </c>
      <c r="U31" s="39">
        <f>IF(T31&gt;=8,8,T31)</f>
        <v>0</v>
      </c>
      <c r="V31" s="40"/>
      <c r="W31" s="40"/>
      <c r="X31" s="40"/>
      <c r="Y31" s="40"/>
      <c r="Z31" s="40"/>
      <c r="AA31" s="65" t="e">
        <f>(((((V31*I31)+(W31*J31)+(X31*K31)+(Y31*L31)+(Z31*M31))/$L$2)))</f>
        <v>#DIV/0!</v>
      </c>
      <c r="AB31" s="70" t="e">
        <f>ROUND(11*AA31,3)</f>
        <v>#DIV/0!</v>
      </c>
      <c r="AC31" s="67" t="e">
        <f t="shared" ref="AC31" si="16">IF(AB31&gt;=11,11,AB31)</f>
        <v>#DIV/0!</v>
      </c>
      <c r="AD31" s="91">
        <f>T32</f>
        <v>0</v>
      </c>
      <c r="AE31" s="41">
        <v>0.3</v>
      </c>
      <c r="AF31" s="174">
        <f>10+4+ROUND(1*I31+1*J31+1*K31+1*L31+1*M31,3)+ROUND(2*I31+2*J31+2*K31+2*L31+2*M31,3)</f>
        <v>14</v>
      </c>
      <c r="AG31" s="166" t="e">
        <f>U31+AC31+AD31+AF31</f>
        <v>#DIV/0!</v>
      </c>
      <c r="AH31" s="175" t="e">
        <f>AG31+AE31</f>
        <v>#DIV/0!</v>
      </c>
      <c r="AI31" s="176" t="e">
        <f>IF(AH31&gt;=40,40,AH31)</f>
        <v>#DIV/0!</v>
      </c>
      <c r="AJ31" s="42"/>
      <c r="AK31" s="43"/>
      <c r="AL31" s="44"/>
      <c r="AM31" s="45"/>
      <c r="AN31" s="46"/>
      <c r="AO31" s="47"/>
    </row>
    <row r="32" spans="1:41" s="21" customFormat="1" ht="26.25" customHeight="1" x14ac:dyDescent="0.15">
      <c r="A32" s="80"/>
      <c r="B32" s="78"/>
      <c r="C32" s="142" t="s">
        <v>46</v>
      </c>
      <c r="D32" s="143"/>
      <c r="E32" s="143"/>
      <c r="F32" s="143"/>
      <c r="G32" s="144"/>
      <c r="H32" s="82"/>
      <c r="I32" s="83"/>
      <c r="J32" s="84"/>
      <c r="K32" s="84"/>
      <c r="L32" s="84"/>
      <c r="M32" s="95"/>
      <c r="N32" s="171"/>
      <c r="O32" s="104"/>
      <c r="P32" s="105"/>
      <c r="Q32" s="105"/>
      <c r="R32" s="38"/>
      <c r="S32" s="38"/>
      <c r="T32" s="69">
        <f>(I31*O32)+(J31*P32)+(K31*Q32)+(L31*R32)+(M31*S32)</f>
        <v>0</v>
      </c>
      <c r="U32" s="39"/>
      <c r="V32" s="40"/>
      <c r="W32" s="40"/>
      <c r="X32" s="40"/>
      <c r="Y32" s="40"/>
      <c r="Z32" s="40"/>
      <c r="AA32" s="65"/>
      <c r="AB32" s="70"/>
      <c r="AC32" s="66"/>
      <c r="AD32" s="91"/>
      <c r="AE32" s="41"/>
      <c r="AF32" s="179"/>
      <c r="AG32" s="178"/>
      <c r="AH32" s="175"/>
      <c r="AI32" s="176"/>
      <c r="AJ32" s="42"/>
      <c r="AK32" s="43"/>
      <c r="AL32" s="44"/>
      <c r="AM32" s="45"/>
      <c r="AN32" s="46"/>
      <c r="AO32" s="47"/>
    </row>
    <row r="33" spans="1:41" s="21" customFormat="1" ht="52.5" customHeight="1" x14ac:dyDescent="0.15">
      <c r="A33" s="79"/>
      <c r="B33" s="77"/>
      <c r="C33" s="107"/>
      <c r="D33" s="106"/>
      <c r="E33" s="107"/>
      <c r="F33" s="107"/>
      <c r="G33" s="101"/>
      <c r="H33" s="33"/>
      <c r="I33" s="53"/>
      <c r="J33" s="57"/>
      <c r="K33" s="35"/>
      <c r="L33" s="35"/>
      <c r="M33" s="60"/>
      <c r="N33" s="171">
        <f>SUM(I33:M33)</f>
        <v>0</v>
      </c>
      <c r="O33" s="36"/>
      <c r="P33" s="37"/>
      <c r="Q33" s="37"/>
      <c r="R33" s="37"/>
      <c r="S33" s="37"/>
      <c r="T33" s="38">
        <f>ROUND(((O33*I33)+(P33*J33)+(Q33*K33)+(R33*L33)+(S33*M33)),3)</f>
        <v>0</v>
      </c>
      <c r="U33" s="39">
        <f>IF(T33&gt;=8,8,T33)</f>
        <v>0</v>
      </c>
      <c r="V33" s="40"/>
      <c r="W33" s="40"/>
      <c r="X33" s="40"/>
      <c r="Y33" s="40"/>
      <c r="Z33" s="40"/>
      <c r="AA33" s="65" t="e">
        <f>(((((V33*I33)+(W33*J33)+(X33*K33)+(Y33*L33)+(Z33*M33))/$L$2)))</f>
        <v>#DIV/0!</v>
      </c>
      <c r="AB33" s="70" t="e">
        <f>ROUND(11*AA33,3)</f>
        <v>#DIV/0!</v>
      </c>
      <c r="AC33" s="67" t="e">
        <f>IF(AB33&gt;=11,11,AB33)</f>
        <v>#DIV/0!</v>
      </c>
      <c r="AD33" s="91">
        <f>T34</f>
        <v>0</v>
      </c>
      <c r="AE33" s="41">
        <v>0.3</v>
      </c>
      <c r="AF33" s="174">
        <f>10+4+ROUND(1*I33+1*J33+1*K33+1*L33+1*M33,3)+ROUND(2*I33+2*J33+2*K33+2*L33+2*M33,3)</f>
        <v>14</v>
      </c>
      <c r="AG33" s="166" t="e">
        <f>U33+AC33+AD33+AF33</f>
        <v>#DIV/0!</v>
      </c>
      <c r="AH33" s="175" t="e">
        <f>AG33+AE33</f>
        <v>#DIV/0!</v>
      </c>
      <c r="AI33" s="176" t="e">
        <f>IF(AH33&gt;=40,40,AH33)</f>
        <v>#DIV/0!</v>
      </c>
      <c r="AJ33" s="42"/>
      <c r="AK33" s="43"/>
      <c r="AL33" s="44"/>
      <c r="AM33" s="45">
        <f>100%+AL33</f>
        <v>1</v>
      </c>
      <c r="AN33" s="46">
        <f>ROUNDUP((($E$2*AM33-$AN$4)*AJ33+$AN$4),-3)</f>
        <v>0</v>
      </c>
      <c r="AO33" s="47"/>
    </row>
    <row r="34" spans="1:41" s="21" customFormat="1" ht="26.25" customHeight="1" x14ac:dyDescent="0.15">
      <c r="A34" s="80"/>
      <c r="B34" s="78"/>
      <c r="C34" s="142" t="s">
        <v>46</v>
      </c>
      <c r="D34" s="143"/>
      <c r="E34" s="143"/>
      <c r="F34" s="143"/>
      <c r="G34" s="144"/>
      <c r="H34" s="33"/>
      <c r="I34" s="53"/>
      <c r="J34" s="57"/>
      <c r="K34" s="57"/>
      <c r="L34" s="57"/>
      <c r="M34" s="75"/>
      <c r="N34" s="171"/>
      <c r="O34" s="38"/>
      <c r="P34" s="38"/>
      <c r="Q34" s="38"/>
      <c r="R34" s="38"/>
      <c r="S34" s="38"/>
      <c r="T34" s="69">
        <f>(I33*O34)+(J33*P34)+(K33*Q34)+(L33*R34)+(M33*S34)</f>
        <v>0</v>
      </c>
      <c r="U34" s="39"/>
      <c r="V34" s="40"/>
      <c r="W34" s="40"/>
      <c r="X34" s="40"/>
      <c r="Y34" s="40"/>
      <c r="Z34" s="40"/>
      <c r="AA34" s="65"/>
      <c r="AB34" s="70"/>
      <c r="AC34" s="66"/>
      <c r="AD34" s="91"/>
      <c r="AE34" s="41"/>
      <c r="AF34" s="179"/>
      <c r="AG34" s="178"/>
      <c r="AH34" s="175"/>
      <c r="AI34" s="176"/>
      <c r="AJ34" s="42"/>
      <c r="AK34" s="43"/>
      <c r="AL34" s="44"/>
      <c r="AM34" s="45"/>
      <c r="AN34" s="46"/>
      <c r="AO34" s="47"/>
    </row>
    <row r="35" spans="1:41" s="21" customFormat="1" ht="48.75" customHeight="1" x14ac:dyDescent="0.15">
      <c r="A35" s="79"/>
      <c r="B35" s="77"/>
      <c r="C35" s="107"/>
      <c r="D35" s="106"/>
      <c r="E35" s="107"/>
      <c r="F35" s="107"/>
      <c r="G35" s="101"/>
      <c r="H35" s="33"/>
      <c r="I35" s="53"/>
      <c r="J35" s="57"/>
      <c r="K35" s="35"/>
      <c r="L35" s="57"/>
      <c r="M35" s="75"/>
      <c r="N35" s="171">
        <f>SUM(I35:M35)</f>
        <v>0</v>
      </c>
      <c r="O35" s="102"/>
      <c r="P35" s="103"/>
      <c r="Q35" s="103"/>
      <c r="R35" s="103"/>
      <c r="S35" s="103"/>
      <c r="T35" s="38">
        <f>ROUND(((O35*I35)+(P35*J35)+(Q35*K35)+(R35*L35)+(S35*M35)),3)</f>
        <v>0</v>
      </c>
      <c r="U35" s="39">
        <f>IF(T35&gt;=8,8,T35)</f>
        <v>0</v>
      </c>
      <c r="V35" s="40"/>
      <c r="W35" s="40"/>
      <c r="X35" s="40"/>
      <c r="Y35" s="40"/>
      <c r="Z35" s="40"/>
      <c r="AA35" s="65" t="e">
        <f>(((((V35*I35)+(W35*J35)+(X35*K35)+(Y35*L35)+(Z35*M35))/$L$2)))</f>
        <v>#DIV/0!</v>
      </c>
      <c r="AB35" s="70" t="e">
        <f>ROUND(11*AA35,3)</f>
        <v>#DIV/0!</v>
      </c>
      <c r="AC35" s="67" t="e">
        <f t="shared" ref="AC35" si="17">IF(AB35&gt;=11,11,AB35)</f>
        <v>#DIV/0!</v>
      </c>
      <c r="AD35" s="91">
        <f>T36</f>
        <v>0</v>
      </c>
      <c r="AE35" s="41">
        <v>0.3</v>
      </c>
      <c r="AF35" s="174">
        <f>10+4+ROUND(1*I35+1*J35+1*K35+1*L35+1*M35,3)+ROUND(2*I35+2*J35+2*K35+2*L35+2*M35,3)</f>
        <v>14</v>
      </c>
      <c r="AG35" s="166" t="e">
        <f>U35+AC35+AD35+AF35</f>
        <v>#DIV/0!</v>
      </c>
      <c r="AH35" s="175" t="e">
        <f>AG35+AE35</f>
        <v>#DIV/0!</v>
      </c>
      <c r="AI35" s="176" t="e">
        <f>IF(AH35&gt;=40,40,AH35)</f>
        <v>#DIV/0!</v>
      </c>
      <c r="AJ35" s="42"/>
      <c r="AK35" s="43"/>
      <c r="AL35" s="44"/>
      <c r="AM35" s="45">
        <f>100%+AL35</f>
        <v>1</v>
      </c>
      <c r="AN35" s="46">
        <f>ROUNDUP((($E$2*AM35-$AN$4)*AJ35+$AN$4),-3)</f>
        <v>0</v>
      </c>
      <c r="AO35" s="47"/>
    </row>
    <row r="36" spans="1:41" s="21" customFormat="1" ht="26.25" customHeight="1" x14ac:dyDescent="0.15">
      <c r="A36" s="80"/>
      <c r="B36" s="78"/>
      <c r="C36" s="142" t="s">
        <v>46</v>
      </c>
      <c r="D36" s="143"/>
      <c r="E36" s="143"/>
      <c r="F36" s="143"/>
      <c r="G36" s="144"/>
      <c r="H36" s="33"/>
      <c r="I36" s="53"/>
      <c r="J36" s="57"/>
      <c r="K36" s="57"/>
      <c r="L36" s="57"/>
      <c r="M36" s="75"/>
      <c r="N36" s="171"/>
      <c r="O36" s="105"/>
      <c r="P36" s="105"/>
      <c r="Q36" s="105"/>
      <c r="R36" s="105"/>
      <c r="S36" s="105"/>
      <c r="T36" s="69">
        <f>(I35*O36)+(J35*P36)+(K35*Q36)+(L35*R36)+(M35*S36)</f>
        <v>0</v>
      </c>
      <c r="U36" s="39"/>
      <c r="V36" s="40"/>
      <c r="W36" s="40"/>
      <c r="X36" s="40"/>
      <c r="Y36" s="40"/>
      <c r="Z36" s="40"/>
      <c r="AA36" s="65"/>
      <c r="AB36" s="70"/>
      <c r="AC36" s="66"/>
      <c r="AD36" s="91"/>
      <c r="AE36" s="41"/>
      <c r="AF36" s="179"/>
      <c r="AG36" s="178"/>
      <c r="AH36" s="175"/>
      <c r="AI36" s="176"/>
      <c r="AJ36" s="42"/>
      <c r="AK36" s="43"/>
      <c r="AL36" s="44"/>
      <c r="AM36" s="45"/>
      <c r="AN36" s="46"/>
      <c r="AO36" s="47"/>
    </row>
    <row r="37" spans="1:41" s="21" customFormat="1" ht="48.75" customHeight="1" x14ac:dyDescent="0.15">
      <c r="A37" s="79"/>
      <c r="B37" s="77"/>
      <c r="C37" s="107"/>
      <c r="D37" s="106"/>
      <c r="E37" s="107"/>
      <c r="F37" s="107"/>
      <c r="G37" s="101"/>
      <c r="H37" s="33"/>
      <c r="I37" s="53"/>
      <c r="J37" s="57"/>
      <c r="K37" s="35"/>
      <c r="L37" s="35"/>
      <c r="M37" s="76"/>
      <c r="N37" s="171">
        <f>SUM(I37:M37)</f>
        <v>0</v>
      </c>
      <c r="O37" s="102"/>
      <c r="P37" s="103"/>
      <c r="Q37" s="103"/>
      <c r="R37" s="103"/>
      <c r="S37" s="103"/>
      <c r="T37" s="38">
        <f>ROUND(((O37*I37)+(P37*J37)+(Q37*K37)+(R37*L37)+(S37*M37)),3)</f>
        <v>0</v>
      </c>
      <c r="U37" s="39">
        <f>IF(T37&gt;=8,8,T37)</f>
        <v>0</v>
      </c>
      <c r="V37" s="48"/>
      <c r="W37" s="40"/>
      <c r="X37" s="40"/>
      <c r="Y37" s="40"/>
      <c r="Z37" s="40"/>
      <c r="AA37" s="65" t="e">
        <f>(((((V37*I37)+(W37*J37)+(X37*K37)+(Y37*L37)+(Z37*M37))/$L$2)))</f>
        <v>#DIV/0!</v>
      </c>
      <c r="AB37" s="70" t="e">
        <f>ROUND(11*AA37,3)</f>
        <v>#DIV/0!</v>
      </c>
      <c r="AC37" s="67" t="e">
        <f>IF(AB37&gt;=11,11,AB37)</f>
        <v>#DIV/0!</v>
      </c>
      <c r="AD37" s="91">
        <f>T38</f>
        <v>0</v>
      </c>
      <c r="AE37" s="41">
        <v>0.3</v>
      </c>
      <c r="AF37" s="174">
        <f>10+4+ROUND(1*I37+1*J37+1*K37+1*L37+1*M37,3)+ROUND(2*I37+2*J37+2*K37+2*L37+2*M37,3)</f>
        <v>14</v>
      </c>
      <c r="AG37" s="166" t="e">
        <f>U37+AC37+AD37+AF37</f>
        <v>#DIV/0!</v>
      </c>
      <c r="AH37" s="175" t="e">
        <f>AG37+AE37</f>
        <v>#DIV/0!</v>
      </c>
      <c r="AI37" s="176" t="e">
        <f>IF(AH37&gt;=40,40,AH37)</f>
        <v>#DIV/0!</v>
      </c>
      <c r="AJ37" s="42"/>
      <c r="AK37" s="43"/>
      <c r="AL37" s="44"/>
      <c r="AM37" s="45">
        <f>100%+AL37</f>
        <v>1</v>
      </c>
      <c r="AN37" s="46">
        <f>ROUNDUP((($E$2*AM37-$AN$4)*AJ37+$AN$4),-3)</f>
        <v>0</v>
      </c>
      <c r="AO37" s="47"/>
    </row>
    <row r="38" spans="1:41" s="21" customFormat="1" ht="26.25" customHeight="1" x14ac:dyDescent="0.15">
      <c r="A38" s="80"/>
      <c r="B38" s="78"/>
      <c r="C38" s="142" t="s">
        <v>46</v>
      </c>
      <c r="D38" s="143"/>
      <c r="E38" s="143"/>
      <c r="F38" s="143"/>
      <c r="G38" s="144"/>
      <c r="H38" s="33"/>
      <c r="I38" s="53"/>
      <c r="J38" s="57"/>
      <c r="K38" s="57"/>
      <c r="L38" s="57"/>
      <c r="M38" s="75"/>
      <c r="N38" s="171"/>
      <c r="O38" s="104"/>
      <c r="P38" s="105"/>
      <c r="Q38" s="103"/>
      <c r="R38" s="105"/>
      <c r="S38" s="105"/>
      <c r="T38" s="69">
        <f>(I37*O38)+(J37*P38)+(K37*Q38)+(L37*R38)+(M37*S38)</f>
        <v>0</v>
      </c>
      <c r="U38" s="39"/>
      <c r="V38" s="40"/>
      <c r="W38" s="40"/>
      <c r="X38" s="40"/>
      <c r="Y38" s="40"/>
      <c r="Z38" s="40"/>
      <c r="AA38" s="65"/>
      <c r="AB38" s="70"/>
      <c r="AC38" s="66"/>
      <c r="AD38" s="91"/>
      <c r="AE38" s="41"/>
      <c r="AF38" s="179"/>
      <c r="AG38" s="178"/>
      <c r="AH38" s="175"/>
      <c r="AI38" s="176"/>
      <c r="AJ38" s="42"/>
      <c r="AK38" s="43"/>
      <c r="AL38" s="44"/>
      <c r="AM38" s="45"/>
      <c r="AN38" s="46"/>
      <c r="AO38" s="47"/>
    </row>
    <row r="39" spans="1:41" s="21" customFormat="1" ht="48.75" customHeight="1" x14ac:dyDescent="0.15">
      <c r="A39" s="79"/>
      <c r="B39" s="77"/>
      <c r="C39" s="107"/>
      <c r="D39" s="106"/>
      <c r="E39" s="107"/>
      <c r="F39" s="107"/>
      <c r="G39" s="101"/>
      <c r="H39" s="33"/>
      <c r="I39" s="53"/>
      <c r="J39" s="57"/>
      <c r="K39" s="35"/>
      <c r="L39" s="35"/>
      <c r="M39" s="76"/>
      <c r="N39" s="171">
        <f>SUM(I39:M39)</f>
        <v>0</v>
      </c>
      <c r="O39" s="102"/>
      <c r="P39" s="103"/>
      <c r="Q39" s="103"/>
      <c r="R39" s="103"/>
      <c r="S39" s="103"/>
      <c r="T39" s="38">
        <f>ROUND(((O39*I39)+(P39*J39)+(Q39*K39)+(R39*L39)+(S39*M39)),3)</f>
        <v>0</v>
      </c>
      <c r="U39" s="39">
        <f>IF(T39&gt;=8,8,T39)</f>
        <v>0</v>
      </c>
      <c r="V39" s="40"/>
      <c r="W39" s="40"/>
      <c r="X39" s="40"/>
      <c r="Y39" s="40"/>
      <c r="Z39" s="40"/>
      <c r="AA39" s="65" t="e">
        <f>(((((V39*I39)+(W39*J39)+(X39*K39)+(Y39*L39)+(Z39*M39))/$L$2)))</f>
        <v>#DIV/0!</v>
      </c>
      <c r="AB39" s="70" t="e">
        <f t="shared" ref="AB39" si="18">ROUND(11*AA39,3)</f>
        <v>#DIV/0!</v>
      </c>
      <c r="AC39" s="67" t="e">
        <f t="shared" ref="AC39" si="19">IF(AB39&gt;=11,11,AB39)</f>
        <v>#DIV/0!</v>
      </c>
      <c r="AD39" s="91">
        <f>T40</f>
        <v>0</v>
      </c>
      <c r="AE39" s="41">
        <v>0.3</v>
      </c>
      <c r="AF39" s="174">
        <f>10+4+ROUND(1*I39+1*J39+1*K39+1*L39+1*M39,3)+ROUND(2*I39+2*J39+2*K39+2*L39+2*M39,3)</f>
        <v>14</v>
      </c>
      <c r="AG39" s="166" t="e">
        <f>U39+AC39+AD39+AF39</f>
        <v>#DIV/0!</v>
      </c>
      <c r="AH39" s="175" t="e">
        <f>AG39+AE39</f>
        <v>#DIV/0!</v>
      </c>
      <c r="AI39" s="176" t="e">
        <f>IF(AH39&gt;=40,40,AH39)</f>
        <v>#DIV/0!</v>
      </c>
      <c r="AJ39" s="42"/>
      <c r="AK39" s="43"/>
      <c r="AL39" s="44"/>
      <c r="AM39" s="45">
        <f>100%+AL39</f>
        <v>1</v>
      </c>
      <c r="AN39" s="46">
        <f>ROUNDUP((($E$2*AM39-$AN$4)*AJ39+$AN$4),-3)</f>
        <v>0</v>
      </c>
      <c r="AO39" s="47"/>
    </row>
    <row r="40" spans="1:41" s="21" customFormat="1" ht="26.25" customHeight="1" x14ac:dyDescent="0.15">
      <c r="A40" s="80"/>
      <c r="B40" s="78"/>
      <c r="C40" s="142" t="s">
        <v>46</v>
      </c>
      <c r="D40" s="143"/>
      <c r="E40" s="143"/>
      <c r="F40" s="143"/>
      <c r="G40" s="144"/>
      <c r="H40" s="33"/>
      <c r="I40" s="53"/>
      <c r="J40" s="57"/>
      <c r="K40" s="57"/>
      <c r="L40" s="57"/>
      <c r="M40" s="75"/>
      <c r="N40" s="171"/>
      <c r="O40" s="104"/>
      <c r="P40" s="105"/>
      <c r="Q40" s="105"/>
      <c r="R40" s="105"/>
      <c r="S40" s="105"/>
      <c r="T40" s="69">
        <f>(I39*O40)+(J39*P40)+(K39*Q40)+(L39*R40)+(M39*S40)</f>
        <v>0</v>
      </c>
      <c r="U40" s="39"/>
      <c r="V40" s="40"/>
      <c r="W40" s="40"/>
      <c r="X40" s="40"/>
      <c r="Y40" s="40"/>
      <c r="Z40" s="40"/>
      <c r="AA40" s="65"/>
      <c r="AB40" s="70"/>
      <c r="AC40" s="66"/>
      <c r="AD40" s="91"/>
      <c r="AE40" s="41"/>
      <c r="AF40" s="179"/>
      <c r="AG40" s="178"/>
      <c r="AH40" s="175"/>
      <c r="AI40" s="176"/>
      <c r="AJ40" s="42"/>
      <c r="AK40" s="43"/>
      <c r="AL40" s="44"/>
      <c r="AM40" s="45"/>
      <c r="AN40" s="46"/>
      <c r="AO40" s="47"/>
    </row>
    <row r="41" spans="1:41" s="21" customFormat="1" ht="48" customHeight="1" x14ac:dyDescent="0.15">
      <c r="A41" s="79"/>
      <c r="B41" s="77"/>
      <c r="C41" s="107"/>
      <c r="D41" s="106"/>
      <c r="E41" s="107"/>
      <c r="F41" s="107"/>
      <c r="G41" s="101"/>
      <c r="H41" s="33"/>
      <c r="I41" s="53"/>
      <c r="J41" s="57"/>
      <c r="K41" s="35"/>
      <c r="L41" s="35"/>
      <c r="M41" s="76"/>
      <c r="N41" s="171">
        <f>SUM(I41:M41)</f>
        <v>0</v>
      </c>
      <c r="O41" s="102"/>
      <c r="P41" s="103"/>
      <c r="Q41" s="103"/>
      <c r="R41" s="103"/>
      <c r="S41" s="103"/>
      <c r="T41" s="38">
        <f>ROUND(((O41*I41)+(P41*J41)+(Q41*K41)+(R41*L41)+(S41*M41)),3)</f>
        <v>0</v>
      </c>
      <c r="U41" s="39">
        <f>IF(T41&gt;=8,8,T41)</f>
        <v>0</v>
      </c>
      <c r="V41" s="40"/>
      <c r="W41" s="40"/>
      <c r="X41" s="40"/>
      <c r="Y41" s="40"/>
      <c r="Z41" s="40"/>
      <c r="AA41" s="71" t="e">
        <f>(((((V41*I41)+(W41*J41)+(X41*K41)+(Y41*L41)+(Z41*M41))/$L$2)))</f>
        <v>#DIV/0!</v>
      </c>
      <c r="AB41" s="70" t="e">
        <f t="shared" ref="AB41" si="20">ROUND(11*AA41,3)</f>
        <v>#DIV/0!</v>
      </c>
      <c r="AC41" s="67" t="e">
        <f t="shared" ref="AC41" si="21">IF(AB41&gt;=11,11,AB41)</f>
        <v>#DIV/0!</v>
      </c>
      <c r="AD41" s="91">
        <f>T42</f>
        <v>0</v>
      </c>
      <c r="AE41" s="41">
        <v>0.3</v>
      </c>
      <c r="AF41" s="174">
        <f>10+4+ROUND(1*I41+1*J41+1*K41+1*L41+1*M41,3)+ROUND(2*I41+2*J41+2*K41+2*L41+2*M41,3)</f>
        <v>14</v>
      </c>
      <c r="AG41" s="166" t="e">
        <f>U41+AC41+AD41+AF41</f>
        <v>#DIV/0!</v>
      </c>
      <c r="AH41" s="175" t="e">
        <f>AG41+AE41</f>
        <v>#DIV/0!</v>
      </c>
      <c r="AI41" s="176" t="e">
        <f>IF(AH41&gt;=40,40,AH41)</f>
        <v>#DIV/0!</v>
      </c>
      <c r="AJ41" s="42"/>
      <c r="AK41" s="43"/>
      <c r="AL41" s="44"/>
      <c r="AM41" s="45">
        <f>100%+AL41</f>
        <v>1</v>
      </c>
      <c r="AN41" s="46">
        <f>ROUNDUP((($E$2*AM41-$AN$4)*AJ41+$AN$4),-3)</f>
        <v>0</v>
      </c>
      <c r="AO41" s="47"/>
    </row>
    <row r="42" spans="1:41" s="21" customFormat="1" ht="26.25" customHeight="1" x14ac:dyDescent="0.15">
      <c r="A42" s="80"/>
      <c r="B42" s="78"/>
      <c r="C42" s="142" t="s">
        <v>46</v>
      </c>
      <c r="D42" s="143"/>
      <c r="E42" s="143"/>
      <c r="F42" s="143"/>
      <c r="G42" s="144"/>
      <c r="H42" s="33"/>
      <c r="I42" s="53"/>
      <c r="J42" s="57"/>
      <c r="K42" s="57"/>
      <c r="L42" s="57"/>
      <c r="M42" s="75"/>
      <c r="N42" s="171"/>
      <c r="O42" s="104"/>
      <c r="P42" s="105"/>
      <c r="Q42" s="105"/>
      <c r="R42" s="105"/>
      <c r="S42" s="105"/>
      <c r="T42" s="69">
        <f>(I41*O42)+(J41*P42)+(K41*Q42)+(L41*R42)+(M41*S42)</f>
        <v>0</v>
      </c>
      <c r="U42" s="39"/>
      <c r="V42" s="40"/>
      <c r="W42" s="40"/>
      <c r="X42" s="40"/>
      <c r="Y42" s="40"/>
      <c r="Z42" s="40"/>
      <c r="AA42" s="65"/>
      <c r="AB42" s="70"/>
      <c r="AC42" s="66"/>
      <c r="AD42" s="91"/>
      <c r="AE42" s="41"/>
      <c r="AF42" s="179"/>
      <c r="AG42" s="178"/>
      <c r="AH42" s="175"/>
      <c r="AI42" s="176"/>
      <c r="AJ42" s="42"/>
      <c r="AK42" s="43"/>
      <c r="AL42" s="44"/>
      <c r="AM42" s="45"/>
      <c r="AN42" s="46"/>
      <c r="AO42" s="47"/>
    </row>
    <row r="43" spans="1:41" s="21" customFormat="1" ht="48.75" customHeight="1" x14ac:dyDescent="0.15">
      <c r="A43" s="79"/>
      <c r="B43" s="77"/>
      <c r="C43" s="107"/>
      <c r="D43" s="106"/>
      <c r="E43" s="107"/>
      <c r="F43" s="107"/>
      <c r="G43" s="101"/>
      <c r="H43" s="52"/>
      <c r="I43" s="53"/>
      <c r="J43" s="57"/>
      <c r="K43" s="35"/>
      <c r="L43" s="35"/>
      <c r="M43" s="76"/>
      <c r="N43" s="171">
        <f>SUM(I43:M43)</f>
        <v>0</v>
      </c>
      <c r="O43" s="102"/>
      <c r="P43" s="103"/>
      <c r="Q43" s="103"/>
      <c r="R43" s="103"/>
      <c r="S43" s="103"/>
      <c r="T43" s="38">
        <f>ROUND(((O43*I43)+(P43*J43)+(Q43*K43)+(R43*L43)+(S43*M43)),3)</f>
        <v>0</v>
      </c>
      <c r="U43" s="39">
        <f>IF(T43&gt;=8,8,T43)</f>
        <v>0</v>
      </c>
      <c r="V43" s="40"/>
      <c r="W43" s="40"/>
      <c r="X43" s="40"/>
      <c r="Y43" s="40"/>
      <c r="Z43" s="40"/>
      <c r="AA43" s="65" t="e">
        <f>(((((V43*I43)+(W43*J43)+(X43*K43)+(Y43*L43)+(Z43*M43))/$L$2)))</f>
        <v>#DIV/0!</v>
      </c>
      <c r="AB43" s="70" t="e">
        <f t="shared" ref="AB43" si="22">ROUND(11*AA43,3)</f>
        <v>#DIV/0!</v>
      </c>
      <c r="AC43" s="67" t="e">
        <f t="shared" ref="AC43" si="23">IF(AB43&gt;=11,11,AB43)</f>
        <v>#DIV/0!</v>
      </c>
      <c r="AD43" s="91">
        <f>T44</f>
        <v>0</v>
      </c>
      <c r="AE43" s="41">
        <v>0.3</v>
      </c>
      <c r="AF43" s="174">
        <f>10+4+ROUND(1*I43+1*J43+1*K43+1*L43+1*M43,3)+ROUND(2*I43+2*J43+2*K43+2*L43+2*M43,3)</f>
        <v>14</v>
      </c>
      <c r="AG43" s="166" t="e">
        <f>U43+AC43+AD43+AF43</f>
        <v>#DIV/0!</v>
      </c>
      <c r="AH43" s="175" t="e">
        <f>AG43+AE43</f>
        <v>#DIV/0!</v>
      </c>
      <c r="AI43" s="176" t="e">
        <f>IF(AH43&gt;=40,40,AH43)</f>
        <v>#DIV/0!</v>
      </c>
      <c r="AJ43" s="42"/>
      <c r="AK43" s="43"/>
      <c r="AL43" s="44"/>
      <c r="AM43" s="45">
        <f>100%+AL43</f>
        <v>1</v>
      </c>
      <c r="AN43" s="46">
        <f>ROUNDUP((($E$2*AM43-$AN$4)*AJ43+$AN$4),-3)</f>
        <v>0</v>
      </c>
      <c r="AO43" s="47"/>
    </row>
    <row r="44" spans="1:41" s="21" customFormat="1" ht="26.25" customHeight="1" x14ac:dyDescent="0.15">
      <c r="A44" s="80"/>
      <c r="B44" s="78"/>
      <c r="C44" s="142" t="s">
        <v>46</v>
      </c>
      <c r="D44" s="143"/>
      <c r="E44" s="143"/>
      <c r="F44" s="143"/>
      <c r="G44" s="144"/>
      <c r="H44" s="33"/>
      <c r="I44" s="53"/>
      <c r="J44" s="57"/>
      <c r="K44" s="57"/>
      <c r="L44" s="57"/>
      <c r="M44" s="75"/>
      <c r="N44" s="171"/>
      <c r="O44" s="104"/>
      <c r="P44" s="103"/>
      <c r="Q44" s="103"/>
      <c r="R44" s="105"/>
      <c r="S44" s="105"/>
      <c r="T44" s="69">
        <f>(I43*O44)+(J43*P44)+(K43*Q44)+(L43*R44)+(M43*S44)</f>
        <v>0</v>
      </c>
      <c r="U44" s="39"/>
      <c r="V44" s="40"/>
      <c r="W44" s="40"/>
      <c r="X44" s="40"/>
      <c r="Y44" s="40"/>
      <c r="Z44" s="40"/>
      <c r="AA44" s="65"/>
      <c r="AB44" s="70"/>
      <c r="AC44" s="66"/>
      <c r="AD44" s="91"/>
      <c r="AE44" s="41"/>
      <c r="AF44" s="179"/>
      <c r="AG44" s="178"/>
      <c r="AH44" s="175"/>
      <c r="AI44" s="176"/>
      <c r="AJ44" s="42"/>
      <c r="AK44" s="43"/>
      <c r="AL44" s="44"/>
      <c r="AM44" s="45"/>
      <c r="AN44" s="46"/>
      <c r="AO44" s="47"/>
    </row>
    <row r="45" spans="1:41" s="21" customFormat="1" ht="50.25" customHeight="1" x14ac:dyDescent="0.15">
      <c r="A45" s="79"/>
      <c r="B45" s="77"/>
      <c r="C45" s="107"/>
      <c r="D45" s="106"/>
      <c r="E45" s="107"/>
      <c r="F45" s="107"/>
      <c r="G45" s="101"/>
      <c r="H45" s="33"/>
      <c r="I45" s="53"/>
      <c r="J45" s="57"/>
      <c r="K45" s="35"/>
      <c r="L45" s="35"/>
      <c r="M45" s="76"/>
      <c r="N45" s="171">
        <f>SUM(I45:M45)</f>
        <v>0</v>
      </c>
      <c r="O45" s="102"/>
      <c r="P45" s="103"/>
      <c r="Q45" s="103"/>
      <c r="R45" s="103"/>
      <c r="S45" s="103"/>
      <c r="T45" s="38">
        <f>ROUND(((O45*I45)+(P45*J45)+(Q45*K45)+(R45*L45)+(S45*M45)),3)</f>
        <v>0</v>
      </c>
      <c r="U45" s="39">
        <f>IF(T45&gt;=8,8,T45)</f>
        <v>0</v>
      </c>
      <c r="V45" s="40"/>
      <c r="W45" s="40"/>
      <c r="X45" s="40"/>
      <c r="Y45" s="40"/>
      <c r="Z45" s="40"/>
      <c r="AA45" s="65" t="e">
        <f>(((((V45*I45)+(W45*J45)+(X45*K45)+(Y45*L45)+(Z45*M45))/$L$2)))</f>
        <v>#DIV/0!</v>
      </c>
      <c r="AB45" s="70" t="e">
        <f t="shared" ref="AB45" si="24">ROUND(11*AA45,3)</f>
        <v>#DIV/0!</v>
      </c>
      <c r="AC45" s="67" t="e">
        <f t="shared" ref="AC45" si="25">IF(AB45&gt;=11,11,AB45)</f>
        <v>#DIV/0!</v>
      </c>
      <c r="AD45" s="91">
        <f>T46</f>
        <v>0</v>
      </c>
      <c r="AE45" s="41">
        <v>0.3</v>
      </c>
      <c r="AF45" s="174">
        <f>10+4+ROUND(1*I45+1*J45+1*K45+1*L45+1*M45,3)+ROUND(2*I45+2*J45+2*K45+2*L45+2*M45,3)</f>
        <v>14</v>
      </c>
      <c r="AG45" s="166" t="e">
        <f>U45+AC45+AD45+AF45</f>
        <v>#DIV/0!</v>
      </c>
      <c r="AH45" s="175" t="e">
        <f>AG45+AE45</f>
        <v>#DIV/0!</v>
      </c>
      <c r="AI45" s="176" t="e">
        <f>IF(AH45&gt;=40,40,AH45)</f>
        <v>#DIV/0!</v>
      </c>
      <c r="AJ45" s="42"/>
      <c r="AK45" s="43"/>
      <c r="AL45" s="44"/>
      <c r="AM45" s="45">
        <f>100%+AL45</f>
        <v>1</v>
      </c>
      <c r="AN45" s="46">
        <f>ROUNDUP((($E$2*AM45-$AN$4)*AJ45+$AN$4),-3)</f>
        <v>0</v>
      </c>
      <c r="AO45" s="47"/>
    </row>
    <row r="46" spans="1:41" s="21" customFormat="1" ht="26.25" customHeight="1" x14ac:dyDescent="0.15">
      <c r="A46" s="80"/>
      <c r="B46" s="78"/>
      <c r="C46" s="142" t="s">
        <v>46</v>
      </c>
      <c r="D46" s="143"/>
      <c r="E46" s="143"/>
      <c r="F46" s="143"/>
      <c r="G46" s="144"/>
      <c r="H46" s="33"/>
      <c r="I46" s="53"/>
      <c r="J46" s="57"/>
      <c r="K46" s="57"/>
      <c r="L46" s="57"/>
      <c r="M46" s="75"/>
      <c r="N46" s="171"/>
      <c r="O46" s="104"/>
      <c r="P46" s="105"/>
      <c r="Q46" s="105"/>
      <c r="R46" s="105"/>
      <c r="S46" s="105"/>
      <c r="T46" s="69">
        <f>(I45*O46)+(J45*P46)+(K45*Q46)+(L45*R46)+(M45*S46)</f>
        <v>0</v>
      </c>
      <c r="U46" s="39"/>
      <c r="V46" s="40"/>
      <c r="W46" s="40"/>
      <c r="X46" s="40"/>
      <c r="Y46" s="40"/>
      <c r="Z46" s="40"/>
      <c r="AA46" s="65"/>
      <c r="AB46" s="70"/>
      <c r="AC46" s="66"/>
      <c r="AD46" s="91"/>
      <c r="AE46" s="41"/>
      <c r="AF46" s="179"/>
      <c r="AG46" s="178"/>
      <c r="AH46" s="175"/>
      <c r="AI46" s="176"/>
      <c r="AJ46" s="42"/>
      <c r="AK46" s="43"/>
      <c r="AL46" s="44"/>
      <c r="AM46" s="45"/>
      <c r="AN46" s="46"/>
      <c r="AO46" s="47"/>
    </row>
    <row r="47" spans="1:41" s="21" customFormat="1" ht="48.75" customHeight="1" x14ac:dyDescent="0.15">
      <c r="A47" s="79"/>
      <c r="B47" s="77"/>
      <c r="C47" s="107"/>
      <c r="D47" s="106"/>
      <c r="E47" s="107"/>
      <c r="F47" s="107"/>
      <c r="G47" s="101"/>
      <c r="H47" s="33"/>
      <c r="I47" s="53"/>
      <c r="J47" s="57"/>
      <c r="K47" s="35"/>
      <c r="L47" s="57"/>
      <c r="M47" s="76"/>
      <c r="N47" s="171">
        <f>SUM(I47:M47)</f>
        <v>0</v>
      </c>
      <c r="O47" s="102"/>
      <c r="P47" s="103"/>
      <c r="Q47" s="103"/>
      <c r="R47" s="103"/>
      <c r="S47" s="103"/>
      <c r="T47" s="38">
        <f>ROUND(((O47*I47)+(P47*J47)+(Q47*K47)+(R47*L47)+(S47*M47)),3)</f>
        <v>0</v>
      </c>
      <c r="U47" s="39">
        <f>IF(T47&gt;=8,8,T47)</f>
        <v>0</v>
      </c>
      <c r="V47" s="40"/>
      <c r="W47" s="40"/>
      <c r="X47" s="40"/>
      <c r="Y47" s="40"/>
      <c r="Z47" s="40"/>
      <c r="AA47" s="65" t="e">
        <f>(((((V47*I47)+(W47*J47)+(X47*K47)+(Y47*L47)+(Z47*M47))/$L$2)))</f>
        <v>#DIV/0!</v>
      </c>
      <c r="AB47" s="70" t="e">
        <f>ROUND(11*AA47,3)</f>
        <v>#DIV/0!</v>
      </c>
      <c r="AC47" s="67" t="e">
        <f>IF(AB47&gt;=11,11,AB47)</f>
        <v>#DIV/0!</v>
      </c>
      <c r="AD47" s="91">
        <f>T48</f>
        <v>0</v>
      </c>
      <c r="AE47" s="41">
        <v>0.3</v>
      </c>
      <c r="AF47" s="174">
        <f>10+4+ROUND(1*I47+1*J47+1*K47+1*L47+1*M47,3)+ROUND(2*I47+2*J47+2*K47+2*L47+2*M47,3)</f>
        <v>14</v>
      </c>
      <c r="AG47" s="166" t="e">
        <f>U47+AC47+AD47+AF47</f>
        <v>#DIV/0!</v>
      </c>
      <c r="AH47" s="175" t="e">
        <f>AG47+AE47</f>
        <v>#DIV/0!</v>
      </c>
      <c r="AI47" s="176" t="e">
        <f>IF(AH47&gt;=40,40,AH47)</f>
        <v>#DIV/0!</v>
      </c>
      <c r="AJ47" s="42"/>
      <c r="AK47" s="43"/>
      <c r="AL47" s="44"/>
      <c r="AM47" s="45">
        <f>100%+AL47</f>
        <v>1</v>
      </c>
      <c r="AN47" s="46">
        <f>ROUNDUP((($E$2*AM47-$AN$4)*AJ47+$AN$4),-3)</f>
        <v>0</v>
      </c>
      <c r="AO47" s="47"/>
    </row>
    <row r="48" spans="1:41" s="21" customFormat="1" ht="26.25" customHeight="1" x14ac:dyDescent="0.15">
      <c r="A48" s="80"/>
      <c r="B48" s="78"/>
      <c r="C48" s="142" t="s">
        <v>46</v>
      </c>
      <c r="D48" s="143"/>
      <c r="E48" s="143"/>
      <c r="F48" s="143"/>
      <c r="G48" s="144"/>
      <c r="H48" s="33"/>
      <c r="I48" s="53"/>
      <c r="J48" s="57"/>
      <c r="K48" s="57"/>
      <c r="L48" s="57"/>
      <c r="M48" s="75"/>
      <c r="N48" s="171"/>
      <c r="O48" s="104"/>
      <c r="P48" s="103"/>
      <c r="Q48" s="103"/>
      <c r="R48" s="105"/>
      <c r="S48" s="105"/>
      <c r="T48" s="69">
        <f>(I47*O48)+(J47*P48)+(K47*Q48)+(L47*R48)+(M47*S48)</f>
        <v>0</v>
      </c>
      <c r="U48" s="39"/>
      <c r="V48" s="40"/>
      <c r="W48" s="40"/>
      <c r="X48" s="40"/>
      <c r="Y48" s="40"/>
      <c r="Z48" s="40"/>
      <c r="AA48" s="65"/>
      <c r="AB48" s="70"/>
      <c r="AC48" s="66"/>
      <c r="AD48" s="91"/>
      <c r="AE48" s="41"/>
      <c r="AF48" s="179"/>
      <c r="AG48" s="178"/>
      <c r="AH48" s="175"/>
      <c r="AI48" s="176"/>
      <c r="AJ48" s="42"/>
      <c r="AK48" s="43"/>
      <c r="AL48" s="44"/>
      <c r="AM48" s="45"/>
      <c r="AN48" s="46"/>
      <c r="AO48" s="47"/>
    </row>
    <row r="49" spans="1:41" s="21" customFormat="1" ht="54" customHeight="1" x14ac:dyDescent="0.15">
      <c r="A49" s="79"/>
      <c r="B49" s="77"/>
      <c r="C49" s="107"/>
      <c r="D49" s="106"/>
      <c r="E49" s="107"/>
      <c r="F49" s="107"/>
      <c r="G49" s="101"/>
      <c r="H49" s="33"/>
      <c r="I49" s="57"/>
      <c r="J49" s="53"/>
      <c r="K49" s="35"/>
      <c r="L49" s="35"/>
      <c r="M49" s="76"/>
      <c r="N49" s="171">
        <f>SUM(I49:M49)</f>
        <v>0</v>
      </c>
      <c r="O49" s="102"/>
      <c r="P49" s="103"/>
      <c r="Q49" s="103"/>
      <c r="R49" s="103"/>
      <c r="S49" s="103"/>
      <c r="T49" s="38">
        <f>ROUND(((O49*I49)+(P49*J49)+(Q49*K49)+(R49*L49)+(S49*M49)),3)</f>
        <v>0</v>
      </c>
      <c r="U49" s="39">
        <f>IF(T49&gt;=8,8,T49)</f>
        <v>0</v>
      </c>
      <c r="V49" s="40"/>
      <c r="W49" s="40"/>
      <c r="X49" s="40"/>
      <c r="Y49" s="40"/>
      <c r="Z49" s="40"/>
      <c r="AA49" s="65" t="e">
        <f>(((((V49*I49)+(W49*J49)+(X49*K49)+(Y49*L49)+(Z49*M49))/$L$2)))</f>
        <v>#DIV/0!</v>
      </c>
      <c r="AB49" s="70" t="e">
        <f t="shared" ref="AB49" si="26">ROUND(11*AA49,3)</f>
        <v>#DIV/0!</v>
      </c>
      <c r="AC49" s="67" t="e">
        <f t="shared" ref="AC49" si="27">IF(AB49&gt;=11,11,AB49)</f>
        <v>#DIV/0!</v>
      </c>
      <c r="AD49" s="91">
        <f>T50</f>
        <v>0</v>
      </c>
      <c r="AE49" s="41">
        <v>0.3</v>
      </c>
      <c r="AF49" s="174">
        <f>10+4+ROUND(1*I49+1*J49+1*K49+1*L49+1*M49,3)+ROUND(2*I49+2*J49+2*K49+2*L49+2*M49,3)</f>
        <v>14</v>
      </c>
      <c r="AG49" s="166" t="e">
        <f>U49+AC49+AD49+AF49</f>
        <v>#DIV/0!</v>
      </c>
      <c r="AH49" s="175" t="e">
        <f>AG49+AE49</f>
        <v>#DIV/0!</v>
      </c>
      <c r="AI49" s="176" t="e">
        <f>IF(AH49&gt;=40,40,AH49)</f>
        <v>#DIV/0!</v>
      </c>
      <c r="AJ49" s="42"/>
      <c r="AK49" s="43"/>
      <c r="AL49" s="44"/>
      <c r="AM49" s="45">
        <f>100%+AL49</f>
        <v>1</v>
      </c>
      <c r="AN49" s="46">
        <f>ROUNDUP((($E$2*AM49-$AN$4)*AJ49+$AN$4),-3)</f>
        <v>0</v>
      </c>
      <c r="AO49" s="47"/>
    </row>
    <row r="50" spans="1:41" s="21" customFormat="1" ht="26.25" customHeight="1" x14ac:dyDescent="0.15">
      <c r="A50" s="80"/>
      <c r="B50" s="78"/>
      <c r="C50" s="142" t="s">
        <v>46</v>
      </c>
      <c r="D50" s="143"/>
      <c r="E50" s="143"/>
      <c r="F50" s="143"/>
      <c r="G50" s="144"/>
      <c r="H50" s="33"/>
      <c r="I50" s="53"/>
      <c r="J50" s="57"/>
      <c r="K50" s="57"/>
      <c r="L50" s="57"/>
      <c r="M50" s="75"/>
      <c r="N50" s="171"/>
      <c r="O50" s="104"/>
      <c r="P50" s="105"/>
      <c r="Q50" s="105"/>
      <c r="R50" s="105"/>
      <c r="S50" s="105"/>
      <c r="T50" s="69">
        <f>(I49*O50)+(J49*P50)+(K49*Q50)+(L49*R50)+(M49*S50)</f>
        <v>0</v>
      </c>
      <c r="U50" s="39"/>
      <c r="V50" s="40"/>
      <c r="W50" s="40"/>
      <c r="X50" s="40"/>
      <c r="Y50" s="40"/>
      <c r="Z50" s="40"/>
      <c r="AA50" s="65"/>
      <c r="AB50" s="70"/>
      <c r="AC50" s="66"/>
      <c r="AD50" s="91"/>
      <c r="AE50" s="41"/>
      <c r="AF50" s="179"/>
      <c r="AG50" s="178"/>
      <c r="AH50" s="175"/>
      <c r="AI50" s="176"/>
      <c r="AJ50" s="42"/>
      <c r="AK50" s="43"/>
      <c r="AL50" s="44"/>
      <c r="AM50" s="45"/>
      <c r="AN50" s="46"/>
      <c r="AO50" s="47"/>
    </row>
    <row r="51" spans="1:41" s="21" customFormat="1" ht="48.75" customHeight="1" x14ac:dyDescent="0.15">
      <c r="A51" s="79"/>
      <c r="B51" s="77"/>
      <c r="C51" s="107"/>
      <c r="D51" s="106"/>
      <c r="E51" s="107"/>
      <c r="F51" s="107"/>
      <c r="G51" s="101"/>
      <c r="H51" s="54"/>
      <c r="I51" s="53"/>
      <c r="J51" s="57"/>
      <c r="K51" s="35"/>
      <c r="L51" s="35"/>
      <c r="M51" s="76"/>
      <c r="N51" s="171">
        <f>SUM(I51:M51)</f>
        <v>0</v>
      </c>
      <c r="O51" s="102"/>
      <c r="P51" s="103"/>
      <c r="Q51" s="103"/>
      <c r="R51" s="103"/>
      <c r="S51" s="103"/>
      <c r="T51" s="38">
        <f>ROUND(((O51*I51)+(P51*J51)+(Q51*K51)+(R51*L51)+(S51*M51)),3)</f>
        <v>0</v>
      </c>
      <c r="U51" s="39">
        <f>IF(T51&gt;=8,8,T51)</f>
        <v>0</v>
      </c>
      <c r="V51" s="40"/>
      <c r="W51" s="40"/>
      <c r="X51" s="40"/>
      <c r="Y51" s="40"/>
      <c r="Z51" s="40"/>
      <c r="AA51" s="65" t="e">
        <f>(((((V51*I51)+(W51*J51)+(X51*K51)+(Y51*L51)+(Z51*M51))/$L$2)))</f>
        <v>#DIV/0!</v>
      </c>
      <c r="AB51" s="70" t="e">
        <f t="shared" ref="AB51" si="28">ROUND(11*AA51,3)</f>
        <v>#DIV/0!</v>
      </c>
      <c r="AC51" s="67" t="e">
        <f t="shared" ref="AC51" si="29">IF(AB51&gt;=11,11,AB51)</f>
        <v>#DIV/0!</v>
      </c>
      <c r="AD51" s="91">
        <f>T52</f>
        <v>0</v>
      </c>
      <c r="AE51" s="41">
        <v>0.3</v>
      </c>
      <c r="AF51" s="174">
        <f>10+4+ROUND(1*I51+1*J51+1*K51+1*L51+1*M51,3)+ROUND(2*I51+2*J51+2*K51+2*L51+2*M51,3)</f>
        <v>14</v>
      </c>
      <c r="AG51" s="166" t="e">
        <f>U51+AC51+AD51+AF51</f>
        <v>#DIV/0!</v>
      </c>
      <c r="AH51" s="175" t="e">
        <f>AG51+AE51</f>
        <v>#DIV/0!</v>
      </c>
      <c r="AI51" s="176" t="e">
        <f>IF(AH51&gt;=40,40,AH51)</f>
        <v>#DIV/0!</v>
      </c>
      <c r="AJ51" s="42"/>
      <c r="AK51" s="43"/>
      <c r="AL51" s="44"/>
      <c r="AM51" s="45">
        <f>100%+AL51</f>
        <v>1</v>
      </c>
      <c r="AN51" s="46">
        <f>ROUNDUP((($E$2*AM51-$AN$4)*AJ51+$AN$4),-3)</f>
        <v>0</v>
      </c>
      <c r="AO51" s="47"/>
    </row>
    <row r="52" spans="1:41" s="21" customFormat="1" ht="26.25" customHeight="1" x14ac:dyDescent="0.15">
      <c r="A52" s="80"/>
      <c r="B52" s="78"/>
      <c r="C52" s="142" t="s">
        <v>46</v>
      </c>
      <c r="D52" s="143"/>
      <c r="E52" s="143"/>
      <c r="F52" s="143"/>
      <c r="G52" s="144"/>
      <c r="H52" s="33"/>
      <c r="I52" s="53"/>
      <c r="J52" s="57"/>
      <c r="K52" s="57"/>
      <c r="L52" s="57"/>
      <c r="M52" s="75"/>
      <c r="N52" s="171"/>
      <c r="O52" s="104"/>
      <c r="P52" s="103"/>
      <c r="Q52" s="105"/>
      <c r="R52" s="105"/>
      <c r="S52" s="105"/>
      <c r="T52" s="69">
        <f>(I51*O52)+(J51*P52)+(K51*Q52)+(L51*R52)+(M51*S52)</f>
        <v>0</v>
      </c>
      <c r="U52" s="39"/>
      <c r="V52" s="40"/>
      <c r="W52" s="40"/>
      <c r="X52" s="40"/>
      <c r="Y52" s="40"/>
      <c r="Z52" s="40"/>
      <c r="AA52" s="65"/>
      <c r="AB52" s="70"/>
      <c r="AC52" s="66"/>
      <c r="AD52" s="91"/>
      <c r="AE52" s="41"/>
      <c r="AF52" s="179"/>
      <c r="AG52" s="178"/>
      <c r="AH52" s="175"/>
      <c r="AI52" s="176"/>
      <c r="AJ52" s="42"/>
      <c r="AK52" s="43"/>
      <c r="AL52" s="44"/>
      <c r="AM52" s="45"/>
      <c r="AN52" s="46"/>
      <c r="AO52" s="47"/>
    </row>
    <row r="53" spans="1:41" s="21" customFormat="1" ht="50.25" customHeight="1" x14ac:dyDescent="0.15">
      <c r="A53" s="79"/>
      <c r="B53" s="77"/>
      <c r="C53" s="107"/>
      <c r="D53" s="106"/>
      <c r="E53" s="107"/>
      <c r="F53" s="107"/>
      <c r="G53" s="101"/>
      <c r="H53" s="54"/>
      <c r="I53" s="53"/>
      <c r="J53" s="57"/>
      <c r="K53" s="35"/>
      <c r="L53" s="35"/>
      <c r="M53" s="76"/>
      <c r="N53" s="171">
        <f>SUM(I53:M53)</f>
        <v>0</v>
      </c>
      <c r="O53" s="102"/>
      <c r="P53" s="103"/>
      <c r="Q53" s="103"/>
      <c r="R53" s="103"/>
      <c r="S53" s="103"/>
      <c r="T53" s="38">
        <f>ROUND(((O53*I53)+(P53*J53)+(Q53*K53)+(R53*L53)+(S53*M53)),3)</f>
        <v>0</v>
      </c>
      <c r="U53" s="39">
        <f>IF(T53&gt;=8,8,T53)</f>
        <v>0</v>
      </c>
      <c r="V53" s="40"/>
      <c r="W53" s="40"/>
      <c r="X53" s="40"/>
      <c r="Y53" s="40"/>
      <c r="Z53" s="40"/>
      <c r="AA53" s="65" t="e">
        <f>(((((V53*I53)+(W53*J53)+(X53*K53)+(Y53*L53)+(Z53*M53))/$L$2)))</f>
        <v>#DIV/0!</v>
      </c>
      <c r="AB53" s="70" t="e">
        <f t="shared" ref="AB53" si="30">ROUND(11*AA53,3)</f>
        <v>#DIV/0!</v>
      </c>
      <c r="AC53" s="67" t="e">
        <f t="shared" ref="AC53" si="31">IF(AB53&gt;=11,11,AB53)</f>
        <v>#DIV/0!</v>
      </c>
      <c r="AD53" s="91">
        <f>T54</f>
        <v>0</v>
      </c>
      <c r="AE53" s="41">
        <v>0.3</v>
      </c>
      <c r="AF53" s="174">
        <f>10+4+ROUND(1*I53+1*J53+1*K53+1*L53+1*M53,3)+ROUND(2*I53+2*J53+2*K53+2*L53+2*M53,3)</f>
        <v>14</v>
      </c>
      <c r="AG53" s="166" t="e">
        <f>U53+AC53+AD53+AF53</f>
        <v>#DIV/0!</v>
      </c>
      <c r="AH53" s="175" t="e">
        <f>AG53+AE53</f>
        <v>#DIV/0!</v>
      </c>
      <c r="AI53" s="176" t="e">
        <f>IF(AH53&gt;=40,40,AH53)</f>
        <v>#DIV/0!</v>
      </c>
      <c r="AJ53" s="42"/>
      <c r="AK53" s="43"/>
      <c r="AL53" s="44"/>
      <c r="AM53" s="45">
        <f>100%+AL53</f>
        <v>1</v>
      </c>
      <c r="AN53" s="46">
        <f>ROUNDUP((($E$2*AM53-$AN$4)*AJ53+$AN$4),-3)</f>
        <v>0</v>
      </c>
      <c r="AO53" s="47"/>
    </row>
    <row r="54" spans="1:41" s="21" customFormat="1" ht="26.25" customHeight="1" x14ac:dyDescent="0.15">
      <c r="A54" s="80"/>
      <c r="B54" s="78"/>
      <c r="C54" s="142" t="s">
        <v>46</v>
      </c>
      <c r="D54" s="143"/>
      <c r="E54" s="143"/>
      <c r="F54" s="143"/>
      <c r="G54" s="144"/>
      <c r="H54" s="33"/>
      <c r="I54" s="53"/>
      <c r="J54" s="57"/>
      <c r="K54" s="57"/>
      <c r="L54" s="57"/>
      <c r="M54" s="75"/>
      <c r="N54" s="171"/>
      <c r="O54" s="104"/>
      <c r="P54" s="104"/>
      <c r="Q54" s="105"/>
      <c r="R54" s="105"/>
      <c r="S54" s="105"/>
      <c r="T54" s="69">
        <f>(I53*O54)+(J53*P54)+(K53*Q54)+(L53*R54)+(M53*S54)</f>
        <v>0</v>
      </c>
      <c r="U54" s="39"/>
      <c r="V54" s="40"/>
      <c r="W54" s="40"/>
      <c r="X54" s="40"/>
      <c r="Y54" s="40"/>
      <c r="Z54" s="40"/>
      <c r="AA54" s="65"/>
      <c r="AB54" s="70"/>
      <c r="AC54" s="66"/>
      <c r="AD54" s="91"/>
      <c r="AE54" s="41"/>
      <c r="AF54" s="179"/>
      <c r="AG54" s="178"/>
      <c r="AH54" s="175"/>
      <c r="AI54" s="176"/>
      <c r="AJ54" s="42"/>
      <c r="AK54" s="43"/>
      <c r="AL54" s="44"/>
      <c r="AM54" s="45"/>
      <c r="AN54" s="46"/>
      <c r="AO54" s="47"/>
    </row>
    <row r="55" spans="1:41" s="21" customFormat="1" ht="48.75" customHeight="1" x14ac:dyDescent="0.15">
      <c r="A55" s="79"/>
      <c r="B55" s="77"/>
      <c r="C55" s="107"/>
      <c r="D55" s="106"/>
      <c r="E55" s="107"/>
      <c r="F55" s="107"/>
      <c r="G55" s="101"/>
      <c r="H55" s="54"/>
      <c r="I55" s="53"/>
      <c r="J55" s="57"/>
      <c r="K55" s="35"/>
      <c r="L55" s="57"/>
      <c r="M55" s="76"/>
      <c r="N55" s="171">
        <f>SUM(I55:M55)</f>
        <v>0</v>
      </c>
      <c r="O55" s="102"/>
      <c r="P55" s="103"/>
      <c r="Q55" s="103"/>
      <c r="R55" s="103"/>
      <c r="S55" s="103"/>
      <c r="T55" s="38">
        <f>ROUND(((O55*I55)+(P55*J55)+(Q55*K55)+(R55*L55)+(S55*M55)),3)</f>
        <v>0</v>
      </c>
      <c r="U55" s="39">
        <f>IF(T55&gt;=8,8,T55)</f>
        <v>0</v>
      </c>
      <c r="V55" s="40"/>
      <c r="W55" s="40"/>
      <c r="X55" s="40"/>
      <c r="Y55" s="40"/>
      <c r="Z55" s="40"/>
      <c r="AA55" s="65" t="e">
        <f>(((((V55*I55)+(W55*J55)+(X55*K55)+(Y55*L55)+(Z55*M55))/$L$2)))</f>
        <v>#DIV/0!</v>
      </c>
      <c r="AB55" s="70" t="e">
        <f t="shared" ref="AB55" si="32">ROUND(11*AA55,3)</f>
        <v>#DIV/0!</v>
      </c>
      <c r="AC55" s="67" t="e">
        <f t="shared" ref="AC55" si="33">IF(AB55&gt;=11,11,AB55)</f>
        <v>#DIV/0!</v>
      </c>
      <c r="AD55" s="91">
        <f>T56</f>
        <v>0</v>
      </c>
      <c r="AE55" s="41">
        <v>0.3</v>
      </c>
      <c r="AF55" s="174">
        <f>10+4+ROUND(1*I55+1*J55+1*K55+1*L55+1*M55,3)+ROUND(2*I55+2*J55+2*K55+2*L55+2*M55,3)</f>
        <v>14</v>
      </c>
      <c r="AG55" s="166" t="e">
        <f>U55+AC55+AD55+AF55</f>
        <v>#DIV/0!</v>
      </c>
      <c r="AH55" s="175" t="e">
        <f>AG55+AE55</f>
        <v>#DIV/0!</v>
      </c>
      <c r="AI55" s="176" t="e">
        <f>IF(AH55&gt;=40,40,AH55)</f>
        <v>#DIV/0!</v>
      </c>
      <c r="AJ55" s="42"/>
      <c r="AK55" s="43"/>
      <c r="AL55" s="44"/>
      <c r="AM55" s="45">
        <f>100%+AL55</f>
        <v>1</v>
      </c>
      <c r="AN55" s="46">
        <f>ROUNDUP((($E$2*AM55-$AN$4)*AJ55+$AN$4),-3)</f>
        <v>0</v>
      </c>
      <c r="AO55" s="47"/>
    </row>
    <row r="56" spans="1:41" s="21" customFormat="1" ht="26.25" customHeight="1" x14ac:dyDescent="0.15">
      <c r="A56" s="80"/>
      <c r="B56" s="78"/>
      <c r="C56" s="142" t="s">
        <v>46</v>
      </c>
      <c r="D56" s="143"/>
      <c r="E56" s="143"/>
      <c r="F56" s="143"/>
      <c r="G56" s="144"/>
      <c r="H56" s="33"/>
      <c r="I56" s="53"/>
      <c r="J56" s="57"/>
      <c r="K56" s="57"/>
      <c r="L56" s="57"/>
      <c r="M56" s="75"/>
      <c r="N56" s="171"/>
      <c r="O56" s="104"/>
      <c r="P56" s="104"/>
      <c r="Q56" s="104"/>
      <c r="R56" s="105"/>
      <c r="S56" s="105"/>
      <c r="T56" s="69">
        <f>(I55*O56)+(J55*P56)+(K55*Q56)+(L55*R56)+(M55*S56)</f>
        <v>0</v>
      </c>
      <c r="U56" s="39"/>
      <c r="V56" s="40"/>
      <c r="W56" s="40"/>
      <c r="X56" s="40"/>
      <c r="Y56" s="40"/>
      <c r="Z56" s="40"/>
      <c r="AA56" s="65"/>
      <c r="AB56" s="70"/>
      <c r="AC56" s="66"/>
      <c r="AD56" s="91"/>
      <c r="AE56" s="41"/>
      <c r="AF56" s="179"/>
      <c r="AG56" s="178"/>
      <c r="AH56" s="175"/>
      <c r="AI56" s="176"/>
      <c r="AJ56" s="42"/>
      <c r="AK56" s="43"/>
      <c r="AL56" s="44"/>
      <c r="AM56" s="45"/>
      <c r="AN56" s="46"/>
      <c r="AO56" s="47"/>
    </row>
    <row r="57" spans="1:41" s="21" customFormat="1" ht="51.75" customHeight="1" x14ac:dyDescent="0.15">
      <c r="A57" s="79"/>
      <c r="B57" s="77"/>
      <c r="C57" s="107"/>
      <c r="D57" s="106"/>
      <c r="E57" s="107"/>
      <c r="F57" s="107"/>
      <c r="G57" s="101"/>
      <c r="H57" s="33"/>
      <c r="I57" s="83"/>
      <c r="J57" s="84"/>
      <c r="K57" s="81"/>
      <c r="L57" s="81"/>
      <c r="M57" s="94"/>
      <c r="N57" s="171">
        <f>SUM(I57:M57)</f>
        <v>0</v>
      </c>
      <c r="O57" s="102"/>
      <c r="P57" s="102"/>
      <c r="Q57" s="103"/>
      <c r="R57" s="103"/>
      <c r="S57" s="103"/>
      <c r="T57" s="38">
        <f>ROUND(((O57*I57)+(P57*J57)+(Q57*K57)+(R57*L57)+(S57*M57)),3)</f>
        <v>0</v>
      </c>
      <c r="U57" s="39">
        <f>IF(T57&gt;=8,8,T57)</f>
        <v>0</v>
      </c>
      <c r="V57" s="40"/>
      <c r="W57" s="40"/>
      <c r="X57" s="40"/>
      <c r="Y57" s="40"/>
      <c r="Z57" s="40"/>
      <c r="AA57" s="65" t="e">
        <f>(((((V57*I57)+(W57*J57)+(X57*K57)+(Y57*L57)+(Z57*M57))/$L$2)))</f>
        <v>#DIV/0!</v>
      </c>
      <c r="AB57" s="70" t="e">
        <f t="shared" ref="AB57" si="34">ROUND(11*AA57,3)</f>
        <v>#DIV/0!</v>
      </c>
      <c r="AC57" s="67" t="e">
        <f t="shared" ref="AC57" si="35">IF(AB57&gt;=11,11,AB57)</f>
        <v>#DIV/0!</v>
      </c>
      <c r="AD57" s="91">
        <f>T58</f>
        <v>0</v>
      </c>
      <c r="AE57" s="41">
        <v>0.3</v>
      </c>
      <c r="AF57" s="174">
        <f>10+4+ROUND(1*I57+1*J57+1*K57+1*L57+1*M57,3)+ROUND(2*I57+2*J57+2*K57+2*L57+2*M57,3)</f>
        <v>14</v>
      </c>
      <c r="AG57" s="166" t="e">
        <f>U57+AC57+AD57+AF57</f>
        <v>#DIV/0!</v>
      </c>
      <c r="AH57" s="175" t="e">
        <f>AG57+AE57</f>
        <v>#DIV/0!</v>
      </c>
      <c r="AI57" s="176" t="e">
        <f>IF(AH57&gt;=40,40,AH57)</f>
        <v>#DIV/0!</v>
      </c>
      <c r="AJ57" s="42"/>
      <c r="AK57" s="43"/>
      <c r="AL57" s="44"/>
      <c r="AM57" s="45"/>
      <c r="AN57" s="46"/>
      <c r="AO57" s="47"/>
    </row>
    <row r="58" spans="1:41" s="21" customFormat="1" ht="26.25" customHeight="1" x14ac:dyDescent="0.15">
      <c r="A58" s="80"/>
      <c r="B58" s="78"/>
      <c r="C58" s="142" t="s">
        <v>46</v>
      </c>
      <c r="D58" s="143"/>
      <c r="E58" s="143"/>
      <c r="F58" s="143"/>
      <c r="G58" s="144"/>
      <c r="H58" s="82"/>
      <c r="I58" s="83"/>
      <c r="J58" s="84"/>
      <c r="K58" s="84"/>
      <c r="L58" s="84"/>
      <c r="M58" s="95"/>
      <c r="N58" s="171"/>
      <c r="O58" s="105"/>
      <c r="P58" s="105"/>
      <c r="Q58" s="105"/>
      <c r="R58" s="105"/>
      <c r="S58" s="105"/>
      <c r="T58" s="69">
        <f>(I57*O58)+(J57*P58)+(K57*Q58)+(L57*R58)+(M57*S58)</f>
        <v>0</v>
      </c>
      <c r="U58" s="39"/>
      <c r="V58" s="40"/>
      <c r="W58" s="40"/>
      <c r="X58" s="40"/>
      <c r="Y58" s="40"/>
      <c r="Z58" s="40"/>
      <c r="AA58" s="65"/>
      <c r="AB58" s="70"/>
      <c r="AC58" s="66"/>
      <c r="AD58" s="91"/>
      <c r="AE58" s="41"/>
      <c r="AF58" s="179"/>
      <c r="AG58" s="178"/>
      <c r="AH58" s="175"/>
      <c r="AI58" s="176"/>
      <c r="AJ58" s="42"/>
      <c r="AK58" s="43"/>
      <c r="AL58" s="44"/>
      <c r="AM58" s="45"/>
      <c r="AN58" s="46"/>
      <c r="AO58" s="47"/>
    </row>
    <row r="59" spans="1:41" s="21" customFormat="1" ht="50.25" customHeight="1" x14ac:dyDescent="0.15">
      <c r="A59" s="79"/>
      <c r="B59" s="77"/>
      <c r="C59" s="107"/>
      <c r="D59" s="106"/>
      <c r="E59" s="107"/>
      <c r="F59" s="107"/>
      <c r="G59" s="101"/>
      <c r="H59" s="33"/>
      <c r="I59" s="53"/>
      <c r="J59" s="57"/>
      <c r="K59" s="35"/>
      <c r="L59" s="35"/>
      <c r="M59" s="76"/>
      <c r="N59" s="171">
        <f>SUM(I59:M59)</f>
        <v>0</v>
      </c>
      <c r="O59" s="102"/>
      <c r="P59" s="103"/>
      <c r="Q59" s="103"/>
      <c r="R59" s="103"/>
      <c r="S59" s="103"/>
      <c r="T59" s="38">
        <f>ROUND(((O59*I59)+(P59*J59)+(Q59*K59)+(R59*L59)+(S59*M59)),3)</f>
        <v>0</v>
      </c>
      <c r="U59" s="39">
        <f>IF(T59&gt;=8,8,T59)</f>
        <v>0</v>
      </c>
      <c r="V59" s="40"/>
      <c r="W59" s="40"/>
      <c r="X59" s="40"/>
      <c r="Y59" s="40"/>
      <c r="Z59" s="40"/>
      <c r="AA59" s="65" t="e">
        <f>(((((V59*I59)+(W59*J59)+(X59*K59)+(Y59*L59)+(Z59*M59))/$L$2)))</f>
        <v>#DIV/0!</v>
      </c>
      <c r="AB59" s="70" t="e">
        <f t="shared" ref="AB59" si="36">ROUND(11*AA59,3)</f>
        <v>#DIV/0!</v>
      </c>
      <c r="AC59" s="67" t="e">
        <f t="shared" ref="AC59" si="37">IF(AB59&gt;=11,11,AB59)</f>
        <v>#DIV/0!</v>
      </c>
      <c r="AD59" s="91">
        <f>T60</f>
        <v>0</v>
      </c>
      <c r="AE59" s="41">
        <v>0.2</v>
      </c>
      <c r="AF59" s="174">
        <f>10+4+ROUND(1*I59+1*J59+1*K59+1*L59+1*M59,3)+ROUND(2*I59+2*J59+2*K59+2*L59+2*M59,3)</f>
        <v>14</v>
      </c>
      <c r="AG59" s="166" t="e">
        <f>U59+AC59+AD59+AF59</f>
        <v>#DIV/0!</v>
      </c>
      <c r="AH59" s="175" t="e">
        <f>AG59+AE59</f>
        <v>#DIV/0!</v>
      </c>
      <c r="AI59" s="176" t="e">
        <f>IF(AH59&gt;=40,40,AH59)</f>
        <v>#DIV/0!</v>
      </c>
      <c r="AJ59" s="42"/>
      <c r="AK59" s="43"/>
      <c r="AL59" s="44"/>
      <c r="AM59" s="45">
        <f>100%+AL59</f>
        <v>1</v>
      </c>
      <c r="AN59" s="46">
        <f>ROUNDUP((($E$2*AM59-$AN$4)*AJ59+$AN$4),-3)</f>
        <v>0</v>
      </c>
      <c r="AO59" s="47"/>
    </row>
    <row r="60" spans="1:41" s="21" customFormat="1" ht="26.25" customHeight="1" x14ac:dyDescent="0.15">
      <c r="A60" s="80"/>
      <c r="B60" s="78"/>
      <c r="C60" s="142" t="s">
        <v>46</v>
      </c>
      <c r="D60" s="143"/>
      <c r="E60" s="143"/>
      <c r="F60" s="143"/>
      <c r="G60" s="144"/>
      <c r="H60" s="33"/>
      <c r="I60" s="53"/>
      <c r="J60" s="57"/>
      <c r="K60" s="57"/>
      <c r="L60" s="57"/>
      <c r="M60" s="75"/>
      <c r="N60" s="171"/>
      <c r="O60" s="104"/>
      <c r="P60" s="105"/>
      <c r="Q60" s="105"/>
      <c r="R60" s="105"/>
      <c r="S60" s="105"/>
      <c r="T60" s="69">
        <f>(I59*O60)+(J59*P60)+(K59*Q60)+(L59*R60)+(M59*S60)</f>
        <v>0</v>
      </c>
      <c r="U60" s="39"/>
      <c r="V60" s="40"/>
      <c r="W60" s="40"/>
      <c r="X60" s="40"/>
      <c r="Y60" s="40"/>
      <c r="Z60" s="40"/>
      <c r="AA60" s="65"/>
      <c r="AB60" s="70"/>
      <c r="AC60" s="66"/>
      <c r="AD60" s="91"/>
      <c r="AE60" s="41"/>
      <c r="AF60" s="179"/>
      <c r="AG60" s="178"/>
      <c r="AH60" s="175"/>
      <c r="AI60" s="176"/>
      <c r="AJ60" s="42"/>
      <c r="AK60" s="43"/>
      <c r="AL60" s="44"/>
      <c r="AM60" s="45"/>
      <c r="AN60" s="46"/>
      <c r="AO60" s="47"/>
    </row>
    <row r="61" spans="1:41" s="21" customFormat="1" ht="48.75" customHeight="1" x14ac:dyDescent="0.15">
      <c r="A61" s="79"/>
      <c r="B61" s="77"/>
      <c r="C61" s="107"/>
      <c r="D61" s="106"/>
      <c r="E61" s="107"/>
      <c r="F61" s="107"/>
      <c r="G61" s="101"/>
      <c r="H61" s="33"/>
      <c r="I61" s="53"/>
      <c r="J61" s="57"/>
      <c r="K61" s="35"/>
      <c r="L61" s="35"/>
      <c r="M61" s="76"/>
      <c r="N61" s="171">
        <f>SUM(I61:M61)</f>
        <v>0</v>
      </c>
      <c r="O61" s="102"/>
      <c r="P61" s="103"/>
      <c r="Q61" s="103"/>
      <c r="R61" s="103"/>
      <c r="S61" s="103"/>
      <c r="T61" s="38">
        <f>ROUND(((O61*I61)+(P61*J61)+(Q61*K61)+(R61*L61)+(S61*M61)),3)</f>
        <v>0</v>
      </c>
      <c r="U61" s="39">
        <f>IF(T61&gt;=8,8,T61)</f>
        <v>0</v>
      </c>
      <c r="V61" s="40"/>
      <c r="W61" s="40"/>
      <c r="X61" s="40"/>
      <c r="Y61" s="40"/>
      <c r="Z61" s="40"/>
      <c r="AA61" s="65" t="e">
        <f>(((((V61*I61)+(W61*J61)+(X61*K61)+(Y61*L61)+(Z61*M61))/$L$2)))</f>
        <v>#DIV/0!</v>
      </c>
      <c r="AB61" s="70" t="e">
        <f>ROUND(11*AA61,3)</f>
        <v>#DIV/0!</v>
      </c>
      <c r="AC61" s="67" t="e">
        <f>IF(AB61&gt;=11,11,AB61)</f>
        <v>#DIV/0!</v>
      </c>
      <c r="AD61" s="91">
        <f>T62</f>
        <v>0</v>
      </c>
      <c r="AE61" s="41">
        <v>0.2</v>
      </c>
      <c r="AF61" s="174">
        <f>10+4+ROUND(1*I61+1*J61+1*K61+1*L61+1*M61,3)+ROUND(2*I61+2*J61+2*K61+2*L61+2*M61,3)</f>
        <v>14</v>
      </c>
      <c r="AG61" s="166" t="e">
        <f>U61+AC61+AD61+AF61</f>
        <v>#DIV/0!</v>
      </c>
      <c r="AH61" s="175" t="e">
        <f>AG61+AE61</f>
        <v>#DIV/0!</v>
      </c>
      <c r="AI61" s="176" t="e">
        <f>IF(AH61&gt;=40,40,AH61)</f>
        <v>#DIV/0!</v>
      </c>
      <c r="AJ61" s="42"/>
      <c r="AK61" s="43"/>
      <c r="AL61" s="44"/>
      <c r="AM61" s="45">
        <f>100%+AL61</f>
        <v>1</v>
      </c>
      <c r="AN61" s="46">
        <f>ROUNDUP((($E$2*AM61-$AN$4)*AJ61+$AN$4),-3)</f>
        <v>0</v>
      </c>
      <c r="AO61" s="47"/>
    </row>
    <row r="62" spans="1:41" s="21" customFormat="1" ht="26.25" customHeight="1" x14ac:dyDescent="0.15">
      <c r="A62" s="80"/>
      <c r="B62" s="78"/>
      <c r="C62" s="142" t="s">
        <v>46</v>
      </c>
      <c r="D62" s="143"/>
      <c r="E62" s="143"/>
      <c r="F62" s="143"/>
      <c r="G62" s="144"/>
      <c r="H62" s="33"/>
      <c r="I62" s="53"/>
      <c r="J62" s="57"/>
      <c r="K62" s="57"/>
      <c r="L62" s="57"/>
      <c r="M62" s="75"/>
      <c r="N62" s="171"/>
      <c r="O62" s="105"/>
      <c r="P62" s="105"/>
      <c r="Q62" s="105"/>
      <c r="R62" s="105"/>
      <c r="S62" s="105"/>
      <c r="T62" s="69">
        <f>(I61*O62)+(J61*P62)+(K61*Q62)+(L61*R62)+(M61*S62)</f>
        <v>0</v>
      </c>
      <c r="U62" s="39"/>
      <c r="V62" s="40"/>
      <c r="W62" s="40"/>
      <c r="X62" s="40"/>
      <c r="Y62" s="40"/>
      <c r="Z62" s="40"/>
      <c r="AA62" s="65"/>
      <c r="AB62" s="70"/>
      <c r="AC62" s="66"/>
      <c r="AD62" s="91"/>
      <c r="AE62" s="41"/>
      <c r="AF62" s="179"/>
      <c r="AG62" s="178"/>
      <c r="AH62" s="175"/>
      <c r="AI62" s="176"/>
      <c r="AJ62" s="42"/>
      <c r="AK62" s="43"/>
      <c r="AL62" s="44"/>
      <c r="AM62" s="45"/>
      <c r="AN62" s="46"/>
      <c r="AO62" s="47"/>
    </row>
    <row r="63" spans="1:41" s="21" customFormat="1" ht="48.75" customHeight="1" x14ac:dyDescent="0.15">
      <c r="A63" s="79"/>
      <c r="B63" s="85"/>
      <c r="C63" s="107"/>
      <c r="D63" s="106"/>
      <c r="E63" s="107"/>
      <c r="F63" s="107"/>
      <c r="G63" s="101"/>
      <c r="H63" s="54"/>
      <c r="I63" s="53"/>
      <c r="J63" s="57"/>
      <c r="K63" s="35"/>
      <c r="L63" s="35"/>
      <c r="M63" s="76"/>
      <c r="N63" s="171">
        <f>SUM(I63:M63)</f>
        <v>0</v>
      </c>
      <c r="O63" s="102"/>
      <c r="P63" s="103"/>
      <c r="Q63" s="103"/>
      <c r="R63" s="103"/>
      <c r="S63" s="103"/>
      <c r="T63" s="38">
        <f>ROUND(((O63*I63)+(P63*J63)+(Q63*K63)+(R63*L63)+(S63*M63)),3)</f>
        <v>0</v>
      </c>
      <c r="U63" s="39">
        <f>IF(T63&gt;=8,8,T63)</f>
        <v>0</v>
      </c>
      <c r="V63" s="40"/>
      <c r="W63" s="40"/>
      <c r="X63" s="40"/>
      <c r="Y63" s="40"/>
      <c r="Z63" s="40"/>
      <c r="AA63" s="65" t="e">
        <f>(((((V63*I63)+(W63*J63)+(X63*K63)+(Y63*L63)+(Z63*M63))/$L$2)))</f>
        <v>#DIV/0!</v>
      </c>
      <c r="AB63" s="70" t="e">
        <f>ROUND(11*AA63,3)</f>
        <v>#DIV/0!</v>
      </c>
      <c r="AC63" s="67" t="e">
        <f>IF(AB63&gt;=11,11,AB63)</f>
        <v>#DIV/0!</v>
      </c>
      <c r="AD63" s="91">
        <f>T64</f>
        <v>0</v>
      </c>
      <c r="AE63" s="41">
        <v>0.3</v>
      </c>
      <c r="AF63" s="174">
        <f>10+4+ROUND(1*I63+1*J63+1*K63+1*L63+1*M63,3)+ROUND(2*I63+2*J63+2*K63+2*L63+2*M63,3)</f>
        <v>14</v>
      </c>
      <c r="AG63" s="166" t="e">
        <f>U63+AC63+AD63+AF63</f>
        <v>#DIV/0!</v>
      </c>
      <c r="AH63" s="175" t="e">
        <f>AG63+AE63</f>
        <v>#DIV/0!</v>
      </c>
      <c r="AI63" s="176" t="e">
        <f>IF(AH63&gt;=40,40,AH63)</f>
        <v>#DIV/0!</v>
      </c>
      <c r="AJ63" s="42"/>
      <c r="AK63" s="43"/>
      <c r="AL63" s="44"/>
      <c r="AM63" s="45">
        <f>100%+AL63</f>
        <v>1</v>
      </c>
      <c r="AN63" s="46">
        <f>ROUNDUP((($E$2*AM63-$AN$4)*AJ63+$AN$4),-3)</f>
        <v>0</v>
      </c>
      <c r="AO63" s="47"/>
    </row>
    <row r="64" spans="1:41" s="21" customFormat="1" ht="26.25" customHeight="1" x14ac:dyDescent="0.15">
      <c r="A64" s="80"/>
      <c r="B64" s="78"/>
      <c r="C64" s="142" t="s">
        <v>46</v>
      </c>
      <c r="D64" s="143"/>
      <c r="E64" s="143"/>
      <c r="F64" s="143"/>
      <c r="G64" s="144"/>
      <c r="H64" s="33"/>
      <c r="I64" s="53"/>
      <c r="J64" s="57"/>
      <c r="K64" s="57"/>
      <c r="L64" s="57"/>
      <c r="M64" s="75"/>
      <c r="N64" s="171"/>
      <c r="O64" s="105"/>
      <c r="P64" s="105"/>
      <c r="Q64" s="105"/>
      <c r="R64" s="105"/>
      <c r="S64" s="105"/>
      <c r="T64" s="69">
        <f>(I63*O64)+(J63*P64)+(K63*Q64)+(L63*R64)+(M63*S64)</f>
        <v>0</v>
      </c>
      <c r="U64" s="39"/>
      <c r="V64" s="40"/>
      <c r="W64" s="40"/>
      <c r="X64" s="40"/>
      <c r="Y64" s="40"/>
      <c r="Z64" s="40"/>
      <c r="AA64" s="65"/>
      <c r="AB64" s="70"/>
      <c r="AC64" s="66"/>
      <c r="AD64" s="91"/>
      <c r="AE64" s="41"/>
      <c r="AF64" s="179"/>
      <c r="AG64" s="178"/>
      <c r="AH64" s="175"/>
      <c r="AI64" s="176"/>
      <c r="AJ64" s="42"/>
      <c r="AK64" s="43"/>
      <c r="AL64" s="44"/>
      <c r="AM64" s="45"/>
      <c r="AN64" s="46"/>
      <c r="AO64" s="47"/>
    </row>
    <row r="65" spans="1:41" s="21" customFormat="1" ht="55.5" customHeight="1" x14ac:dyDescent="0.15">
      <c r="A65" s="79"/>
      <c r="B65" s="77"/>
      <c r="C65" s="107"/>
      <c r="D65" s="106"/>
      <c r="E65" s="107"/>
      <c r="F65" s="107"/>
      <c r="G65" s="101"/>
      <c r="H65" s="54"/>
      <c r="I65" s="53"/>
      <c r="J65" s="57"/>
      <c r="K65" s="35"/>
      <c r="L65" s="35"/>
      <c r="M65" s="76"/>
      <c r="N65" s="171">
        <f>SUM(I65:M65)</f>
        <v>0</v>
      </c>
      <c r="O65" s="102"/>
      <c r="P65" s="103"/>
      <c r="Q65" s="103"/>
      <c r="R65" s="103"/>
      <c r="S65" s="103"/>
      <c r="T65" s="38">
        <f>ROUND(((O65*I65)+(P65*J65)+(Q65*K65)+(R65*L65)+(S65*M65)),3)</f>
        <v>0</v>
      </c>
      <c r="U65" s="39">
        <f>IF(T65&gt;=8,8,T65)</f>
        <v>0</v>
      </c>
      <c r="V65" s="40"/>
      <c r="W65" s="40"/>
      <c r="X65" s="40"/>
      <c r="Y65" s="40"/>
      <c r="Z65" s="40"/>
      <c r="AA65" s="65" t="e">
        <f>(((((V65*I65)+(W65*J65)+(X65*K65)+(Y65*L65)+(Z65*M65))/$L$2)))</f>
        <v>#DIV/0!</v>
      </c>
      <c r="AB65" s="70" t="e">
        <f t="shared" ref="AB65" si="38">ROUND(11*AA65,3)</f>
        <v>#DIV/0!</v>
      </c>
      <c r="AC65" s="67" t="e">
        <f t="shared" ref="AC65" si="39">IF(AB65&gt;=11,11,AB65)</f>
        <v>#DIV/0!</v>
      </c>
      <c r="AD65" s="91">
        <f>T66</f>
        <v>0</v>
      </c>
      <c r="AE65" s="41">
        <v>0.3</v>
      </c>
      <c r="AF65" s="174">
        <f>10+4+ROUND(1*I65+1*J65+1*K65+1*L65+1*M65,3)+ROUND(2*I65+2*J65+2*K65+2*L65+2*M65,3)</f>
        <v>14</v>
      </c>
      <c r="AG65" s="166" t="e">
        <f>U65+AC65+AD65+AF65</f>
        <v>#DIV/0!</v>
      </c>
      <c r="AH65" s="175" t="e">
        <f>AG65+AE65</f>
        <v>#DIV/0!</v>
      </c>
      <c r="AI65" s="176" t="e">
        <f>IF(AH65&gt;=40,40,AH65)</f>
        <v>#DIV/0!</v>
      </c>
      <c r="AJ65" s="42"/>
      <c r="AK65" s="43"/>
      <c r="AL65" s="44"/>
      <c r="AM65" s="45">
        <f>100%+AL65</f>
        <v>1</v>
      </c>
      <c r="AN65" s="46">
        <f>ROUNDUP((($E$2*AM65-$AN$4)*AJ65+$AN$4),-3)</f>
        <v>0</v>
      </c>
      <c r="AO65" s="47"/>
    </row>
    <row r="66" spans="1:41" s="21" customFormat="1" ht="26.25" customHeight="1" x14ac:dyDescent="0.15">
      <c r="A66" s="80"/>
      <c r="B66" s="78"/>
      <c r="C66" s="142" t="s">
        <v>46</v>
      </c>
      <c r="D66" s="143"/>
      <c r="E66" s="143"/>
      <c r="F66" s="143"/>
      <c r="G66" s="144"/>
      <c r="H66" s="33"/>
      <c r="I66" s="53"/>
      <c r="J66" s="57"/>
      <c r="K66" s="57"/>
      <c r="L66" s="57"/>
      <c r="M66" s="75"/>
      <c r="N66" s="171"/>
      <c r="O66" s="104"/>
      <c r="P66" s="105"/>
      <c r="Q66" s="105"/>
      <c r="R66" s="105"/>
      <c r="S66" s="105"/>
      <c r="T66" s="69">
        <f>(I65*O66)+(J65*P66)+(K65*Q66)+(L65*R66)+(M65*S66)</f>
        <v>0</v>
      </c>
      <c r="U66" s="39"/>
      <c r="V66" s="40"/>
      <c r="W66" s="40"/>
      <c r="X66" s="40"/>
      <c r="Y66" s="40"/>
      <c r="Z66" s="40"/>
      <c r="AA66" s="65"/>
      <c r="AB66" s="70"/>
      <c r="AC66" s="66"/>
      <c r="AD66" s="91"/>
      <c r="AE66" s="41"/>
      <c r="AF66" s="179"/>
      <c r="AG66" s="178"/>
      <c r="AH66" s="175"/>
      <c r="AI66" s="176"/>
      <c r="AJ66" s="42"/>
      <c r="AK66" s="43"/>
      <c r="AL66" s="44"/>
      <c r="AM66" s="45"/>
      <c r="AN66" s="46"/>
      <c r="AO66" s="47"/>
    </row>
    <row r="67" spans="1:41" s="21" customFormat="1" ht="48.75" customHeight="1" x14ac:dyDescent="0.15">
      <c r="A67" s="79"/>
      <c r="B67" s="77"/>
      <c r="C67" s="107"/>
      <c r="D67" s="106"/>
      <c r="E67" s="107"/>
      <c r="F67" s="107"/>
      <c r="G67" s="101"/>
      <c r="H67" s="54"/>
      <c r="I67" s="53"/>
      <c r="J67" s="57"/>
      <c r="K67" s="35"/>
      <c r="L67" s="57"/>
      <c r="M67" s="76"/>
      <c r="N67" s="171">
        <f>SUM(I67:M67)</f>
        <v>0</v>
      </c>
      <c r="O67" s="102"/>
      <c r="P67" s="103"/>
      <c r="Q67" s="103"/>
      <c r="R67" s="103"/>
      <c r="S67" s="103"/>
      <c r="T67" s="38">
        <f>ROUND(((O67*I67)+(P67*J67)+(Q67*K67)+(R67*L67)+(S67*M67)),3)</f>
        <v>0</v>
      </c>
      <c r="U67" s="39">
        <f>IF(T67&gt;=8,8,T67)</f>
        <v>0</v>
      </c>
      <c r="V67" s="40"/>
      <c r="W67" s="40"/>
      <c r="X67" s="40"/>
      <c r="Y67" s="40"/>
      <c r="Z67" s="40"/>
      <c r="AA67" s="65" t="e">
        <f>(((((V67*I67)+(W67*J67)+(X67*K67)+(Y67*L67)+(Z67*M67))/$L$2)))</f>
        <v>#DIV/0!</v>
      </c>
      <c r="AB67" s="70" t="e">
        <f t="shared" ref="AB67" si="40">ROUND(11*AA67,3)</f>
        <v>#DIV/0!</v>
      </c>
      <c r="AC67" s="67" t="e">
        <f t="shared" ref="AC67" si="41">IF(AB67&gt;=11,11,AB67)</f>
        <v>#DIV/0!</v>
      </c>
      <c r="AD67" s="91">
        <f>T68</f>
        <v>0</v>
      </c>
      <c r="AE67" s="41">
        <v>0.3</v>
      </c>
      <c r="AF67" s="174">
        <f>10+4+ROUND(1*I67+1*J67+1*K67+1*L67+1*M67,3)+ROUND(2*I67+2*J67+2*K67+2*L67+2*M67,3)</f>
        <v>14</v>
      </c>
      <c r="AG67" s="166" t="e">
        <f>U67+AC67+AD67+AF67</f>
        <v>#DIV/0!</v>
      </c>
      <c r="AH67" s="175" t="e">
        <f>AG67+AE67</f>
        <v>#DIV/0!</v>
      </c>
      <c r="AI67" s="176" t="e">
        <f>IF(AH67&gt;=40,40,AH67)</f>
        <v>#DIV/0!</v>
      </c>
      <c r="AJ67" s="42"/>
      <c r="AK67" s="43"/>
      <c r="AL67" s="44"/>
      <c r="AM67" s="45">
        <f>100%+AL67</f>
        <v>1</v>
      </c>
      <c r="AN67" s="46">
        <f>ROUNDUP((($E$2*AM67-$AN$4)*AJ67+$AN$4),-3)</f>
        <v>0</v>
      </c>
      <c r="AO67" s="47"/>
    </row>
    <row r="68" spans="1:41" s="21" customFormat="1" ht="26.25" customHeight="1" x14ac:dyDescent="0.15">
      <c r="A68" s="80"/>
      <c r="B68" s="78"/>
      <c r="C68" s="142" t="s">
        <v>46</v>
      </c>
      <c r="D68" s="143"/>
      <c r="E68" s="143"/>
      <c r="F68" s="143"/>
      <c r="G68" s="144"/>
      <c r="H68" s="33"/>
      <c r="I68" s="53"/>
      <c r="J68" s="57"/>
      <c r="K68" s="57"/>
      <c r="L68" s="57"/>
      <c r="M68" s="75"/>
      <c r="N68" s="171"/>
      <c r="O68" s="104"/>
      <c r="P68" s="103"/>
      <c r="Q68" s="103"/>
      <c r="R68" s="105"/>
      <c r="S68" s="105"/>
      <c r="T68" s="69">
        <f>(I67*O68)+(J67*P68)+(K67*Q68)+(L67*R68)+(M67*S68)</f>
        <v>0</v>
      </c>
      <c r="U68" s="39"/>
      <c r="V68" s="40"/>
      <c r="W68" s="40"/>
      <c r="X68" s="40"/>
      <c r="Y68" s="40"/>
      <c r="Z68" s="40"/>
      <c r="AA68" s="65"/>
      <c r="AB68" s="70"/>
      <c r="AC68" s="66"/>
      <c r="AD68" s="91"/>
      <c r="AE68" s="41"/>
      <c r="AF68" s="179"/>
      <c r="AG68" s="178"/>
      <c r="AH68" s="175"/>
      <c r="AI68" s="176"/>
      <c r="AJ68" s="42"/>
      <c r="AK68" s="43"/>
      <c r="AL68" s="44"/>
      <c r="AM68" s="45"/>
      <c r="AN68" s="46"/>
      <c r="AO68" s="47"/>
    </row>
    <row r="69" spans="1:41" s="21" customFormat="1" ht="48.75" customHeight="1" x14ac:dyDescent="0.15">
      <c r="A69" s="79"/>
      <c r="B69" s="77"/>
      <c r="C69" s="107"/>
      <c r="D69" s="106"/>
      <c r="E69" s="107"/>
      <c r="F69" s="107"/>
      <c r="G69" s="101"/>
      <c r="H69" s="54"/>
      <c r="I69" s="53"/>
      <c r="J69" s="57"/>
      <c r="K69" s="35"/>
      <c r="L69" s="35"/>
      <c r="M69" s="76"/>
      <c r="N69" s="171">
        <f>SUM(I69:M69)</f>
        <v>0</v>
      </c>
      <c r="O69" s="102"/>
      <c r="P69" s="103"/>
      <c r="Q69" s="103"/>
      <c r="R69" s="103"/>
      <c r="S69" s="103"/>
      <c r="T69" s="38">
        <f>ROUND(((O69*I69)+(P69*J69)+(Q69*K69)+(R69*L69)+(S69*M69)),3)</f>
        <v>0</v>
      </c>
      <c r="U69" s="39">
        <f>IF(T69&gt;=8,8,T69)</f>
        <v>0</v>
      </c>
      <c r="V69" s="40"/>
      <c r="W69" s="40"/>
      <c r="X69" s="40"/>
      <c r="Y69" s="40"/>
      <c r="Z69" s="40"/>
      <c r="AA69" s="65" t="e">
        <f>(((((V69*I69)+(W69*J69)+(X69*K69)+(Y69*L69)+(Z69*M69))/$L$2)))</f>
        <v>#DIV/0!</v>
      </c>
      <c r="AB69" s="70" t="e">
        <f t="shared" ref="AB69" si="42">ROUND(11*AA69,3)</f>
        <v>#DIV/0!</v>
      </c>
      <c r="AC69" s="67" t="e">
        <f t="shared" ref="AC69" si="43">IF(AB69&gt;=11,11,AB69)</f>
        <v>#DIV/0!</v>
      </c>
      <c r="AD69" s="91">
        <f>T70</f>
        <v>0</v>
      </c>
      <c r="AE69" s="41">
        <v>0.3</v>
      </c>
      <c r="AF69" s="174">
        <f>10+4+ROUND(1*I69+1*J69+1*K69+1*L69+1*M69,3)+ROUND(2*I69+2*J69+2*K69+2*L69+2*M69,3)</f>
        <v>14</v>
      </c>
      <c r="AG69" s="166" t="e">
        <f>U69+AC69+AD69+AF69</f>
        <v>#DIV/0!</v>
      </c>
      <c r="AH69" s="175" t="e">
        <f>AG69+AE69</f>
        <v>#DIV/0!</v>
      </c>
      <c r="AI69" s="176" t="e">
        <f>IF(AH69&gt;=40,40,AH69)</f>
        <v>#DIV/0!</v>
      </c>
      <c r="AJ69" s="42"/>
      <c r="AK69" s="43"/>
      <c r="AL69" s="44"/>
      <c r="AM69" s="45">
        <f>100%+AL69</f>
        <v>1</v>
      </c>
      <c r="AN69" s="46">
        <f>ROUNDUP((($E$2*AM69-$AN$4)*AJ69+$AN$4),-3)</f>
        <v>0</v>
      </c>
      <c r="AO69" s="47"/>
    </row>
    <row r="70" spans="1:41" s="21" customFormat="1" ht="26.25" customHeight="1" x14ac:dyDescent="0.15">
      <c r="A70" s="80"/>
      <c r="B70" s="78"/>
      <c r="C70" s="153" t="s">
        <v>46</v>
      </c>
      <c r="D70" s="154"/>
      <c r="E70" s="154"/>
      <c r="F70" s="154"/>
      <c r="G70" s="155"/>
      <c r="H70" s="33"/>
      <c r="I70" s="53"/>
      <c r="J70" s="57"/>
      <c r="K70" s="57"/>
      <c r="L70" s="57"/>
      <c r="M70" s="75"/>
      <c r="N70" s="171"/>
      <c r="O70" s="104"/>
      <c r="P70" s="104"/>
      <c r="Q70" s="104"/>
      <c r="R70" s="105"/>
      <c r="S70" s="105"/>
      <c r="T70" s="69">
        <f>(I69*O70)+(J69*P70)+(K69*Q70)+(L69*R70)+(M69*S70)</f>
        <v>0</v>
      </c>
      <c r="U70" s="39"/>
      <c r="V70" s="40"/>
      <c r="W70" s="40"/>
      <c r="X70" s="40"/>
      <c r="Y70" s="40"/>
      <c r="Z70" s="40"/>
      <c r="AA70" s="65"/>
      <c r="AB70" s="70"/>
      <c r="AC70" s="66"/>
      <c r="AD70" s="91"/>
      <c r="AE70" s="41"/>
      <c r="AF70" s="179"/>
      <c r="AG70" s="178"/>
      <c r="AH70" s="175"/>
      <c r="AI70" s="176"/>
      <c r="AJ70" s="42"/>
      <c r="AK70" s="43"/>
      <c r="AL70" s="44"/>
      <c r="AM70" s="45"/>
      <c r="AN70" s="46"/>
      <c r="AO70" s="47"/>
    </row>
    <row r="71" spans="1:41" s="21" customFormat="1" ht="50.25" customHeight="1" x14ac:dyDescent="0.15">
      <c r="A71" s="79"/>
      <c r="B71" s="77"/>
      <c r="C71" s="107"/>
      <c r="D71" s="106"/>
      <c r="E71" s="107"/>
      <c r="F71" s="107"/>
      <c r="G71" s="101"/>
      <c r="H71" s="33"/>
      <c r="I71" s="53"/>
      <c r="J71" s="57"/>
      <c r="K71" s="35"/>
      <c r="L71" s="35"/>
      <c r="M71" s="76"/>
      <c r="N71" s="171">
        <f>SUM(I71:M71)</f>
        <v>0</v>
      </c>
      <c r="O71" s="102"/>
      <c r="P71" s="103"/>
      <c r="Q71" s="103"/>
      <c r="R71" s="103"/>
      <c r="S71" s="103"/>
      <c r="T71" s="38">
        <f>ROUND(((O71*I71)+(P71*J71)+(Q71*K71)+(R71*L71)+(S71*M71)),2)</f>
        <v>0</v>
      </c>
      <c r="U71" s="39">
        <f>IF(T71&gt;=8,8,T71)</f>
        <v>0</v>
      </c>
      <c r="V71" s="40"/>
      <c r="W71" s="40"/>
      <c r="X71" s="40"/>
      <c r="Y71" s="40"/>
      <c r="Z71" s="40"/>
      <c r="AA71" s="65" t="e">
        <f>(((((V71*I71)+(W71*J71)+(X71*K71)+(Y71*L71)+(Z71*M71))/$L$2)))</f>
        <v>#DIV/0!</v>
      </c>
      <c r="AB71" s="70" t="e">
        <f t="shared" ref="AB71" si="44">ROUND(11*AA71,3)</f>
        <v>#DIV/0!</v>
      </c>
      <c r="AC71" s="67" t="e">
        <f t="shared" ref="AC71" si="45">IF(AB71&gt;=11,11,AB71)</f>
        <v>#DIV/0!</v>
      </c>
      <c r="AD71" s="91">
        <f>T72</f>
        <v>0</v>
      </c>
      <c r="AE71" s="41">
        <v>0.3</v>
      </c>
      <c r="AF71" s="174">
        <f>10+4+ROUND(1*I71+1*J71+1*K71+1*L71+1*M71,3)+ROUND(2*I71+2*J71+2*K71+2*L71+2*M71,3)</f>
        <v>14</v>
      </c>
      <c r="AG71" s="166" t="e">
        <f>U71+AC71+AD71+AF71</f>
        <v>#DIV/0!</v>
      </c>
      <c r="AH71" s="175" t="e">
        <f>AG71+AE71</f>
        <v>#DIV/0!</v>
      </c>
      <c r="AI71" s="176" t="e">
        <f>IF(AH71&gt;=40,40,AH71)</f>
        <v>#DIV/0!</v>
      </c>
      <c r="AJ71" s="42"/>
      <c r="AK71" s="43"/>
      <c r="AL71" s="44"/>
      <c r="AM71" s="45"/>
      <c r="AN71" s="46"/>
      <c r="AO71" s="47"/>
    </row>
    <row r="72" spans="1:41" s="21" customFormat="1" ht="26.25" customHeight="1" x14ac:dyDescent="0.15">
      <c r="A72" s="80"/>
      <c r="B72" s="78"/>
      <c r="C72" s="153" t="s">
        <v>46</v>
      </c>
      <c r="D72" s="154"/>
      <c r="E72" s="154"/>
      <c r="F72" s="154"/>
      <c r="G72" s="155"/>
      <c r="H72" s="33"/>
      <c r="I72" s="53"/>
      <c r="J72" s="57"/>
      <c r="K72" s="57"/>
      <c r="L72" s="57"/>
      <c r="M72" s="75"/>
      <c r="N72" s="171"/>
      <c r="O72" s="105"/>
      <c r="P72" s="105"/>
      <c r="Q72" s="105"/>
      <c r="R72" s="105"/>
      <c r="S72" s="105"/>
      <c r="T72" s="69">
        <f>(I71*O72)+(J71*P72)+(K71*Q72)+(L71*R72)+(M71*S72)</f>
        <v>0</v>
      </c>
      <c r="U72" s="39"/>
      <c r="V72" s="40"/>
      <c r="W72" s="40"/>
      <c r="X72" s="40"/>
      <c r="Y72" s="40"/>
      <c r="Z72" s="40"/>
      <c r="AA72" s="65"/>
      <c r="AB72" s="70"/>
      <c r="AC72" s="66"/>
      <c r="AD72" s="91"/>
      <c r="AE72" s="41"/>
      <c r="AF72" s="179"/>
      <c r="AG72" s="178"/>
      <c r="AH72" s="175"/>
      <c r="AI72" s="176"/>
      <c r="AJ72" s="42"/>
      <c r="AK72" s="43"/>
      <c r="AL72" s="44"/>
      <c r="AM72" s="45"/>
      <c r="AN72" s="46"/>
      <c r="AO72" s="47"/>
    </row>
    <row r="73" spans="1:41" s="21" customFormat="1" ht="54" customHeight="1" x14ac:dyDescent="0.15">
      <c r="A73" s="79"/>
      <c r="B73" s="77"/>
      <c r="C73" s="107"/>
      <c r="D73" s="106"/>
      <c r="E73" s="107"/>
      <c r="F73" s="107"/>
      <c r="G73" s="101"/>
      <c r="H73" s="33"/>
      <c r="I73" s="53"/>
      <c r="J73" s="57"/>
      <c r="K73" s="35"/>
      <c r="L73" s="35"/>
      <c r="M73" s="76"/>
      <c r="N73" s="171">
        <f>SUM(I73:M73)</f>
        <v>0</v>
      </c>
      <c r="O73" s="102"/>
      <c r="P73" s="103"/>
      <c r="Q73" s="103"/>
      <c r="R73" s="103"/>
      <c r="S73" s="103"/>
      <c r="T73" s="38">
        <f>ROUND(((O73*I73)+(P73*J73)+(Q73*K73)+(R73*L73)+(S73*M73)),3)</f>
        <v>0</v>
      </c>
      <c r="U73" s="39">
        <f>IF(T73&gt;=8,8,T73)</f>
        <v>0</v>
      </c>
      <c r="V73" s="40"/>
      <c r="W73" s="40"/>
      <c r="X73" s="40"/>
      <c r="Y73" s="40"/>
      <c r="Z73" s="40"/>
      <c r="AA73" s="65" t="e">
        <f>(((((V73*I73)+(W73*J73)+(X73*K73)+(Y73*L73)+(Z73*M73))/$L$2)))</f>
        <v>#DIV/0!</v>
      </c>
      <c r="AB73" s="70" t="e">
        <f t="shared" ref="AB73" si="46">ROUND(11*AA73,3)</f>
        <v>#DIV/0!</v>
      </c>
      <c r="AC73" s="67" t="e">
        <f t="shared" ref="AC73" si="47">IF(AB73&gt;=11,11,AB73)</f>
        <v>#DIV/0!</v>
      </c>
      <c r="AD73" s="91">
        <f>T74</f>
        <v>0</v>
      </c>
      <c r="AE73" s="41">
        <v>0.3</v>
      </c>
      <c r="AF73" s="174">
        <f>10+4+ROUND(1*I73+1*J73+1*K73+1*L73+1*M73,3)+ROUND(2*I73+2*J73+2*K73+2*L73+2*M73,3)</f>
        <v>14</v>
      </c>
      <c r="AG73" s="166" t="e">
        <f>U73+AC73+AD73+AF73</f>
        <v>#DIV/0!</v>
      </c>
      <c r="AH73" s="175" t="e">
        <f>AG73+AE73</f>
        <v>#DIV/0!</v>
      </c>
      <c r="AI73" s="176" t="e">
        <f>IF(AH73&gt;=40,40,AH73)</f>
        <v>#DIV/0!</v>
      </c>
      <c r="AJ73" s="42"/>
      <c r="AK73" s="43"/>
      <c r="AL73" s="44"/>
      <c r="AM73" s="45">
        <f>100%+AL73</f>
        <v>1</v>
      </c>
      <c r="AN73" s="46">
        <f>ROUNDUP((($E$2*AM73-$AN$4)*AJ73+$AN$4),-3)</f>
        <v>0</v>
      </c>
      <c r="AO73" s="47"/>
    </row>
    <row r="74" spans="1:41" s="21" customFormat="1" ht="26.25" customHeight="1" x14ac:dyDescent="0.15">
      <c r="A74" s="80"/>
      <c r="B74" s="78"/>
      <c r="C74" s="153" t="s">
        <v>46</v>
      </c>
      <c r="D74" s="154"/>
      <c r="E74" s="154"/>
      <c r="F74" s="154"/>
      <c r="G74" s="155"/>
      <c r="H74" s="33"/>
      <c r="I74" s="53"/>
      <c r="J74" s="57"/>
      <c r="K74" s="57"/>
      <c r="L74" s="57"/>
      <c r="M74" s="75"/>
      <c r="N74" s="171"/>
      <c r="O74" s="104"/>
      <c r="P74" s="105"/>
      <c r="Q74" s="105"/>
      <c r="R74" s="105"/>
      <c r="S74" s="105"/>
      <c r="T74" s="69">
        <f>(I73*O74)+(J73*P74)+(K73*Q74)+(L73*R74)+(M73*S74)</f>
        <v>0</v>
      </c>
      <c r="U74" s="39"/>
      <c r="V74" s="40"/>
      <c r="W74" s="40"/>
      <c r="X74" s="40"/>
      <c r="Y74" s="40"/>
      <c r="Z74" s="40"/>
      <c r="AA74" s="65"/>
      <c r="AB74" s="70"/>
      <c r="AC74" s="66"/>
      <c r="AD74" s="91"/>
      <c r="AE74" s="41"/>
      <c r="AF74" s="179"/>
      <c r="AG74" s="178"/>
      <c r="AH74" s="175"/>
      <c r="AI74" s="176"/>
      <c r="AJ74" s="42"/>
      <c r="AK74" s="43"/>
      <c r="AL74" s="44"/>
      <c r="AM74" s="45"/>
      <c r="AN74" s="46"/>
      <c r="AO74" s="47"/>
    </row>
    <row r="75" spans="1:41" s="21" customFormat="1" ht="48.75" customHeight="1" x14ac:dyDescent="0.15">
      <c r="A75" s="79"/>
      <c r="B75" s="77"/>
      <c r="C75" s="107"/>
      <c r="D75" s="106"/>
      <c r="E75" s="107"/>
      <c r="F75" s="107"/>
      <c r="G75" s="101"/>
      <c r="H75" s="33"/>
      <c r="I75" s="53"/>
      <c r="J75" s="57"/>
      <c r="K75" s="35"/>
      <c r="L75" s="35"/>
      <c r="M75" s="76"/>
      <c r="N75" s="171">
        <f>SUM(I75:M75)</f>
        <v>0</v>
      </c>
      <c r="O75" s="102"/>
      <c r="P75" s="103"/>
      <c r="Q75" s="103"/>
      <c r="R75" s="103"/>
      <c r="S75" s="103"/>
      <c r="T75" s="38">
        <f>ROUND(((O75*I75)+(P75*J75)+(Q75*K75)+(R75*L75)+(S75*M75)),3)</f>
        <v>0</v>
      </c>
      <c r="U75" s="39">
        <f>IF(T75&gt;=8,8,T75)</f>
        <v>0</v>
      </c>
      <c r="V75" s="40"/>
      <c r="W75" s="40"/>
      <c r="X75" s="40"/>
      <c r="Y75" s="40"/>
      <c r="Z75" s="40"/>
      <c r="AA75" s="65" t="e">
        <f>(((((V75*I75)+(W75*J75)+(X75*K75)+(Y75*L75)+(Z75*M75))/$L$2)))</f>
        <v>#DIV/0!</v>
      </c>
      <c r="AB75" s="70" t="e">
        <f t="shared" ref="AB75" si="48">ROUND(11*AA75,3)</f>
        <v>#DIV/0!</v>
      </c>
      <c r="AC75" s="67" t="e">
        <f t="shared" ref="AC75" si="49">IF(AB75&gt;=11,11,AB75)</f>
        <v>#DIV/0!</v>
      </c>
      <c r="AD75" s="91">
        <f>T76</f>
        <v>0</v>
      </c>
      <c r="AE75" s="41">
        <v>0.3</v>
      </c>
      <c r="AF75" s="174">
        <f>10+4+ROUND(1*I75+1*J75+1*K75+1*L75+1*M75,3)+ROUND(2*I75+2*J75+2*K75+2*L75+2*M75,3)</f>
        <v>14</v>
      </c>
      <c r="AG75" s="166" t="e">
        <f>U75+AC75+AD75+AF75</f>
        <v>#DIV/0!</v>
      </c>
      <c r="AH75" s="175" t="e">
        <f>AG75+AE75</f>
        <v>#DIV/0!</v>
      </c>
      <c r="AI75" s="176" t="e">
        <f>IF(AH75&gt;=40,40,AH75)</f>
        <v>#DIV/0!</v>
      </c>
      <c r="AJ75" s="42"/>
      <c r="AK75" s="43"/>
      <c r="AL75" s="44"/>
      <c r="AM75" s="45">
        <f>100%+AL75</f>
        <v>1</v>
      </c>
      <c r="AN75" s="46">
        <f>ROUNDUP((($E$2*AM75-$AN$4)*AJ75+$AN$4),-3)</f>
        <v>0</v>
      </c>
      <c r="AO75" s="47"/>
    </row>
    <row r="76" spans="1:41" s="21" customFormat="1" ht="26.25" customHeight="1" x14ac:dyDescent="0.15">
      <c r="A76" s="80"/>
      <c r="B76" s="78"/>
      <c r="C76" s="153" t="s">
        <v>46</v>
      </c>
      <c r="D76" s="154"/>
      <c r="E76" s="154"/>
      <c r="F76" s="154"/>
      <c r="G76" s="155"/>
      <c r="H76" s="33"/>
      <c r="I76" s="53"/>
      <c r="J76" s="57"/>
      <c r="K76" s="57"/>
      <c r="L76" s="57"/>
      <c r="M76" s="75"/>
      <c r="N76" s="171"/>
      <c r="O76" s="104"/>
      <c r="P76" s="105"/>
      <c r="Q76" s="105"/>
      <c r="R76" s="105"/>
      <c r="S76" s="105"/>
      <c r="T76" s="69">
        <f>(I75*O76)+(J75*P76)+(K75*Q76)+(L75*R76)+(M75*S76)</f>
        <v>0</v>
      </c>
      <c r="U76" s="39"/>
      <c r="V76" s="40"/>
      <c r="W76" s="40"/>
      <c r="X76" s="40"/>
      <c r="Y76" s="40"/>
      <c r="Z76" s="40"/>
      <c r="AA76" s="65"/>
      <c r="AB76" s="70"/>
      <c r="AC76" s="66"/>
      <c r="AD76" s="91"/>
      <c r="AE76" s="41"/>
      <c r="AF76" s="179"/>
      <c r="AG76" s="178"/>
      <c r="AH76" s="175"/>
      <c r="AI76" s="176"/>
      <c r="AJ76" s="42"/>
      <c r="AK76" s="43"/>
      <c r="AL76" s="44"/>
      <c r="AM76" s="45"/>
      <c r="AN76" s="46"/>
      <c r="AO76" s="47"/>
    </row>
    <row r="77" spans="1:41" s="21" customFormat="1" ht="48.75" customHeight="1" x14ac:dyDescent="0.15">
      <c r="A77" s="79"/>
      <c r="B77" s="77"/>
      <c r="C77" s="107"/>
      <c r="D77" s="106"/>
      <c r="E77" s="107"/>
      <c r="F77" s="107"/>
      <c r="G77" s="101"/>
      <c r="H77" s="33"/>
      <c r="I77" s="53"/>
      <c r="J77" s="57"/>
      <c r="K77" s="35"/>
      <c r="L77" s="35"/>
      <c r="M77" s="76"/>
      <c r="N77" s="171">
        <f>SUM(I77:M77)</f>
        <v>0</v>
      </c>
      <c r="O77" s="103"/>
      <c r="P77" s="103"/>
      <c r="Q77" s="103"/>
      <c r="R77" s="103"/>
      <c r="S77" s="103"/>
      <c r="T77" s="38">
        <f>ROUND(((O77*I77)+(P77*J77)+(Q77*K77)+(R77*L77)+(S77*M77)),3)</f>
        <v>0</v>
      </c>
      <c r="U77" s="39">
        <f>IF(T77&gt;=8,8,T77)</f>
        <v>0</v>
      </c>
      <c r="V77" s="40"/>
      <c r="W77" s="40"/>
      <c r="X77" s="40"/>
      <c r="Y77" s="40"/>
      <c r="Z77" s="40"/>
      <c r="AA77" s="65" t="e">
        <f>(((((V77*I77)+(W77*J77)+(X77*K77)+(Y77*L77)+(Z77*M77))/$L$2)))</f>
        <v>#DIV/0!</v>
      </c>
      <c r="AB77" s="70" t="e">
        <f t="shared" ref="AB77" si="50">ROUND(11*AA77,3)</f>
        <v>#DIV/0!</v>
      </c>
      <c r="AC77" s="67" t="e">
        <f t="shared" ref="AC77" si="51">IF(AB77&gt;=11,11,AB77)</f>
        <v>#DIV/0!</v>
      </c>
      <c r="AD77" s="91">
        <f>T78</f>
        <v>0</v>
      </c>
      <c r="AE77" s="41">
        <v>0.3</v>
      </c>
      <c r="AF77" s="174">
        <f>10+4+ROUND(1*I77+1*J77+1*K77+1*L77+1*M77,3)+ROUND(2*I77+2*J77+2*K77+2*L77+2*M77,3)</f>
        <v>14</v>
      </c>
      <c r="AG77" s="166" t="e">
        <f>U77+AC77+AD77+AF77</f>
        <v>#DIV/0!</v>
      </c>
      <c r="AH77" s="175" t="e">
        <f>AG77+AE77</f>
        <v>#DIV/0!</v>
      </c>
      <c r="AI77" s="176" t="e">
        <f>IF(AH77&gt;=40,40,AH77)</f>
        <v>#DIV/0!</v>
      </c>
      <c r="AJ77" s="42"/>
      <c r="AK77" s="43"/>
      <c r="AL77" s="44"/>
      <c r="AM77" s="45">
        <f>100%+AL77</f>
        <v>1</v>
      </c>
      <c r="AN77" s="46">
        <f>ROUNDUP((($E$2*AM77-$AN$4)*AJ77+$AN$4),-3)</f>
        <v>0</v>
      </c>
      <c r="AO77" s="47"/>
    </row>
    <row r="78" spans="1:41" s="21" customFormat="1" ht="26.25" customHeight="1" x14ac:dyDescent="0.15">
      <c r="A78" s="80"/>
      <c r="B78" s="78"/>
      <c r="C78" s="153" t="s">
        <v>46</v>
      </c>
      <c r="D78" s="154"/>
      <c r="E78" s="154"/>
      <c r="F78" s="154"/>
      <c r="G78" s="155"/>
      <c r="H78" s="33"/>
      <c r="I78" s="53"/>
      <c r="J78" s="57"/>
      <c r="K78" s="57"/>
      <c r="L78" s="57"/>
      <c r="M78" s="75"/>
      <c r="N78" s="171"/>
      <c r="O78" s="104"/>
      <c r="P78" s="105"/>
      <c r="Q78" s="105"/>
      <c r="R78" s="105"/>
      <c r="S78" s="105"/>
      <c r="T78" s="69">
        <f>(I77*O78)+(J77*P78)+(K77*Q78)+(L77*R78)+(M77*S78)</f>
        <v>0</v>
      </c>
      <c r="U78" s="39"/>
      <c r="V78" s="40"/>
      <c r="W78" s="40"/>
      <c r="X78" s="40"/>
      <c r="Y78" s="40"/>
      <c r="Z78" s="40"/>
      <c r="AA78" s="65"/>
      <c r="AB78" s="70"/>
      <c r="AC78" s="66"/>
      <c r="AD78" s="91"/>
      <c r="AE78" s="41"/>
      <c r="AF78" s="179"/>
      <c r="AG78" s="178"/>
      <c r="AH78" s="175"/>
      <c r="AI78" s="176"/>
      <c r="AJ78" s="42"/>
      <c r="AK78" s="43"/>
      <c r="AL78" s="44"/>
      <c r="AM78" s="45"/>
      <c r="AN78" s="46"/>
      <c r="AO78" s="47"/>
    </row>
    <row r="79" spans="1:41" s="21" customFormat="1" ht="48.75" customHeight="1" x14ac:dyDescent="0.15">
      <c r="A79" s="79"/>
      <c r="B79" s="77"/>
      <c r="C79" s="107"/>
      <c r="D79" s="106"/>
      <c r="E79" s="107"/>
      <c r="F79" s="107"/>
      <c r="G79" s="101"/>
      <c r="H79" s="54"/>
      <c r="I79" s="34"/>
      <c r="J79" s="35"/>
      <c r="K79" s="35"/>
      <c r="L79" s="35"/>
      <c r="M79" s="76"/>
      <c r="N79" s="171">
        <f>SUM(I79:M79)</f>
        <v>0</v>
      </c>
      <c r="O79" s="102"/>
      <c r="P79" s="103"/>
      <c r="Q79" s="103"/>
      <c r="R79" s="103"/>
      <c r="S79" s="103"/>
      <c r="T79" s="38">
        <f>ROUND(((O79*I79)+(P79*J79)+(Q79*K79)+(R79*L79)+(S79*M79)),3)</f>
        <v>0</v>
      </c>
      <c r="U79" s="39">
        <f>IF(T79&gt;=8,8,T79)</f>
        <v>0</v>
      </c>
      <c r="V79" s="40"/>
      <c r="W79" s="40"/>
      <c r="X79" s="48"/>
      <c r="Y79" s="40"/>
      <c r="Z79" s="40"/>
      <c r="AA79" s="65" t="e">
        <f>(((((V79*I79)+(W79*J79)+(X79*K79)+(Y79*L79)+(Z79*M79))/$L$2)))</f>
        <v>#DIV/0!</v>
      </c>
      <c r="AB79" s="70" t="e">
        <f t="shared" ref="AB79" si="52">ROUND(11*AA79,3)</f>
        <v>#DIV/0!</v>
      </c>
      <c r="AC79" s="67" t="e">
        <f t="shared" ref="AC79" si="53">IF(AB79&gt;=11,11,AB79)</f>
        <v>#DIV/0!</v>
      </c>
      <c r="AD79" s="91">
        <f>T80</f>
        <v>0</v>
      </c>
      <c r="AE79" s="41">
        <v>0.3</v>
      </c>
      <c r="AF79" s="174">
        <f>10+4+ROUND(1*I79+1*J79+1*K79+1*L79+1*M79,3)+ROUND(2*I79+2*J79+2*K79+2*L79+2*M79,3)</f>
        <v>14</v>
      </c>
      <c r="AG79" s="166" t="e">
        <f>U79+AC79+AD79+AF79</f>
        <v>#DIV/0!</v>
      </c>
      <c r="AH79" s="175" t="e">
        <f>AG79+AE79</f>
        <v>#DIV/0!</v>
      </c>
      <c r="AI79" s="176" t="e">
        <f>IF(AH79&gt;=40,40,AH79)</f>
        <v>#DIV/0!</v>
      </c>
      <c r="AJ79" s="42"/>
      <c r="AK79" s="43"/>
      <c r="AL79" s="44"/>
      <c r="AM79" s="45">
        <f>100%+AL79</f>
        <v>1</v>
      </c>
      <c r="AN79" s="46">
        <f>ROUNDUP((($E$2*AM79-$AN$4)*AJ79+$AN$4),-3)</f>
        <v>0</v>
      </c>
      <c r="AO79" s="47"/>
    </row>
    <row r="80" spans="1:41" s="21" customFormat="1" ht="26.25" customHeight="1" x14ac:dyDescent="0.15">
      <c r="A80" s="80"/>
      <c r="B80" s="78"/>
      <c r="C80" s="153" t="s">
        <v>46</v>
      </c>
      <c r="D80" s="154"/>
      <c r="E80" s="154"/>
      <c r="F80" s="154"/>
      <c r="G80" s="155"/>
      <c r="H80" s="33"/>
      <c r="I80" s="53"/>
      <c r="J80" s="57"/>
      <c r="K80" s="57"/>
      <c r="L80" s="57"/>
      <c r="M80" s="75"/>
      <c r="N80" s="171"/>
      <c r="O80" s="105"/>
      <c r="P80" s="105"/>
      <c r="Q80" s="103"/>
      <c r="R80" s="105"/>
      <c r="S80" s="105"/>
      <c r="T80" s="69">
        <f>(I79*O80)+(J79*P80)+(K79*Q80)+(L79*R80)+(M79*S80)</f>
        <v>0</v>
      </c>
      <c r="U80" s="39"/>
      <c r="V80" s="40"/>
      <c r="W80" s="40"/>
      <c r="X80" s="40"/>
      <c r="Y80" s="40"/>
      <c r="Z80" s="40"/>
      <c r="AA80" s="65"/>
      <c r="AB80" s="70"/>
      <c r="AC80" s="66"/>
      <c r="AD80" s="91"/>
      <c r="AE80" s="41"/>
      <c r="AF80" s="179"/>
      <c r="AG80" s="178"/>
      <c r="AH80" s="175"/>
      <c r="AI80" s="176"/>
      <c r="AJ80" s="42"/>
      <c r="AK80" s="43"/>
      <c r="AL80" s="44"/>
      <c r="AM80" s="45"/>
      <c r="AN80" s="46"/>
      <c r="AO80" s="47"/>
    </row>
    <row r="81" spans="1:41" s="21" customFormat="1" ht="51.75" customHeight="1" x14ac:dyDescent="0.15">
      <c r="A81" s="79"/>
      <c r="B81" s="77"/>
      <c r="C81" s="107"/>
      <c r="D81" s="106"/>
      <c r="E81" s="107"/>
      <c r="F81" s="107"/>
      <c r="G81" s="101"/>
      <c r="H81" s="33"/>
      <c r="I81" s="34"/>
      <c r="J81" s="35"/>
      <c r="K81" s="35"/>
      <c r="L81" s="35"/>
      <c r="M81" s="76"/>
      <c r="N81" s="171">
        <f>SUM(I81:M81)</f>
        <v>0</v>
      </c>
      <c r="O81" s="102"/>
      <c r="P81" s="103"/>
      <c r="Q81" s="103"/>
      <c r="R81" s="103"/>
      <c r="S81" s="103"/>
      <c r="T81" s="38">
        <f>ROUND(((O81*I81)+(P81*J81)+(Q81*K81)+(R81*L81)+(S81*M81)),3)</f>
        <v>0</v>
      </c>
      <c r="U81" s="39">
        <f>IF(T81&gt;=8,8,T81)</f>
        <v>0</v>
      </c>
      <c r="V81" s="40"/>
      <c r="W81" s="40"/>
      <c r="X81" s="40"/>
      <c r="Y81" s="40"/>
      <c r="Z81" s="40"/>
      <c r="AA81" s="65" t="e">
        <f>(((((V81*I81)+(W81*J81)+(X81*K81)+(Y81*L81)+(Z81*M81))/$L$2)))</f>
        <v>#DIV/0!</v>
      </c>
      <c r="AB81" s="70" t="e">
        <f>ROUND(11*AA81,3)</f>
        <v>#DIV/0!</v>
      </c>
      <c r="AC81" s="67" t="e">
        <f t="shared" ref="AC81" si="54">IF(AB81&gt;=11,11,AB81)</f>
        <v>#DIV/0!</v>
      </c>
      <c r="AD81" s="91">
        <f>T82</f>
        <v>0</v>
      </c>
      <c r="AE81" s="41">
        <v>0.2</v>
      </c>
      <c r="AF81" s="174">
        <f>10+4+ROUND(1*I81+1*J81+1*K81+1*L81+1*M81,3)+ROUND(2*I81+2*J81+2*K81+2*L81+2*M81,3)</f>
        <v>14</v>
      </c>
      <c r="AG81" s="166" t="e">
        <f>U81+AC81+AD81+AF81</f>
        <v>#DIV/0!</v>
      </c>
      <c r="AH81" s="175" t="e">
        <f>AG81+AE81</f>
        <v>#DIV/0!</v>
      </c>
      <c r="AI81" s="176" t="e">
        <f>IF(AH81&gt;=40,40,AH81)</f>
        <v>#DIV/0!</v>
      </c>
      <c r="AJ81" s="42"/>
      <c r="AK81" s="43"/>
      <c r="AL81" s="44"/>
      <c r="AM81" s="45">
        <f>100%+AL81</f>
        <v>1</v>
      </c>
      <c r="AN81" s="46">
        <f>ROUNDUP((($E$2*AM81-$AN$4)*AJ81+$AN$4),-3)</f>
        <v>0</v>
      </c>
      <c r="AO81" s="47"/>
    </row>
    <row r="82" spans="1:41" s="21" customFormat="1" ht="26.25" customHeight="1" x14ac:dyDescent="0.15">
      <c r="A82" s="80"/>
      <c r="B82" s="78"/>
      <c r="C82" s="153" t="s">
        <v>46</v>
      </c>
      <c r="D82" s="154"/>
      <c r="E82" s="154"/>
      <c r="F82" s="154"/>
      <c r="G82" s="155"/>
      <c r="H82" s="33"/>
      <c r="I82" s="53"/>
      <c r="J82" s="57"/>
      <c r="K82" s="57"/>
      <c r="L82" s="57"/>
      <c r="M82" s="75"/>
      <c r="N82" s="171"/>
      <c r="O82" s="104"/>
      <c r="P82" s="105"/>
      <c r="Q82" s="105"/>
      <c r="R82" s="105"/>
      <c r="S82" s="105"/>
      <c r="T82" s="69">
        <f>(I81*O82)+(J81*P82)+(K81*Q82)+(L81*R82)+(M81*S82)</f>
        <v>0</v>
      </c>
      <c r="U82" s="39"/>
      <c r="V82" s="40"/>
      <c r="W82" s="40"/>
      <c r="X82" s="40"/>
      <c r="Y82" s="40"/>
      <c r="Z82" s="40"/>
      <c r="AA82" s="65"/>
      <c r="AB82" s="70"/>
      <c r="AC82" s="66"/>
      <c r="AD82" s="91"/>
      <c r="AE82" s="41"/>
      <c r="AF82" s="179"/>
      <c r="AG82" s="178"/>
      <c r="AH82" s="175"/>
      <c r="AI82" s="176"/>
      <c r="AJ82" s="42"/>
      <c r="AK82" s="43"/>
      <c r="AL82" s="44"/>
      <c r="AM82" s="45"/>
      <c r="AN82" s="46"/>
      <c r="AO82" s="47"/>
    </row>
    <row r="83" spans="1:41" s="21" customFormat="1" ht="51.75" customHeight="1" x14ac:dyDescent="0.15">
      <c r="A83" s="79"/>
      <c r="B83" s="77"/>
      <c r="C83" s="107"/>
      <c r="D83" s="106"/>
      <c r="E83" s="107"/>
      <c r="F83" s="107"/>
      <c r="G83" s="101"/>
      <c r="H83" s="33"/>
      <c r="I83" s="34"/>
      <c r="J83" s="35"/>
      <c r="K83" s="35"/>
      <c r="L83" s="35"/>
      <c r="M83" s="76"/>
      <c r="N83" s="171">
        <f>SUM(I83:M83)</f>
        <v>0</v>
      </c>
      <c r="O83" s="102"/>
      <c r="P83" s="103"/>
      <c r="Q83" s="103"/>
      <c r="R83" s="103"/>
      <c r="S83" s="103"/>
      <c r="T83" s="38">
        <f>ROUND(((O83*I83)+(P83*J83)+(Q83*K83)+(R83*L83)+(S83*M83)),3)</f>
        <v>0</v>
      </c>
      <c r="U83" s="39">
        <f>IF(T83&gt;=8,8,T83)</f>
        <v>0</v>
      </c>
      <c r="V83" s="40"/>
      <c r="W83" s="40"/>
      <c r="X83" s="40"/>
      <c r="Y83" s="40"/>
      <c r="Z83" s="40"/>
      <c r="AA83" s="65" t="e">
        <f>(((((V83*I83)+(W83*J83)+(X83*K83)+(Y83*L83)+(Z83*M83))/$L$2)))</f>
        <v>#DIV/0!</v>
      </c>
      <c r="AB83" s="70" t="e">
        <f t="shared" ref="AB83:AB89" si="55">ROUND(11*AA83,3)</f>
        <v>#DIV/0!</v>
      </c>
      <c r="AC83" s="67" t="e">
        <f>IF(AB83&gt;=11,11,AB83)</f>
        <v>#DIV/0!</v>
      </c>
      <c r="AD83" s="91">
        <f>T84</f>
        <v>0</v>
      </c>
      <c r="AE83" s="41">
        <v>0.3</v>
      </c>
      <c r="AF83" s="174">
        <f>10+4+ROUND(1*I83+1*J83+1*K83+1*L83+1*M83,3)+ROUND(2*I83+2*J83+2*K83+2*L83+2*M83,3)</f>
        <v>14</v>
      </c>
      <c r="AG83" s="166" t="e">
        <f>U83+AC83+AD83+AF83</f>
        <v>#DIV/0!</v>
      </c>
      <c r="AH83" s="175" t="e">
        <f>AG83+AE83</f>
        <v>#DIV/0!</v>
      </c>
      <c r="AI83" s="176" t="e">
        <f>IF(AH83&gt;=40,40,AH83)</f>
        <v>#DIV/0!</v>
      </c>
      <c r="AJ83" s="42"/>
      <c r="AK83" s="43"/>
      <c r="AL83" s="44"/>
      <c r="AM83" s="45">
        <f>100%+AL83</f>
        <v>1</v>
      </c>
      <c r="AN83" s="46">
        <f>ROUNDUP((($E$2*AM83-$AN$4)*AJ83+$AN$4),-3)</f>
        <v>0</v>
      </c>
      <c r="AO83" s="47"/>
    </row>
    <row r="84" spans="1:41" s="21" customFormat="1" ht="26.25" customHeight="1" x14ac:dyDescent="0.15">
      <c r="A84" s="80"/>
      <c r="B84" s="77"/>
      <c r="C84" s="153" t="s">
        <v>46</v>
      </c>
      <c r="D84" s="154"/>
      <c r="E84" s="154"/>
      <c r="F84" s="154"/>
      <c r="G84" s="155"/>
      <c r="H84" s="33"/>
      <c r="I84" s="53"/>
      <c r="J84" s="57"/>
      <c r="K84" s="57"/>
      <c r="L84" s="57"/>
      <c r="M84" s="75"/>
      <c r="N84" s="171"/>
      <c r="O84" s="104"/>
      <c r="P84" s="105"/>
      <c r="Q84" s="105"/>
      <c r="R84" s="105"/>
      <c r="S84" s="105"/>
      <c r="T84" s="69">
        <f>(I83*O84)+(J83*P84)+(K83*Q84)+(L83*R84)+(M83*S84)</f>
        <v>0</v>
      </c>
      <c r="U84" s="39"/>
      <c r="V84" s="40"/>
      <c r="W84" s="40"/>
      <c r="X84" s="40"/>
      <c r="Y84" s="40"/>
      <c r="Z84" s="40"/>
      <c r="AA84" s="65"/>
      <c r="AB84" s="70"/>
      <c r="AC84" s="66"/>
      <c r="AD84" s="91"/>
      <c r="AE84" s="41"/>
      <c r="AF84" s="179"/>
      <c r="AG84" s="178"/>
      <c r="AH84" s="175"/>
      <c r="AI84" s="176"/>
      <c r="AJ84" s="42"/>
      <c r="AK84" s="43"/>
      <c r="AL84" s="44"/>
      <c r="AM84" s="45"/>
      <c r="AN84" s="46"/>
      <c r="AO84" s="47"/>
    </row>
    <row r="85" spans="1:41" s="21" customFormat="1" ht="48.75" customHeight="1" x14ac:dyDescent="0.15">
      <c r="A85" s="79"/>
      <c r="B85" s="77"/>
      <c r="C85" s="107"/>
      <c r="D85" s="106"/>
      <c r="E85" s="107"/>
      <c r="F85" s="107"/>
      <c r="G85" s="101"/>
      <c r="H85" s="54"/>
      <c r="I85" s="34"/>
      <c r="J85" s="35"/>
      <c r="K85" s="57"/>
      <c r="L85" s="35"/>
      <c r="M85" s="76"/>
      <c r="N85" s="171">
        <f>SUM(I85:M85)</f>
        <v>0</v>
      </c>
      <c r="O85" s="102"/>
      <c r="P85" s="103"/>
      <c r="Q85" s="103"/>
      <c r="R85" s="103"/>
      <c r="S85" s="103"/>
      <c r="T85" s="38">
        <f>ROUND(((O85*I85)+(P85*J85)+(Q85*K85)+(R85*L85)+(S85*M85)),3)</f>
        <v>0</v>
      </c>
      <c r="U85" s="39">
        <f>IF(T85&gt;=8,8,T85)</f>
        <v>0</v>
      </c>
      <c r="V85" s="40"/>
      <c r="W85" s="40"/>
      <c r="X85" s="40"/>
      <c r="Y85" s="48"/>
      <c r="Z85" s="40"/>
      <c r="AA85" s="65" t="e">
        <f>(((((V85*I85)+(W85*J85)+(X85*K85)+(Y85*L85)+(Z85*M85))/$L$2)))</f>
        <v>#DIV/0!</v>
      </c>
      <c r="AB85" s="70" t="e">
        <f t="shared" si="55"/>
        <v>#DIV/0!</v>
      </c>
      <c r="AC85" s="67" t="e">
        <f>IF(AB85&gt;=11,11,AB85)</f>
        <v>#DIV/0!</v>
      </c>
      <c r="AD85" s="91">
        <f>T86</f>
        <v>0</v>
      </c>
      <c r="AE85" s="41">
        <v>0.3</v>
      </c>
      <c r="AF85" s="174">
        <f>10+4+ROUND(1*I85+1*J85+1*K85+1*L85+1*M85,3)+ROUND(2*I85+2*J85+2*K85+2*L85+2*M85,3)</f>
        <v>14</v>
      </c>
      <c r="AG85" s="166" t="e">
        <f>U85+AC85+AD85+AF85</f>
        <v>#DIV/0!</v>
      </c>
      <c r="AH85" s="175" t="e">
        <f>AG85+AE85</f>
        <v>#DIV/0!</v>
      </c>
      <c r="AI85" s="176" t="e">
        <f>IF(AH85&gt;=40,40,AH85)</f>
        <v>#DIV/0!</v>
      </c>
      <c r="AJ85" s="42"/>
      <c r="AK85" s="43"/>
      <c r="AL85" s="44"/>
      <c r="AM85" s="45"/>
      <c r="AN85" s="46"/>
      <c r="AO85" s="47"/>
    </row>
    <row r="86" spans="1:41" s="21" customFormat="1" ht="26.25" customHeight="1" x14ac:dyDescent="0.15">
      <c r="A86" s="80"/>
      <c r="B86" s="78"/>
      <c r="C86" s="153" t="s">
        <v>46</v>
      </c>
      <c r="D86" s="154"/>
      <c r="E86" s="154"/>
      <c r="F86" s="154"/>
      <c r="G86" s="155"/>
      <c r="H86" s="33"/>
      <c r="I86" s="53"/>
      <c r="J86" s="57"/>
      <c r="K86" s="57"/>
      <c r="L86" s="57"/>
      <c r="M86" s="75"/>
      <c r="N86" s="171"/>
      <c r="O86" s="104"/>
      <c r="P86" s="103"/>
      <c r="Q86" s="103"/>
      <c r="R86" s="105"/>
      <c r="S86" s="105"/>
      <c r="T86" s="69">
        <f>(I85*O86)+(J85*P86)+(K85*Q86)+(L85*R86)+(M85*S86)</f>
        <v>0</v>
      </c>
      <c r="U86" s="39"/>
      <c r="V86" s="40"/>
      <c r="W86" s="40"/>
      <c r="X86" s="40"/>
      <c r="Y86" s="40"/>
      <c r="Z86" s="40"/>
      <c r="AA86" s="65"/>
      <c r="AB86" s="70"/>
      <c r="AC86" s="66"/>
      <c r="AD86" s="91"/>
      <c r="AE86" s="41"/>
      <c r="AF86" s="179"/>
      <c r="AG86" s="178"/>
      <c r="AH86" s="175"/>
      <c r="AI86" s="176"/>
      <c r="AJ86" s="42"/>
      <c r="AK86" s="43"/>
      <c r="AL86" s="44"/>
      <c r="AM86" s="45"/>
      <c r="AN86" s="46"/>
      <c r="AO86" s="47"/>
    </row>
    <row r="87" spans="1:41" s="21" customFormat="1" ht="48.75" customHeight="1" x14ac:dyDescent="0.15">
      <c r="A87" s="79"/>
      <c r="B87" s="77"/>
      <c r="C87" s="49"/>
      <c r="D87" s="50"/>
      <c r="E87" s="50"/>
      <c r="F87" s="50"/>
      <c r="G87" s="61"/>
      <c r="H87" s="54"/>
      <c r="I87" s="34"/>
      <c r="J87" s="35"/>
      <c r="K87" s="35"/>
      <c r="L87" s="35"/>
      <c r="M87" s="76"/>
      <c r="N87" s="171">
        <f>SUM(I87:M87)</f>
        <v>0</v>
      </c>
      <c r="O87" s="102"/>
      <c r="P87" s="103"/>
      <c r="Q87" s="103"/>
      <c r="R87" s="103"/>
      <c r="S87" s="103"/>
      <c r="T87" s="38">
        <f>ROUND(((O87*I87)+(P87*J87)+(Q87*K87)+(R87*L87)+(S87*M87)),3)</f>
        <v>0</v>
      </c>
      <c r="U87" s="39">
        <f>IF(T87&gt;=8,8,T87)</f>
        <v>0</v>
      </c>
      <c r="V87" s="40"/>
      <c r="W87" s="40"/>
      <c r="X87" s="40"/>
      <c r="Y87" s="40"/>
      <c r="Z87" s="40"/>
      <c r="AA87" s="65" t="e">
        <f>(((((V87*I87)+(W87*J87)+(X87*K87)+(Y87*L87)+(Z87*M87))/$L$2)))</f>
        <v>#DIV/0!</v>
      </c>
      <c r="AB87" s="70" t="e">
        <f t="shared" ref="AB87" si="56">ROUND(11*AA87,3)</f>
        <v>#DIV/0!</v>
      </c>
      <c r="AC87" s="67" t="e">
        <f t="shared" ref="AC87" si="57">IF(AB87&gt;=11,11,AB87)</f>
        <v>#DIV/0!</v>
      </c>
      <c r="AD87" s="91">
        <f>T88</f>
        <v>0</v>
      </c>
      <c r="AE87" s="41">
        <v>0.3</v>
      </c>
      <c r="AF87" s="174">
        <f>10+4+ROUND(1*I87+1*J87+1*K87+1*L87+1*M87,3)+ROUND(2*I87+2*J87+2*K87+2*L87+2*M87,3)</f>
        <v>14</v>
      </c>
      <c r="AG87" s="166" t="e">
        <f>U87+AC87+AD87+AF87</f>
        <v>#DIV/0!</v>
      </c>
      <c r="AH87" s="175" t="e">
        <f>AG87+AE87</f>
        <v>#DIV/0!</v>
      </c>
      <c r="AI87" s="176" t="e">
        <f>IF(AH87&gt;=40,40,AH87)</f>
        <v>#DIV/0!</v>
      </c>
      <c r="AJ87" s="42"/>
      <c r="AK87" s="43"/>
      <c r="AL87" s="44"/>
      <c r="AM87" s="45">
        <f>100%+AL87</f>
        <v>1</v>
      </c>
      <c r="AN87" s="46">
        <f>ROUNDUP((($E$2*AM87-$AN$4)*AJ87+$AN$4),-3)</f>
        <v>0</v>
      </c>
      <c r="AO87" s="47"/>
    </row>
    <row r="88" spans="1:41" s="21" customFormat="1" ht="26.25" customHeight="1" x14ac:dyDescent="0.15">
      <c r="A88" s="80"/>
      <c r="B88" s="78"/>
      <c r="C88" s="153" t="s">
        <v>46</v>
      </c>
      <c r="D88" s="154"/>
      <c r="E88" s="154"/>
      <c r="F88" s="154"/>
      <c r="G88" s="155"/>
      <c r="H88" s="33"/>
      <c r="I88" s="53"/>
      <c r="J88" s="57"/>
      <c r="K88" s="57"/>
      <c r="L88" s="57"/>
      <c r="M88" s="75"/>
      <c r="N88" s="171"/>
      <c r="O88" s="104"/>
      <c r="P88" s="105"/>
      <c r="Q88" s="105"/>
      <c r="R88" s="105"/>
      <c r="S88" s="105"/>
      <c r="T88" s="69">
        <f>(I87*O88)+(J87*P88)+(K87*Q88)+(L87*R88)+(M87*S88)</f>
        <v>0</v>
      </c>
      <c r="U88" s="39"/>
      <c r="V88" s="40"/>
      <c r="W88" s="40"/>
      <c r="X88" s="40"/>
      <c r="Y88" s="40"/>
      <c r="Z88" s="40"/>
      <c r="AA88" s="65"/>
      <c r="AB88" s="70"/>
      <c r="AC88" s="66"/>
      <c r="AD88" s="91"/>
      <c r="AE88" s="41"/>
      <c r="AF88" s="179"/>
      <c r="AG88" s="178"/>
      <c r="AH88" s="175"/>
      <c r="AI88" s="176"/>
      <c r="AJ88" s="42"/>
      <c r="AK88" s="43"/>
      <c r="AL88" s="44"/>
      <c r="AM88" s="45"/>
      <c r="AN88" s="46"/>
      <c r="AO88" s="47"/>
    </row>
    <row r="89" spans="1:41" s="21" customFormat="1" ht="51.75" customHeight="1" x14ac:dyDescent="0.15">
      <c r="A89" s="31"/>
      <c r="B89" s="59"/>
      <c r="C89" s="51"/>
      <c r="D89" s="49"/>
      <c r="E89" s="32"/>
      <c r="F89" s="50"/>
      <c r="G89" s="72"/>
      <c r="H89" s="54"/>
      <c r="I89" s="34"/>
      <c r="J89" s="35"/>
      <c r="K89" s="35"/>
      <c r="L89" s="35"/>
      <c r="M89" s="76"/>
      <c r="N89" s="171">
        <f>SUM(I89:M89)</f>
        <v>0</v>
      </c>
      <c r="O89" s="102"/>
      <c r="P89" s="103"/>
      <c r="Q89" s="103"/>
      <c r="R89" s="103"/>
      <c r="S89" s="103"/>
      <c r="T89" s="38">
        <f>ROUND(((O89*I89)+(P89*J89)+(Q89*K89)+(R89*L89)+(S89*M89)),3)</f>
        <v>0</v>
      </c>
      <c r="U89" s="39">
        <f>IF(T89&gt;=8,8,T89)</f>
        <v>0</v>
      </c>
      <c r="V89" s="40"/>
      <c r="W89" s="40"/>
      <c r="X89" s="48"/>
      <c r="Y89" s="40"/>
      <c r="Z89" s="40"/>
      <c r="AA89" s="65" t="e">
        <f>(((((V89*I89)+(W89*J89)+(X89*K89)+(Y89*L89)+(Z89*M89))/$L$2)))</f>
        <v>#DIV/0!</v>
      </c>
      <c r="AB89" s="70" t="e">
        <f t="shared" si="55"/>
        <v>#DIV/0!</v>
      </c>
      <c r="AC89" s="67" t="e">
        <f>IF(AB89&gt;=11,11,AB89)</f>
        <v>#DIV/0!</v>
      </c>
      <c r="AD89" s="91">
        <f>T90</f>
        <v>0</v>
      </c>
      <c r="AE89" s="41">
        <v>0.3</v>
      </c>
      <c r="AF89" s="174">
        <f>10+4+ROUND(1*I89+1*J89+1*K89+1*L89+1*M89,3)+ROUND(2*I89+2*J89+2*K89+2*L89+2*M89,3)</f>
        <v>14</v>
      </c>
      <c r="AG89" s="166" t="e">
        <f>U89+AC89+AD89+AF89</f>
        <v>#DIV/0!</v>
      </c>
      <c r="AH89" s="175" t="e">
        <f>AG89+AE89</f>
        <v>#DIV/0!</v>
      </c>
      <c r="AI89" s="176" t="e">
        <f>IF(AH89&gt;=40,40,AH89)</f>
        <v>#DIV/0!</v>
      </c>
      <c r="AJ89" s="42"/>
      <c r="AK89" s="43"/>
      <c r="AL89" s="44"/>
      <c r="AM89" s="45">
        <f>100%+AL89</f>
        <v>1</v>
      </c>
      <c r="AN89" s="46">
        <f>ROUNDUP((($E$2*AM89-$AN$4)*AJ89+$AN$4),-3)</f>
        <v>0</v>
      </c>
      <c r="AO89" s="47"/>
    </row>
    <row r="90" spans="1:41" s="21" customFormat="1" ht="26.25" customHeight="1" x14ac:dyDescent="0.15">
      <c r="A90" s="55"/>
      <c r="B90" s="59"/>
      <c r="C90" s="153" t="s">
        <v>46</v>
      </c>
      <c r="D90" s="154"/>
      <c r="E90" s="154"/>
      <c r="F90" s="154"/>
      <c r="G90" s="155"/>
      <c r="H90" s="33"/>
      <c r="I90" s="53"/>
      <c r="J90" s="57"/>
      <c r="K90" s="57"/>
      <c r="L90" s="57"/>
      <c r="M90" s="75"/>
      <c r="N90" s="171"/>
      <c r="O90" s="104"/>
      <c r="P90" s="105"/>
      <c r="Q90" s="105"/>
      <c r="R90" s="105"/>
      <c r="S90" s="105"/>
      <c r="T90" s="69">
        <f>(I89*O90)+(J89*P90)+(K89*Q90)+(L89*R90)+(M89*S90)</f>
        <v>0</v>
      </c>
      <c r="U90" s="39"/>
      <c r="V90" s="40"/>
      <c r="W90" s="40"/>
      <c r="X90" s="40"/>
      <c r="Y90" s="40"/>
      <c r="Z90" s="40"/>
      <c r="AA90" s="65"/>
      <c r="AB90" s="70"/>
      <c r="AC90" s="66"/>
      <c r="AD90" s="91"/>
      <c r="AE90" s="41"/>
      <c r="AF90" s="179"/>
      <c r="AG90" s="178"/>
      <c r="AH90" s="175"/>
      <c r="AI90" s="176"/>
      <c r="AJ90" s="42"/>
      <c r="AK90" s="43"/>
      <c r="AL90" s="44"/>
      <c r="AM90" s="45"/>
      <c r="AN90" s="46"/>
      <c r="AO90" s="47"/>
    </row>
  </sheetData>
  <mergeCells count="70">
    <mergeCell ref="C88:G88"/>
    <mergeCell ref="C90:G90"/>
    <mergeCell ref="C74:G74"/>
    <mergeCell ref="C76:G76"/>
    <mergeCell ref="C78:G78"/>
    <mergeCell ref="C80:G80"/>
    <mergeCell ref="C82:G82"/>
    <mergeCell ref="C84:G84"/>
    <mergeCell ref="C42:G42"/>
    <mergeCell ref="C38:G38"/>
    <mergeCell ref="C86:G86"/>
    <mergeCell ref="C8:G8"/>
    <mergeCell ref="C28:G28"/>
    <mergeCell ref="C24:G24"/>
    <mergeCell ref="C68:G68"/>
    <mergeCell ref="C70:G70"/>
    <mergeCell ref="C54:G54"/>
    <mergeCell ref="C40:G40"/>
    <mergeCell ref="C22:G22"/>
    <mergeCell ref="C72:G72"/>
    <mergeCell ref="C62:G62"/>
    <mergeCell ref="C64:G64"/>
    <mergeCell ref="C66:G66"/>
    <mergeCell ref="C58:G58"/>
    <mergeCell ref="C60:G60"/>
    <mergeCell ref="C14:G14"/>
    <mergeCell ref="C10:G10"/>
    <mergeCell ref="C18:G18"/>
    <mergeCell ref="C16:G16"/>
    <mergeCell ref="C56:G56"/>
    <mergeCell ref="C44:G44"/>
    <mergeCell ref="C46:G46"/>
    <mergeCell ref="C48:G48"/>
    <mergeCell ref="C50:G50"/>
    <mergeCell ref="C52:G52"/>
    <mergeCell ref="C26:G26"/>
    <mergeCell ref="C30:G30"/>
    <mergeCell ref="C32:G32"/>
    <mergeCell ref="C34:G34"/>
    <mergeCell ref="C36:G36"/>
    <mergeCell ref="C20:G20"/>
    <mergeCell ref="AK3:AK4"/>
    <mergeCell ref="AL3:AL4"/>
    <mergeCell ref="AM3:AM4"/>
    <mergeCell ref="AO3:AO4"/>
    <mergeCell ref="C12:G12"/>
    <mergeCell ref="T3:AH3"/>
    <mergeCell ref="AJ3:AJ4"/>
    <mergeCell ref="O3:S3"/>
    <mergeCell ref="C6:G6"/>
    <mergeCell ref="A2:C2"/>
    <mergeCell ref="E2:F2"/>
    <mergeCell ref="H2:J2"/>
    <mergeCell ref="L2:M2"/>
    <mergeCell ref="P2:S2"/>
    <mergeCell ref="A3:A4"/>
    <mergeCell ref="B3:B4"/>
    <mergeCell ref="C3:H3"/>
    <mergeCell ref="I3:M3"/>
    <mergeCell ref="N3:N4"/>
    <mergeCell ref="AB1:AC1"/>
    <mergeCell ref="AD1:AF1"/>
    <mergeCell ref="W2:X2"/>
    <mergeCell ref="E1:F1"/>
    <mergeCell ref="H1:J1"/>
    <mergeCell ref="L1:N1"/>
    <mergeCell ref="Y1:Z1"/>
    <mergeCell ref="Y2:Z2"/>
    <mergeCell ref="AB2:AC2"/>
    <mergeCell ref="AD2:AF2"/>
  </mergeCells>
  <phoneticPr fontId="3" type="noConversion"/>
  <printOptions horizontalCentered="1"/>
  <pageMargins left="0.15748031496062992" right="0.19685039370078741" top="0.31496062992125984" bottom="0.23622047244094491" header="0.27559055118110237" footer="0.19685039370078741"/>
  <pageSetup paperSize="9" scale="16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ihwijae</cp:lastModifiedBy>
  <cp:lastPrinted>2020-02-12T02:25:09Z</cp:lastPrinted>
  <dcterms:created xsi:type="dcterms:W3CDTF">2020-01-22T01:51:05Z</dcterms:created>
  <dcterms:modified xsi:type="dcterms:W3CDTF">2026-06-02T05:02:31Z</dcterms:modified>
</cp:coreProperties>
</file>